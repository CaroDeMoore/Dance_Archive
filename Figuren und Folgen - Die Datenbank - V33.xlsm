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olker\Documents\Tanzen\Archiv\"/>
    </mc:Choice>
  </mc:AlternateContent>
  <xr:revisionPtr revIDLastSave="0" documentId="13_ncr:1_{8559BE74-EA09-47EF-A053-7E530224DC57}" xr6:coauthVersionLast="47" xr6:coauthVersionMax="47" xr10:uidLastSave="{00000000-0000-0000-0000-000000000000}"/>
  <bookViews>
    <workbookView xWindow="-108" yWindow="-108" windowWidth="23256" windowHeight="12456" tabRatio="815" xr2:uid="{00000000-000D-0000-FFFF-FFFF00000000}"/>
  </bookViews>
  <sheets>
    <sheet name="LI" sheetId="49" r:id="rId1"/>
    <sheet name="pdf" sheetId="37" r:id="rId2"/>
    <sheet name="Tabelle1" sheetId="41" r:id="rId3"/>
    <sheet name="Folgen" sheetId="40" r:id="rId4"/>
    <sheet name="pdf_" sheetId="38" r:id="rId5"/>
    <sheet name="CC" sheetId="17" r:id="rId6"/>
    <sheet name="JI" sheetId="18" r:id="rId7"/>
    <sheet name="RB" sheetId="16" r:id="rId8"/>
    <sheet name="SB" sheetId="19" r:id="rId9"/>
    <sheet name="DF" sheetId="15" r:id="rId10"/>
    <sheet name="QS" sheetId="12" r:id="rId11"/>
    <sheet name="SF" sheetId="21" r:id="rId12"/>
    <sheet name="SW" sheetId="11" r:id="rId13"/>
    <sheet name="TG" sheetId="13" r:id="rId14"/>
    <sheet name="VW" sheetId="14" r:id="rId15"/>
    <sheet name="AS" sheetId="29" r:id="rId16"/>
    <sheet name="SS" sheetId="24" r:id="rId17"/>
    <sheet name="LAT" sheetId="26" r:id="rId18"/>
    <sheet name="STD" sheetId="27" r:id="rId19"/>
    <sheet name="ALL" sheetId="28" r:id="rId20"/>
    <sheet name="CCF" sheetId="20" r:id="rId21"/>
    <sheet name="STD_F" sheetId="39" r:id="rId22"/>
    <sheet name="SW PreFol" sheetId="8" r:id="rId23"/>
    <sheet name="Raumrichtungen" sheetId="9" r:id="rId24"/>
    <sheet name="def" sheetId="31" r:id="rId25"/>
  </sheets>
  <functionGroups builtInGroupCount="19"/>
  <definedNames>
    <definedName name="_xlnm.Print_Area" localSheetId="3">Folgen!$A$1:$I$99</definedName>
    <definedName name="_xlnm.Print_Area" localSheetId="0">LI!$A$1:$D$79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0" i="18" l="1"/>
  <c r="C58" i="11"/>
  <c r="G123" i="39"/>
  <c r="F123" i="39" s="1"/>
  <c r="S3" i="17"/>
  <c r="H123" i="39"/>
  <c r="C41" i="17"/>
  <c r="S22" i="13"/>
  <c r="H116" i="39"/>
  <c r="G116" i="39" s="1"/>
  <c r="H16" i="39"/>
  <c r="G16" i="39" s="1"/>
  <c r="S13" i="11"/>
  <c r="R13" i="11" s="1"/>
  <c r="K1" i="18"/>
  <c r="K1" i="16"/>
  <c r="K1" i="19"/>
  <c r="K1" i="15"/>
  <c r="K1" i="12"/>
  <c r="K1" i="21"/>
  <c r="K1" i="11"/>
  <c r="K1" i="29"/>
  <c r="K1" i="13"/>
  <c r="K1" i="14"/>
  <c r="K1" i="24"/>
  <c r="K1" i="26"/>
  <c r="K1" i="27"/>
  <c r="K1" i="28"/>
  <c r="K1" i="17"/>
  <c r="J1" i="18"/>
  <c r="J1" i="16"/>
  <c r="J1" i="19"/>
  <c r="J1" i="15"/>
  <c r="J1" i="12"/>
  <c r="J1" i="21"/>
  <c r="J1" i="11"/>
  <c r="J1" i="29"/>
  <c r="J1" i="13"/>
  <c r="J1" i="14"/>
  <c r="J1" i="24"/>
  <c r="J1" i="26"/>
  <c r="J1" i="27"/>
  <c r="J1" i="28"/>
  <c r="J1" i="17"/>
  <c r="I1" i="18"/>
  <c r="I1" i="16"/>
  <c r="I1" i="19"/>
  <c r="I1" i="15"/>
  <c r="I1" i="12"/>
  <c r="I1" i="21"/>
  <c r="I1" i="11"/>
  <c r="I1" i="29"/>
  <c r="I1" i="13"/>
  <c r="I1" i="14"/>
  <c r="I1" i="24"/>
  <c r="I1" i="26"/>
  <c r="I1" i="27"/>
  <c r="I1" i="28"/>
  <c r="I1" i="17"/>
  <c r="H1" i="18"/>
  <c r="H1" i="16"/>
  <c r="H1" i="19"/>
  <c r="H1" i="15"/>
  <c r="H1" i="12"/>
  <c r="H1" i="21"/>
  <c r="H1" i="11"/>
  <c r="H1" i="29"/>
  <c r="H1" i="13"/>
  <c r="H1" i="14"/>
  <c r="H1" i="24"/>
  <c r="H1" i="26"/>
  <c r="H1" i="27"/>
  <c r="H1" i="28"/>
  <c r="H1" i="17"/>
  <c r="G1" i="18"/>
  <c r="G1" i="16"/>
  <c r="G1" i="19"/>
  <c r="G1" i="15"/>
  <c r="G1" i="12"/>
  <c r="G1" i="21"/>
  <c r="G1" i="11"/>
  <c r="G1" i="29"/>
  <c r="G1" i="13"/>
  <c r="G1" i="14"/>
  <c r="G1" i="24"/>
  <c r="G1" i="26"/>
  <c r="G1" i="27"/>
  <c r="G1" i="28"/>
  <c r="G1" i="17"/>
  <c r="F1" i="18"/>
  <c r="F1" i="16"/>
  <c r="F1" i="19"/>
  <c r="F1" i="15"/>
  <c r="F1" i="12"/>
  <c r="F1" i="21"/>
  <c r="F1" i="11"/>
  <c r="F1" i="29"/>
  <c r="F1" i="13"/>
  <c r="F1" i="14"/>
  <c r="F1" i="24"/>
  <c r="F1" i="26"/>
  <c r="F1" i="27"/>
  <c r="F1" i="28"/>
  <c r="F1" i="17"/>
  <c r="E1" i="18"/>
  <c r="E1" i="16"/>
  <c r="E1" i="19"/>
  <c r="E1" i="15"/>
  <c r="E1" i="12"/>
  <c r="E1" i="21"/>
  <c r="E1" i="11"/>
  <c r="E1" i="29"/>
  <c r="E1" i="13"/>
  <c r="E1" i="14"/>
  <c r="E1" i="24"/>
  <c r="E1" i="26"/>
  <c r="E1" i="27"/>
  <c r="E1" i="28"/>
  <c r="E1" i="17"/>
  <c r="D1" i="18"/>
  <c r="D1" i="16"/>
  <c r="D1" i="19"/>
  <c r="D1" i="15"/>
  <c r="D1" i="12"/>
  <c r="D1" i="21"/>
  <c r="D1" i="11"/>
  <c r="D1" i="29"/>
  <c r="D1" i="13"/>
  <c r="D1" i="14"/>
  <c r="D1" i="24"/>
  <c r="D1" i="26"/>
  <c r="D1" i="27"/>
  <c r="D1" i="28"/>
  <c r="D1" i="17"/>
  <c r="C1" i="18"/>
  <c r="C1" i="16"/>
  <c r="C1" i="19"/>
  <c r="C1" i="15"/>
  <c r="C1" i="12"/>
  <c r="C1" i="21"/>
  <c r="C1" i="11"/>
  <c r="C1" i="29"/>
  <c r="C1" i="13"/>
  <c r="C1" i="14"/>
  <c r="C1" i="24"/>
  <c r="C1" i="26"/>
  <c r="C1" i="27"/>
  <c r="C1" i="28"/>
  <c r="C1" i="17"/>
  <c r="B1" i="18"/>
  <c r="B1" i="16"/>
  <c r="B1" i="19"/>
  <c r="B1" i="15"/>
  <c r="B1" i="12"/>
  <c r="B1" i="21"/>
  <c r="B1" i="11"/>
  <c r="B1" i="29"/>
  <c r="B1" i="13"/>
  <c r="B1" i="14"/>
  <c r="B1" i="24"/>
  <c r="B1" i="26"/>
  <c r="B1" i="27"/>
  <c r="B1" i="28"/>
  <c r="B1" i="17"/>
  <c r="H30" i="39"/>
  <c r="G30" i="39" s="1"/>
  <c r="S15" i="11"/>
  <c r="R15" i="11" s="1"/>
  <c r="H108" i="39"/>
  <c r="G108" i="39" s="1"/>
  <c r="S40" i="12"/>
  <c r="R40" i="12" s="1"/>
  <c r="H101" i="39"/>
  <c r="G101" i="39" s="1"/>
  <c r="S39" i="12"/>
  <c r="R39" i="12" s="1"/>
  <c r="H25" i="39"/>
  <c r="G25" i="39" s="1"/>
  <c r="S14" i="11"/>
  <c r="R14" i="11" s="1"/>
  <c r="H90" i="39"/>
  <c r="G90" i="39" s="1"/>
  <c r="B93" i="39"/>
  <c r="B94" i="39" s="1"/>
  <c r="B95" i="39" s="1"/>
  <c r="B96" i="39" s="1"/>
  <c r="B97" i="39" s="1"/>
  <c r="B98" i="39" s="1"/>
  <c r="B99" i="39" s="1"/>
  <c r="H77" i="39"/>
  <c r="G77" i="39" s="1"/>
  <c r="B80" i="39"/>
  <c r="B81" i="39" s="1"/>
  <c r="B82" i="39" s="1"/>
  <c r="B83" i="39" s="1"/>
  <c r="B84" i="39" s="1"/>
  <c r="B85" i="39" s="1"/>
  <c r="B86" i="39" s="1"/>
  <c r="B87" i="39" s="1"/>
  <c r="B88" i="39" s="1"/>
  <c r="B73" i="39"/>
  <c r="B74" i="39" s="1"/>
  <c r="B75" i="39" s="1"/>
  <c r="H70" i="39"/>
  <c r="G70" i="39" s="1"/>
  <c r="H54" i="39"/>
  <c r="G54" i="39" s="1"/>
  <c r="H37" i="39"/>
  <c r="G37" i="39" s="1"/>
  <c r="B57" i="39"/>
  <c r="B58" i="39" s="1"/>
  <c r="B59" i="39" s="1"/>
  <c r="B60" i="39" s="1"/>
  <c r="B61" i="39" s="1"/>
  <c r="B62" i="39" s="1"/>
  <c r="B63" i="39" s="1"/>
  <c r="B64" i="39" s="1"/>
  <c r="B65" i="39" s="1"/>
  <c r="B66" i="39" s="1"/>
  <c r="B67" i="39" s="1"/>
  <c r="B68" i="39" s="1"/>
  <c r="B41" i="39"/>
  <c r="B42" i="39" s="1"/>
  <c r="B43" i="39" s="1"/>
  <c r="B44" i="39" s="1"/>
  <c r="B45" i="39" s="1"/>
  <c r="B46" i="39" s="1"/>
  <c r="B47" i="39" s="1"/>
  <c r="B48" i="39" s="1"/>
  <c r="B49" i="39" s="1"/>
  <c r="B50" i="39" s="1"/>
  <c r="B51" i="39" s="1"/>
  <c r="B52" i="39" s="1"/>
  <c r="G3" i="39"/>
  <c r="S12" i="11"/>
  <c r="R12" i="11" s="1"/>
  <c r="S52" i="11"/>
  <c r="R52" i="11" s="1"/>
  <c r="B6" i="39"/>
  <c r="B7" i="39" s="1"/>
  <c r="B8" i="39" s="1"/>
  <c r="B9" i="39" s="1"/>
  <c r="B10" i="39" s="1"/>
  <c r="B11" i="39" s="1"/>
  <c r="B12" i="39" s="1"/>
  <c r="B13" i="39" s="1"/>
  <c r="B14" i="39" s="1"/>
  <c r="S22" i="17"/>
  <c r="R22" i="17" s="1"/>
  <c r="B18" i="39"/>
  <c r="B19" i="39" s="1"/>
  <c r="B20" i="39" s="1"/>
  <c r="B21" i="39" s="1"/>
  <c r="B22" i="39" s="1"/>
  <c r="B23" i="39" s="1"/>
  <c r="B27" i="39" s="1"/>
  <c r="B28" i="39" s="1"/>
  <c r="B32" i="39" s="1"/>
  <c r="B33" i="39" s="1"/>
  <c r="B19" i="20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E17" i="20"/>
  <c r="J17" i="20"/>
  <c r="G17" i="20" s="1"/>
  <c r="S17" i="17"/>
  <c r="S18" i="17"/>
  <c r="R18" i="17" s="1"/>
  <c r="S19" i="17"/>
  <c r="R19" i="17" s="1"/>
  <c r="S21" i="17"/>
  <c r="R21" i="17" s="1"/>
  <c r="S23" i="17"/>
  <c r="R23" i="17" s="1"/>
  <c r="S24" i="17"/>
  <c r="S25" i="17"/>
  <c r="S26" i="17"/>
  <c r="S27" i="17"/>
  <c r="S28" i="17"/>
  <c r="S29" i="17"/>
  <c r="S30" i="17"/>
  <c r="S31" i="17"/>
  <c r="S32" i="17"/>
  <c r="S33" i="17"/>
  <c r="S20" i="17"/>
  <c r="R20" i="17" s="1"/>
  <c r="E3" i="20"/>
  <c r="A1" i="8"/>
  <c r="A23" i="8" a="1"/>
  <c r="A23" i="8" s="1"/>
  <c r="A24" i="8" a="1"/>
  <c r="A24" i="8" s="1"/>
  <c r="A25" i="8" a="1"/>
  <c r="A25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B22" i="8" a="1"/>
  <c r="B22" i="8" s="1"/>
  <c r="B23" i="8" a="1"/>
  <c r="B23" i="8" s="1"/>
  <c r="B24" i="8" a="1"/>
  <c r="B24" i="8" s="1"/>
  <c r="B4" i="8" a="1"/>
  <c r="B4" i="8" s="1"/>
  <c r="A18" i="8" a="1"/>
  <c r="A18" i="8" s="1"/>
  <c r="A19" i="8" a="1"/>
  <c r="A19" i="8" s="1"/>
  <c r="A20" i="8" a="1"/>
  <c r="A20" i="8" s="1"/>
  <c r="A21" i="8" a="1"/>
  <c r="A21" i="8" s="1"/>
  <c r="A22" i="8" a="1"/>
  <c r="A22" i="8" s="1"/>
  <c r="A5" i="8" a="1"/>
  <c r="A5" i="8" s="1"/>
  <c r="A6" i="8" a="1"/>
  <c r="A6" i="8" s="1"/>
  <c r="A7" i="8" a="1"/>
  <c r="A7" i="8" s="1"/>
  <c r="A8" i="8" a="1"/>
  <c r="A8" i="8" s="1"/>
  <c r="A9" i="8" a="1"/>
  <c r="A9" i="8" s="1"/>
  <c r="A10" i="8" a="1"/>
  <c r="A10" i="8" s="1"/>
  <c r="A11" i="8" a="1"/>
  <c r="A11" i="8" s="1"/>
  <c r="A12" i="8" a="1"/>
  <c r="A12" i="8" s="1"/>
  <c r="A13" i="8" a="1"/>
  <c r="A13" i="8" s="1"/>
  <c r="A14" i="8" a="1"/>
  <c r="A14" i="8" s="1"/>
  <c r="A15" i="8" a="1"/>
  <c r="A15" i="8" s="1"/>
  <c r="A16" i="8" a="1"/>
  <c r="A16" i="8" s="1"/>
  <c r="A17" i="8" a="1"/>
  <c r="A17" i="8" s="1"/>
  <c r="A4" i="8" a="1"/>
  <c r="A4" i="8" s="1"/>
  <c r="S51" i="11" l="1"/>
  <c r="R51" i="11" s="1"/>
  <c r="S5" i="21"/>
  <c r="R5" i="21" s="1"/>
  <c r="S55" i="11"/>
  <c r="R55" i="11" s="1"/>
  <c r="S54" i="11"/>
  <c r="R54" i="11" s="1"/>
  <c r="S53" i="11"/>
  <c r="R53" i="11" s="1"/>
  <c r="J3" i="20"/>
  <c r="G3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<sst xmlns="http://schemas.openxmlformats.org/spreadsheetml/2006/main" count="5797" uniqueCount="1075">
  <si>
    <t>Grundschritt</t>
  </si>
  <si>
    <t>He goes She goes</t>
  </si>
  <si>
    <t>(offene) Linksdrehung</t>
  </si>
  <si>
    <t xml:space="preserve">Link </t>
  </si>
  <si>
    <t>Rechtskreisel / natural spin turn</t>
  </si>
  <si>
    <t>Platzwechsel</t>
  </si>
  <si>
    <t>Musik, ab Minute 4:20</t>
  </si>
  <si>
    <t>Hand to Hand</t>
  </si>
  <si>
    <t>New York, Damensolo</t>
  </si>
  <si>
    <t>Egils</t>
  </si>
  <si>
    <t>Grundschritt mit Lockstep</t>
  </si>
  <si>
    <t>New York</t>
  </si>
  <si>
    <t>Kreisel</t>
  </si>
  <si>
    <t>Wischer</t>
  </si>
  <si>
    <t>Link</t>
  </si>
  <si>
    <t>Sweet Heart mit Walks</t>
  </si>
  <si>
    <t>Künkel</t>
  </si>
  <si>
    <t>Linksdrehung</t>
  </si>
  <si>
    <t>Rechts- und Linksdrehung</t>
  </si>
  <si>
    <t>Rechtsdrehung</t>
  </si>
  <si>
    <t>Rückwärts-Lockstep / Back Lock</t>
  </si>
  <si>
    <t>Fünferschritt</t>
  </si>
  <si>
    <t>Damensolo (underarm turn)</t>
  </si>
  <si>
    <t>in Planung</t>
  </si>
  <si>
    <t>Rechtsdrehung / natural turn</t>
  </si>
  <si>
    <t>Grundschritt, Kreisel, Lockstep</t>
  </si>
  <si>
    <t>Flirt / Hip bump</t>
  </si>
  <si>
    <t>einfach, mit wenig drehen</t>
  </si>
  <si>
    <t>gute Haltung, gut gedreht</t>
  </si>
  <si>
    <t>mit alternativem Grundschritt</t>
  </si>
  <si>
    <t>alle Grundlagenschritte</t>
  </si>
  <si>
    <t>Lockstep</t>
  </si>
  <si>
    <t>Außenseitlicher Wechsel / outside change</t>
  </si>
  <si>
    <t>bis Minute 1:40 mit anderem Ausgang</t>
  </si>
  <si>
    <t>(Damen-)schal</t>
  </si>
  <si>
    <t>Rückenschieber</t>
  </si>
  <si>
    <t>Rücken an Rücken aus der Brezel heraus</t>
  </si>
  <si>
    <t>Rope spinning / Lasso</t>
  </si>
  <si>
    <t>Box + Rechtsdrehung</t>
  </si>
  <si>
    <t>Bauchstreichler</t>
  </si>
  <si>
    <t>Damensolo</t>
  </si>
  <si>
    <t>Promenadenlink</t>
  </si>
  <si>
    <t>Drehung</t>
  </si>
  <si>
    <t>Flechte</t>
  </si>
  <si>
    <t>Box + Linksdrehung</t>
  </si>
  <si>
    <t>Rechtsdr - Übergang - Linksdr - Übgang</t>
  </si>
  <si>
    <t>Box=Übg-vor; Übg-rück</t>
  </si>
  <si>
    <t>Folge 1</t>
  </si>
  <si>
    <t>GS, Damensolo
3xNY
Spotturn, GS
3 x H2H
Spotturn, GS</t>
  </si>
  <si>
    <t xml:space="preserve">C </t>
  </si>
  <si>
    <t>diagonal center</t>
  </si>
  <si>
    <t>DC</t>
  </si>
  <si>
    <t>Line of Dance</t>
  </si>
  <si>
    <t>LOD</t>
  </si>
  <si>
    <t>DW</t>
  </si>
  <si>
    <t>wall</t>
  </si>
  <si>
    <t xml:space="preserve">W </t>
  </si>
  <si>
    <t>center</t>
  </si>
  <si>
    <t>opposite Line of Dance</t>
  </si>
  <si>
    <t>oppLOD</t>
  </si>
  <si>
    <t>ODW</t>
  </si>
  <si>
    <t>ODC</t>
  </si>
  <si>
    <t>GS = viertel Rd + Chassé</t>
  </si>
  <si>
    <t>opposite diagonal center</t>
  </si>
  <si>
    <t>diagonal wall</t>
  </si>
  <si>
    <t>opposite diagonal wall</t>
  </si>
  <si>
    <t>Grundschritt (GS)</t>
  </si>
  <si>
    <t>Mooch</t>
  </si>
  <si>
    <t>Figur</t>
  </si>
  <si>
    <t>Kommentar</t>
  </si>
  <si>
    <t>x</t>
  </si>
  <si>
    <t>GS</t>
  </si>
  <si>
    <t>ChaChaCha nach rechts</t>
  </si>
  <si>
    <t>Spotturn oder NY oder GS</t>
  </si>
  <si>
    <t>Gegenüberstellung; ChaChaCha nach rechts</t>
  </si>
  <si>
    <t>https://www.youtube.com/watch?v=xNx16-QIJ_A</t>
  </si>
  <si>
    <t>https://youtu.be/750KiwjZSZw</t>
  </si>
  <si>
    <t>https://youtu.be/zganR8RkE4U</t>
  </si>
  <si>
    <t>https://youtu.be/EjAnf6eaAzs</t>
  </si>
  <si>
    <t>https://www.youtube.com/watch?v=qkdWREcdFnE</t>
  </si>
  <si>
    <t>c</t>
  </si>
  <si>
    <t>3 x NY</t>
  </si>
  <si>
    <t>Spotturn, GS</t>
  </si>
  <si>
    <t>3 x H2H</t>
  </si>
  <si>
    <t>GS, Damensolo</t>
  </si>
  <si>
    <t xml:space="preserve">GS bis Herr CCC nach links </t>
  </si>
  <si>
    <t>3 x Lockstep vor</t>
  </si>
  <si>
    <t>Wiege</t>
  </si>
  <si>
    <t>3 x Lockstep rück</t>
  </si>
  <si>
    <t>Eisenbahn</t>
  </si>
  <si>
    <t>Kleine Basic</t>
  </si>
  <si>
    <t>Kleiner Lockstep</t>
  </si>
  <si>
    <t>öffnen nach rechts, Lockstep</t>
  </si>
  <si>
    <t>geht auch nach links</t>
  </si>
  <si>
    <t>Admin</t>
  </si>
  <si>
    <t>Link comment</t>
  </si>
  <si>
    <t>lc1</t>
  </si>
  <si>
    <t>com</t>
  </si>
  <si>
    <t>link</t>
  </si>
  <si>
    <t>def</t>
  </si>
  <si>
    <t>end</t>
  </si>
  <si>
    <t>start</t>
  </si>
  <si>
    <t>https://www.youtube.com/watch?v=w_2fA-27u0I&amp;list=PLxIl8YU658TtNKd9gmr8eenJjky8nE8yf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</si>
  <si>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</si>
  <si>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</t>
  </si>
  <si>
    <t>Handtuch mit Box</t>
  </si>
  <si>
    <t>Alles</t>
  </si>
  <si>
    <t>RD1</t>
  </si>
  <si>
    <t>RD2</t>
  </si>
  <si>
    <t>Flugschritt</t>
  </si>
  <si>
    <t>geschl</t>
  </si>
  <si>
    <t>in PP</t>
  </si>
  <si>
    <t>n links</t>
  </si>
  <si>
    <t>n rechts</t>
  </si>
  <si>
    <t>außenstl We</t>
  </si>
  <si>
    <t>Chassé</t>
  </si>
  <si>
    <t>Impetus</t>
  </si>
  <si>
    <t/>
  </si>
  <si>
    <t>Zögerwechsel</t>
  </si>
  <si>
    <t>gegen die Tanzrichtung</t>
  </si>
  <si>
    <t>LD1</t>
  </si>
  <si>
    <t>LD2</t>
  </si>
  <si>
    <t>↑</t>
  </si>
  <si>
    <t>re vor</t>
  </si>
  <si>
    <t>Übgg</t>
  </si>
  <si>
    <t>re rü</t>
  </si>
  <si>
    <t>li vor</t>
  </si>
  <si>
    <t>li rü</t>
  </si>
  <si>
    <t>follow</t>
  </si>
  <si>
    <t>(PP)</t>
  </si>
  <si>
    <t>L</t>
  </si>
  <si>
    <t>R</t>
  </si>
  <si>
    <t>precede</t>
  </si>
  <si>
    <t>Gruppe 1</t>
  </si>
  <si>
    <t>Gruppe 2</t>
  </si>
  <si>
    <t>Gruppe 4</t>
  </si>
  <si>
    <t>12-12-12</t>
  </si>
  <si>
    <t>Kommentar zum SF</t>
  </si>
  <si>
    <t>Wischer und Chassé-Li</t>
  </si>
  <si>
    <t>Rd1+2 &lt;Ecke&gt; Rd1+2</t>
  </si>
  <si>
    <t>Rd1, Übg-LR-rw, Ld2; Übg-RL</t>
  </si>
  <si>
    <t>Rechtsdrehung auf einer geraden Linie</t>
  </si>
  <si>
    <t>https://youtu.be/uaxLFh0acRs</t>
  </si>
  <si>
    <t>Hans</t>
  </si>
  <si>
    <t>Backe-Backe-Kuchen</t>
  </si>
  <si>
    <t>https://www.youtube.com/watch?v=pnOwx5yvvpc</t>
  </si>
  <si>
    <t>https://www.youtube.com/watch?v=ePpWGq3DEVs</t>
  </si>
  <si>
    <t>https://www.youtube.com/watch?v=_PqZGqr9Yq4</t>
  </si>
  <si>
    <t>https://www.youtube.com/watch?v=tX-KTlJmwvw</t>
  </si>
  <si>
    <t>https://www.youtube.com/watch?v=driRiyoLYlE</t>
  </si>
  <si>
    <t>https://www.youtube.com/watch?v=TqsohTiEXi4</t>
  </si>
  <si>
    <t>https://www.youtube.com/watch?v=e-Vbt-jY-Gk</t>
  </si>
  <si>
    <t>https://www.youtube.com/shorts/szDZu6EjBAM</t>
  </si>
  <si>
    <t>https://www.youtube.com/watch?v=AHz_DogC-o0</t>
  </si>
  <si>
    <t>https://www.youtube.com/watch?v=EaJdUD7AbNw</t>
  </si>
  <si>
    <t>https://www.youtube.com/watch?v=7qb6TcsEUng</t>
  </si>
  <si>
    <t>https://www.youtube.com/watch?v=wXYSPdTK9Eg</t>
  </si>
  <si>
    <t>https://www.youtube.com/watch?v=gjfJ_4Zsvn8</t>
  </si>
  <si>
    <t>https://www.youtube.com/watch?v=ny_M7Knj-Gk</t>
  </si>
  <si>
    <t>https://www.youtube.com/watch?v=OybRrYvA1qw</t>
  </si>
  <si>
    <t>https://youtu.be/fR5DSLVLjRg</t>
  </si>
  <si>
    <t>https://www.youtube.com/watch?v=4c_QrBTuiSc</t>
  </si>
  <si>
    <t>https://www.youtube.com/watch?v=hyv8-p6GAd0</t>
  </si>
  <si>
    <t>https://www.youtube.com/watch?v=9QnDJIGy3TY</t>
  </si>
  <si>
    <t>https://www.youtube.com/watch?v=iI78Izgx98w</t>
  </si>
  <si>
    <t>https://www.youtube.com/watch?v=iHAdTYyLV0A</t>
  </si>
  <si>
    <t>https://www.youtube.com/watch?v=gL_TI9z1ENY</t>
  </si>
  <si>
    <t>https://www.youtube.com/watch?v=3qGrNlCZkmQ</t>
  </si>
  <si>
    <t>https://www.youtube.com/watch?v=UfrYPVu9ez0</t>
  </si>
  <si>
    <t>https://www.youtube.com/watch?v=OiMRm3qTPcg</t>
  </si>
  <si>
    <t>https://youtu.be/SFZnF86v0Lg</t>
  </si>
  <si>
    <t>https://www.youtube.com/watch?v=76Ej_yILcAI</t>
  </si>
  <si>
    <t>https://www.youtube.com/watch?v=R7KchmqEyOw</t>
  </si>
  <si>
    <t>https://www.youtube.com/watch?v=XJCntxh9fpc%20%20%20%20%20%20%20ab%20Minute%202:08</t>
  </si>
  <si>
    <t>https://www.youtube.com/watch?v=iVIoZhapxfs</t>
  </si>
  <si>
    <t>https://www.youtube.com/watch?v=QA2GeuRZmqg</t>
  </si>
  <si>
    <t>https://www.youtube.com/watch?v=Tw7zJY0_MMM</t>
  </si>
  <si>
    <t>https://youtu.be/3wcxbZjdGGA</t>
  </si>
  <si>
    <t>https://www.youtube.com/watch?v=fH__CSFSjKQ</t>
  </si>
  <si>
    <t>https://www.youtube.com/watch?v=NDenZ1rH6GU</t>
  </si>
  <si>
    <t>Hiptwist-Ronde Hiptwist-Chassé</t>
  </si>
  <si>
    <t>CC Hans_20171116_215825</t>
  </si>
  <si>
    <t>CrabWalks 2015</t>
  </si>
  <si>
    <t>RB Hans Advanced SlidingDoor 18-04-12</t>
  </si>
  <si>
    <t>RB Hans  2014-09</t>
  </si>
  <si>
    <t>von hinten</t>
  </si>
  <si>
    <t>von vorne</t>
  </si>
  <si>
    <t>von links</t>
  </si>
  <si>
    <t>RB Hans 2015  08 24</t>
  </si>
  <si>
    <t>RB Hans 2015 03 05</t>
  </si>
  <si>
    <t>RB Hans Advanced Hiptwist</t>
  </si>
  <si>
    <t>Rust</t>
  </si>
  <si>
    <t>CC Rust25 Latin Feeling HNietsche</t>
  </si>
  <si>
    <t>CC Rust25 Technik ADTV</t>
  </si>
  <si>
    <t>JI Rust25 Technik RKieling</t>
  </si>
  <si>
    <t>RB Rust25 ADTV</t>
  </si>
  <si>
    <t>RB Rust25 Latin Feeling HNietsche</t>
  </si>
  <si>
    <t>SB Rust25 Latin Feeling HNietsche I</t>
  </si>
  <si>
    <t>SB Rust25 Latin Feeling HNietsche II</t>
  </si>
  <si>
    <t xml:space="preserve">SB Rust25 RKieling </t>
  </si>
  <si>
    <t xml:space="preserve">DF Rust25 </t>
  </si>
  <si>
    <t>SF Rust25 ADTV</t>
  </si>
  <si>
    <t>SF Rust25 RKieling Dame-Herr</t>
  </si>
  <si>
    <t>SF Rust25 RKieling II</t>
  </si>
  <si>
    <t>SF Rust25 RKieling</t>
  </si>
  <si>
    <t>SF Rust25 Technik Intro</t>
  </si>
  <si>
    <t>SF Rust25 Technik</t>
  </si>
  <si>
    <t xml:space="preserve">SW Rust25 MHull </t>
  </si>
  <si>
    <t>TG Rust25 ADTV</t>
  </si>
  <si>
    <t>TG Rust25 AKiefer</t>
  </si>
  <si>
    <t>Seven Up</t>
  </si>
  <si>
    <t>https://www.youtube.com/watch?v=NyBPjhCQnT4</t>
  </si>
  <si>
    <t>mit 2 Gehschritten davor</t>
  </si>
  <si>
    <t>https://www.youtube.com/watch?v=263-pZwIiBg</t>
  </si>
  <si>
    <t>Dame und Herr solo</t>
  </si>
  <si>
    <t>Hand- und Platzwechsel, auch in Verbindung mit Flirt</t>
  </si>
  <si>
    <t>https://www.youtube.com/watch?v=BM0_wkT5nMo</t>
  </si>
  <si>
    <t>Herrentor (entspr. DF He Goes, Bauchstreichler, Damendrehung (entspr. DF She Goes)</t>
  </si>
  <si>
    <t>https://www.youtube.com/watch?v=JZfHG73Zkp0</t>
  </si>
  <si>
    <t>Sonst</t>
  </si>
  <si>
    <t>Yael</t>
  </si>
  <si>
    <t>noch mal filmen</t>
  </si>
  <si>
    <t>Criss Cross</t>
  </si>
  <si>
    <t>https://www.youtube.com/watch?v=HvvXFLg2jSw</t>
  </si>
  <si>
    <t xml:space="preserve">Puppenspieler </t>
  </si>
  <si>
    <t>https://www.youtube.com/watch?v=QEcSJ8OIBgA</t>
  </si>
  <si>
    <t>https://www.youtube.com/watch?v=7GeJh3x8P38</t>
  </si>
  <si>
    <t>Flicks into Break</t>
  </si>
  <si>
    <t>MM</t>
  </si>
  <si>
    <t>https://www.youtube.com/watch?v=hnDHf9W3DqU</t>
  </si>
  <si>
    <t>Schattenwischer</t>
  </si>
  <si>
    <t>Rust26</t>
  </si>
  <si>
    <t>CC L1 Technik Rust26 MHull.mp4</t>
  </si>
  <si>
    <t>DF L1-2 A Rust26</t>
  </si>
  <si>
    <t>Doppeltes Lottchen</t>
  </si>
  <si>
    <t>QS L1-2 Technik Rust25 RKieling</t>
  </si>
  <si>
    <t>SB L1-2 A Rust26 FSlemties</t>
  </si>
  <si>
    <t>SB L1-2 B Rust26 FSlemties</t>
  </si>
  <si>
    <t>SB L1-2 Technik Rust26 MHull</t>
  </si>
  <si>
    <t>SB L2 Rust26 MHull</t>
  </si>
  <si>
    <t>SF L1 A Rust26 MHull</t>
  </si>
  <si>
    <t>SF L1 B Rust26 MHull</t>
  </si>
  <si>
    <t>SF L1 C Rust26 MHull</t>
  </si>
  <si>
    <t>SS L1 A Rust26 RFasiello</t>
  </si>
  <si>
    <t>SS L1 B Rust26 RFasiello</t>
  </si>
  <si>
    <t>SS L1-2 Rust26 ADTV</t>
  </si>
  <si>
    <t>SW L2 A Rust26 ADTV</t>
  </si>
  <si>
    <t>SW L2 B Rust26 ADTV</t>
  </si>
  <si>
    <t>SW-AS Demo L4 Rust26</t>
  </si>
  <si>
    <t>SW-AS L2 Rust26</t>
  </si>
  <si>
    <t>American Smooth</t>
  </si>
  <si>
    <t>TG 5Step Rust25 EnglMan</t>
  </si>
  <si>
    <t>TG L1-2 A Rust26 RFrieling.mp4</t>
  </si>
  <si>
    <t>TG L1-2 B Rust25 RFrieling Notitz</t>
  </si>
  <si>
    <t>TG L1-2 B Rust25 Frieling</t>
  </si>
  <si>
    <t>WW L1-2 Pendelfiguren Rust26 ADTV</t>
  </si>
  <si>
    <t>WW L2-3 Rust26 RFrieling.mp4</t>
  </si>
  <si>
    <t>RB Rust25 RFrieling</t>
  </si>
  <si>
    <t>RB L1 A Technik Rust26 RFrieling</t>
  </si>
  <si>
    <t>RB L1 B Technik Rust26 RFrieling</t>
  </si>
  <si>
    <t>SF L1-2 Rust26 RFrieling</t>
  </si>
  <si>
    <t>SF L1-1 Rust26 RFrieling Notitz</t>
  </si>
  <si>
    <t>https://www.youtube.com/watch?v=iHJFWeEASJw</t>
  </si>
  <si>
    <t>Box</t>
  </si>
  <si>
    <t>CC HaHa 2015 04.mp4</t>
  </si>
  <si>
    <t>CC Rust25 Latin Feeling HNietsche.mp4</t>
  </si>
  <si>
    <t>CC Rust25 RKieling.mp4</t>
  </si>
  <si>
    <t>CC Rust25 Technik ADTV.mp4</t>
  </si>
  <si>
    <t>JI Rust25 Technik RKieling.mp4</t>
  </si>
  <si>
    <t>JI Hans 1 2015 04.mp4</t>
  </si>
  <si>
    <t>JI Ya Box.mp4</t>
  </si>
  <si>
    <t>RB Hans  2014-09.mp4</t>
  </si>
  <si>
    <t>RB Hans 3 Trees vh.wmv</t>
  </si>
  <si>
    <t>RB Hans 3 Trees vv.mp4</t>
  </si>
  <si>
    <t>RB Hans 3 Trees vl.mp4</t>
  </si>
  <si>
    <t>RB Hans 2015  08 24.mp4</t>
  </si>
  <si>
    <t>RB Hans 2015 03 05.mp4</t>
  </si>
  <si>
    <t>RB Hans Advanced Hiptwist.mp4</t>
  </si>
  <si>
    <t>RB Hans Advanced SlidingDoor.mp4</t>
  </si>
  <si>
    <t>RB Rust25 ADTV.mp4</t>
  </si>
  <si>
    <t>RB Rust25 Latin Feeling HNietsche.mp4</t>
  </si>
  <si>
    <t>CC L1 A Technik Rust26 RFrieling</t>
  </si>
  <si>
    <t>CC L1 A Technik Rust26 RFrieling.mp4</t>
  </si>
  <si>
    <t>JI Hans 2 2015 05.mp4</t>
  </si>
  <si>
    <t>RB Rust25 RFrieling.mp4</t>
  </si>
  <si>
    <t>RB L1 B Technik Rust26 RFrieling.mp4</t>
  </si>
  <si>
    <t>RB L1 A Technik Rust26 RFrieling.mp4</t>
  </si>
  <si>
    <t>SB Rust25 Latin Feeling HNietsche I.mp4</t>
  </si>
  <si>
    <t>SB Rust25 Latin Feeling HNietsche II.mp4</t>
  </si>
  <si>
    <t>SB Rust25 RKieling .mp4</t>
  </si>
  <si>
    <t>SB Schattenpromenaden.mp4</t>
  </si>
  <si>
    <t>SB Ya Criss Cross.mp4</t>
  </si>
  <si>
    <t>SB L1-2 A Rust26 FSlemties.mp4</t>
  </si>
  <si>
    <t>SB L1-2 B Rust26 FSlemties.mp4</t>
  </si>
  <si>
    <t>SB L2 Rust26 MHull.mp4</t>
  </si>
  <si>
    <t>SB L1-2 Technik Rust26 MHull.mp4</t>
  </si>
  <si>
    <t>DF Rust25 .mp4</t>
  </si>
  <si>
    <t>DF L1-2 A Rust26.mp4</t>
  </si>
  <si>
    <t>ok</t>
  </si>
  <si>
    <t>https://www.youtube.com/watch?v=eTDljBlYSDw</t>
  </si>
  <si>
    <t>QS Ya Doppeltes Lottchen Teil 1.mp4</t>
  </si>
  <si>
    <t>QS L1-2 Technik Rust25 RKieling.mp4</t>
  </si>
  <si>
    <t>SF Rust25 ADTV.mp4</t>
  </si>
  <si>
    <t>SF Rust25 RKieling Dame-Herr.mp4</t>
  </si>
  <si>
    <t>SF Rust25 RKieling II.mp4</t>
  </si>
  <si>
    <t>SF Rust25 RKieling.mp4</t>
  </si>
  <si>
    <t>SF Rust25 Technik Intro.mp4</t>
  </si>
  <si>
    <t>SF Rust25 Technik.mp4</t>
  </si>
  <si>
    <t>SF L1 A Rust26 MHull.mp4</t>
  </si>
  <si>
    <t>SF L1 B Rust26 MHull.mp4</t>
  </si>
  <si>
    <t>SF L1 C Rust26 MHull.mp4</t>
  </si>
  <si>
    <t>SF L1-2 Rust26 RFrieling.mp4</t>
  </si>
  <si>
    <t>SF L1-1 Rust26 RFrieling Notitz.jpg</t>
  </si>
  <si>
    <t>SW Rust25 MHull .mp4</t>
  </si>
  <si>
    <t>SW L2 A Rust26 ADTV.mp4</t>
  </si>
  <si>
    <t>SW L2 B Rust26 ADTV.mp4</t>
  </si>
  <si>
    <t>TG Rust25 ADTV.mp4</t>
  </si>
  <si>
    <t>TG Rust25 AKiefer.mp4</t>
  </si>
  <si>
    <t>TG 5Step Rust25 EnglMan.mp4</t>
  </si>
  <si>
    <t>TG L1-2 B Rust26 Frieling.mp4</t>
  </si>
  <si>
    <t>TG L1-2 B Rust26 RFrieling Notitz.jpg</t>
  </si>
  <si>
    <t>WW L1-2 Pendelfiguren Rust26 ADTV.mp4</t>
  </si>
  <si>
    <t>SS L1 A Rust26 RFasiello.mp4</t>
  </si>
  <si>
    <t>SS L1 B Rust26 RFasiello.mp4</t>
  </si>
  <si>
    <t>SS L1-2 Rust26 ADTV.mp4</t>
  </si>
  <si>
    <t>Outside Spin</t>
  </si>
  <si>
    <t>https://www.youtube.com/watch?v=4yQb4sT8KkE</t>
  </si>
  <si>
    <t>CC HaHa.mp4</t>
  </si>
  <si>
    <t>einfache Folge, neu aufnehmen</t>
  </si>
  <si>
    <t>CC Christoph Balzer.mp4</t>
  </si>
  <si>
    <t>Christoph Balzer</t>
  </si>
  <si>
    <t>einfache Folge</t>
  </si>
  <si>
    <t>Bianca</t>
  </si>
  <si>
    <t>Schmetterling Anfang</t>
  </si>
  <si>
    <t>CC Hip Action in Cha Cha Cha _ Follow Along Tutorial.mp4</t>
  </si>
  <si>
    <t>Hip Action</t>
  </si>
  <si>
    <t>CC L1 Technik Rust26 Mhull</t>
  </si>
  <si>
    <t>Aufschritt</t>
  </si>
  <si>
    <t>CCC L</t>
  </si>
  <si>
    <t>Herr</t>
  </si>
  <si>
    <t>Dame</t>
  </si>
  <si>
    <t>Bewegungs
Richtung</t>
  </si>
  <si>
    <t>N</t>
  </si>
  <si>
    <t>W</t>
  </si>
  <si>
    <t>Timing</t>
  </si>
  <si>
    <t>QQS</t>
  </si>
  <si>
    <t>S</t>
  </si>
  <si>
    <t>SS</t>
  </si>
  <si>
    <t>1/4 L auf 1</t>
  </si>
  <si>
    <t>1/4 R auf 1</t>
  </si>
  <si>
    <t>vor</t>
  </si>
  <si>
    <t>vor-rück</t>
  </si>
  <si>
    <t>rück-vor</t>
  </si>
  <si>
    <t>1/2 R auf 1</t>
  </si>
  <si>
    <t>1/2 L auf 1</t>
  </si>
  <si>
    <t>O</t>
  </si>
  <si>
    <t>1/1 R</t>
  </si>
  <si>
    <t>Hände</t>
  </si>
  <si>
    <t xml:space="preserve">Wiege </t>
  </si>
  <si>
    <t>Kreuz R</t>
  </si>
  <si>
    <t>RR ü Kopf d D</t>
  </si>
  <si>
    <t>LL ü Kopf d D</t>
  </si>
  <si>
    <t>Hans Link falsch</t>
  </si>
  <si>
    <t>CC Hans Ronde HipTwistChasse 2014_12.mp4</t>
  </si>
  <si>
    <t>CC Bianca Der Hüpfer - Dame.mp4</t>
  </si>
  <si>
    <t>CC Bianca Der Hüpfer - Herr.mp4</t>
  </si>
  <si>
    <t>CC Bianca Schmetterling Anfang.mov</t>
  </si>
  <si>
    <t>Hüpfer</t>
  </si>
  <si>
    <t>Damenschritte</t>
  </si>
  <si>
    <t>Herrenschritte</t>
  </si>
  <si>
    <t>CC Bianca Schmetterling  Herr.MOV</t>
  </si>
  <si>
    <t>CC Bianca Schmetterling Dame.MOV</t>
  </si>
  <si>
    <t>CC Bianca Schmetterling Erweiterung-1.MOV</t>
  </si>
  <si>
    <t>CC Bianca Schmetterling Erweiterung-2.MOV</t>
  </si>
  <si>
    <t>DF TrCBrsp Folge 1.mp4</t>
  </si>
  <si>
    <t>DF TrCBrsp Folge 1.docx</t>
  </si>
  <si>
    <t>DF TrCBrsp Folge 2.mp4</t>
  </si>
  <si>
    <t>DF TrCBrsp Folge 2.docx</t>
  </si>
  <si>
    <t>DF TrCBrsp Folge 3.docx</t>
  </si>
  <si>
    <t>Trainer C Breitensport; Bernd Junghans</t>
  </si>
  <si>
    <t>DF TrCBrsp Folge 3 durchgetanzt.mp4</t>
  </si>
  <si>
    <t>DF TrCBrsp Folge 3 erklärt.mp4</t>
  </si>
  <si>
    <t>Buch + Basic</t>
  </si>
  <si>
    <t>DF L1-2 B  Rust26.mp4</t>
  </si>
  <si>
    <t>Workshop mit Kristof am 24.6.23</t>
  </si>
  <si>
    <t>DF Kristóf Workshop.mp4</t>
  </si>
  <si>
    <t>DF Kristóf Workshop</t>
  </si>
  <si>
    <t>DF Kristóf Basic Figuren.pdf</t>
  </si>
  <si>
    <t>DF Kristóf Workshop 24.6.23.mp4</t>
  </si>
  <si>
    <t>JI Bianca Teil 1 Herr.mp4</t>
  </si>
  <si>
    <t>JI Bianca Teil 1 Dame.mp4</t>
  </si>
  <si>
    <t>JI Bianca Teil 1 mit einer Alternative zu KickBallChange.MOV</t>
  </si>
  <si>
    <t>Kristóf</t>
  </si>
  <si>
    <t>LAT 1 Chucharacha Fußtechnik.mp4</t>
  </si>
  <si>
    <t>LAT 2 Chucharacha Timing.mp4</t>
  </si>
  <si>
    <t>LAT 3 Chucharacha Hüftbewegung.mp4</t>
  </si>
  <si>
    <t>LAT Armbewegung 1.mp4</t>
  </si>
  <si>
    <t>LAT Armbewegung 2.mp4</t>
  </si>
  <si>
    <t>LAT Armbewegung 3.mp4</t>
  </si>
  <si>
    <t>LAT Armbewegung 4.mp4</t>
  </si>
  <si>
    <t>LAT Armbewegung_4.mp4</t>
  </si>
  <si>
    <t>LAT ChaCha Solo (Footwork).mp4</t>
  </si>
  <si>
    <t>LAT ChaCha Solo (Hüftrotation).mp4</t>
  </si>
  <si>
    <t>LAT Drehtechnik 1.mp4</t>
  </si>
  <si>
    <t>LAT Drehtechnik 2.mp4</t>
  </si>
  <si>
    <t>LAT Drehtechnik 3.mp4</t>
  </si>
  <si>
    <t>LAT Drehübung Nr 1.mp4</t>
  </si>
  <si>
    <t>LAT Drehübung Nr 2.mp4</t>
  </si>
  <si>
    <t>LAT Drehübung Nr 3.mp4</t>
  </si>
  <si>
    <t>LAT Drehübung Nr 4.mp4</t>
  </si>
  <si>
    <t>LAT Drehübung Nr 5.mp4</t>
  </si>
  <si>
    <t>LAT Drehübung Nr.6 Eine Folge.mp4</t>
  </si>
  <si>
    <t>LAT Jive Grundtechnik.mp4</t>
  </si>
  <si>
    <t>LAT Langsamer Walzer Swing and Shape.mp4</t>
  </si>
  <si>
    <t>LAT Latein Fußtechnik.mp4</t>
  </si>
  <si>
    <t>LAT Rumba Hüfte.mp4</t>
  </si>
  <si>
    <t>LAT SAM Voltas, Botafogo.mp4</t>
  </si>
  <si>
    <t>LAT Samba Basic &amp; Bounce.mp4</t>
  </si>
  <si>
    <t>STD Fersendrehung.mp4</t>
  </si>
  <si>
    <t>STD Tango Flick action.mp4</t>
  </si>
  <si>
    <t>ddd</t>
  </si>
  <si>
    <t>ALL Gehirn-Gymnastik 1 YouTube.mp4</t>
  </si>
  <si>
    <t>ALL Gehirn-Gymnastik 2 YouTube.mp4</t>
  </si>
  <si>
    <t>ALL Gehirn-Gymnastik 3 - YouTube.mp4</t>
  </si>
  <si>
    <t>ALL Tanzmusik.mp4</t>
  </si>
  <si>
    <t>SW HaHa LD Corté OutsideSpin TwistTurn.AVI</t>
  </si>
  <si>
    <t>SW HaHa Slow Waltz 2015 05.wmv</t>
  </si>
  <si>
    <t>SW HaHa Walzer 2014_11_mit OutsideSpin_TurningLockR B.wmv</t>
  </si>
  <si>
    <t>SW HaHa Walzer 2014_11_mit OutsideSpin_TurningLockR.wmv</t>
  </si>
  <si>
    <t>SW HaHa Walzer langsam 2015 08.wmv</t>
  </si>
  <si>
    <t>SW Bianca Außenseitlicher Wechsel 3 Beispiele.mp4</t>
  </si>
  <si>
    <t>SW Bianca Oversway.MOV</t>
  </si>
  <si>
    <t>SW Bianca Sterbender Schwan - Dame.mp4</t>
  </si>
  <si>
    <t>SW Bianca Sterbender Schwan - Herr.mp4</t>
  </si>
  <si>
    <t>SW Bianca Windmühle.mp4</t>
  </si>
  <si>
    <t>SW English Waltz Lesson_ Open Right Turn (Konstantin).mp4</t>
  </si>
  <si>
    <t>SW KLM  Tanzwochenende 2006.mp4</t>
  </si>
  <si>
    <t>SW Backcheck Endlauf.mp4</t>
  </si>
  <si>
    <t>SW Backcheck Lockstep.mp4</t>
  </si>
  <si>
    <t>SW Backcheck Outside Change.mp4</t>
  </si>
  <si>
    <t>SW Backcheck Zögerwechsel.mp4</t>
  </si>
  <si>
    <t>KLM</t>
  </si>
  <si>
    <t>Back check Ausgänge</t>
  </si>
  <si>
    <t>Open right turn</t>
  </si>
  <si>
    <t>Windmühle</t>
  </si>
  <si>
    <t>Oversway</t>
  </si>
  <si>
    <t>Sterbender Schwan</t>
  </si>
  <si>
    <t>Endlauf</t>
  </si>
  <si>
    <t>Outside Change</t>
  </si>
  <si>
    <t>Rd Impetus Wing Telemark Chassé Rd</t>
  </si>
  <si>
    <t>Outside Change 3 Beispiele</t>
  </si>
  <si>
    <t>SW Kristóf Stern Basictraining Kristóf.mp4</t>
  </si>
  <si>
    <t>SW Oversway.mp4</t>
  </si>
  <si>
    <t>Der Stern</t>
  </si>
  <si>
    <t>SW Open Natural &amp; Outside Spin - Slow Waltz.mp4</t>
  </si>
  <si>
    <t>Open Rd + Outside spin</t>
  </si>
  <si>
    <t>Basic-Folge</t>
  </si>
  <si>
    <t>SW Slow Waltz Basic _ Szymon Kalinowski &amp; Grazyna Grabicka _ Figure names, counting, music.mp4</t>
  </si>
  <si>
    <t>AS SW Demo L4 Rust26.mp4</t>
  </si>
  <si>
    <t>AS SW L2 Rust26.mp4</t>
  </si>
  <si>
    <t>AS SW Learn to Waltz Dance - The Walkaround Turn1.mp4</t>
  </si>
  <si>
    <t>AS SW Learn to dance Waltz Butterfly Fallaway Spin.mp4</t>
  </si>
  <si>
    <t>Butterfly Fallaway Spin</t>
  </si>
  <si>
    <t>Walk around</t>
  </si>
  <si>
    <t>Armbewegung</t>
  </si>
  <si>
    <t>Drehtechnik</t>
  </si>
  <si>
    <t>Teil 2</t>
  </si>
  <si>
    <t>Teil 3</t>
  </si>
  <si>
    <t>Teil 4</t>
  </si>
  <si>
    <t>Teil 5</t>
  </si>
  <si>
    <t xml:space="preserve"> Drehübung</t>
  </si>
  <si>
    <t>Teil 1</t>
  </si>
  <si>
    <t>Folge</t>
  </si>
  <si>
    <t>QS Fishtail Egils.mp4</t>
  </si>
  <si>
    <t>QS Fishtail.mp4</t>
  </si>
  <si>
    <t>QS HaHa Basisfolge.mp4</t>
  </si>
  <si>
    <t>QS HaHa Fishschwanz lang und kurz.mp4</t>
  </si>
  <si>
    <t>QS HaHa Quick Running Turnes.mp4</t>
  </si>
  <si>
    <t>QS HaHa Running Promenade.mp4</t>
  </si>
  <si>
    <t>QS HaHa V6 2015 04.mp4</t>
  </si>
  <si>
    <t>Fishtail Egils</t>
  </si>
  <si>
    <t>Fishtail</t>
  </si>
  <si>
    <t>Fishschwanz lang und kurz</t>
  </si>
  <si>
    <t>Basisfolge</t>
  </si>
  <si>
    <t>Quick Running Turnes</t>
  </si>
  <si>
    <t>Running Promenade</t>
  </si>
  <si>
    <t>V6</t>
  </si>
  <si>
    <t>QS Bianca StepHop Dame 2.mp4</t>
  </si>
  <si>
    <t>QS Bianca StepHop Dame mit Musik.mp4</t>
  </si>
  <si>
    <t>QS Bianca StepHop.xlsx</t>
  </si>
  <si>
    <t>QS Bianca StepHop Dame 1.mp4</t>
  </si>
  <si>
    <t>QS Bianca StepHop Herr 1.mp4</t>
  </si>
  <si>
    <t>QS Bianca StepHop Herr 2.mp4</t>
  </si>
  <si>
    <t>StepHop</t>
  </si>
  <si>
    <t>Dame mit Musikl</t>
  </si>
  <si>
    <t>Herr mti Musikl</t>
  </si>
  <si>
    <t>QS Bianca StepHop Herr mit Musik.mp4</t>
  </si>
  <si>
    <t>QS Bianca SIT Dame.mp4</t>
  </si>
  <si>
    <t>QS Bianca SIT Herr.mp4</t>
  </si>
  <si>
    <t>SIT</t>
  </si>
  <si>
    <t>QS Tippsy 2.mp4</t>
  </si>
  <si>
    <t>QS Tippsy 3.mp4</t>
  </si>
  <si>
    <t>QS Tipsy.mp4</t>
  </si>
  <si>
    <t>Tipsy</t>
  </si>
  <si>
    <t>eigene Aufnahme</t>
  </si>
  <si>
    <t>RB HaHa 3 Trees_vh.wmv</t>
  </si>
  <si>
    <t>RB HaHa 3 Trees_vl.mp4</t>
  </si>
  <si>
    <t>RB HaHa 3 Trees_vv.mp4</t>
  </si>
  <si>
    <t>RB HaHa Advanced Sliding Door.mp4</t>
  </si>
  <si>
    <t>RB Three threes - Rumba.mp4</t>
  </si>
  <si>
    <t>Advanced Sliding Doors</t>
  </si>
  <si>
    <t>RB ImgBallroom Three Trees.mp4</t>
  </si>
  <si>
    <t>RB YT Three Trees .mp4</t>
  </si>
  <si>
    <t>alle Details</t>
  </si>
  <si>
    <t>RB HaHa Die Lange.mp4</t>
  </si>
  <si>
    <t>RB HaHa Einfache Folge.mp4</t>
  </si>
  <si>
    <t>RB HaHa Folge mit vielen HipTwists.mp4</t>
  </si>
  <si>
    <t>RB HaHa Verfolgung.mp4</t>
  </si>
  <si>
    <t>Die Lange</t>
  </si>
  <si>
    <t>Einfache Folge</t>
  </si>
  <si>
    <t>Folge mit vielen Hip Twists</t>
  </si>
  <si>
    <t>Verfolgung</t>
  </si>
  <si>
    <t>Eine einfache Folge</t>
  </si>
  <si>
    <t>RB Kristof Training am 24.6.23.mp4</t>
  </si>
  <si>
    <t>Spirale, Fan, Hockey Stick</t>
  </si>
  <si>
    <t xml:space="preserve">Fan, Hockey Stick, Cucaracha, Alemana, </t>
  </si>
  <si>
    <t>Fan, Alemana, Hand to Hand, Spot turn, Walk, ZickZack, HipTwist, opening out</t>
  </si>
  <si>
    <t>Fan, Spirale Turkish Towel, Hockey Stick, ReKreisel, LiKreisel, Aida, Spot Turn</t>
  </si>
  <si>
    <t>RB Bianca Kliffhanger.mp4</t>
  </si>
  <si>
    <t>RB HaHa Advanced Hiptwist.mp4</t>
  </si>
  <si>
    <t>Kliffhänger</t>
  </si>
  <si>
    <t>frozen New York, Opening Out, …</t>
  </si>
  <si>
    <t>RB Kristóf Handtuch.mp4</t>
  </si>
  <si>
    <t>RB Kristof Folge vom 24.6.23.mp4</t>
  </si>
  <si>
    <t>Spiral, Fan, Alemana, Opening out, Hockey Stick in PP</t>
  </si>
  <si>
    <t>Handtuch, Spirale</t>
  </si>
  <si>
    <t>Handtuch - Ein Workshop</t>
  </si>
  <si>
    <t>RB Yael Spaziergang.mp4</t>
  </si>
  <si>
    <t>Spaziergang</t>
  </si>
  <si>
    <t>HandToHand, Cucaracha, Aida, Ronde, Fancing Line</t>
  </si>
  <si>
    <t>SS A+F 180914TanzenSalsa.MOV</t>
  </si>
  <si>
    <t>SS A+F 20180628_213137.mp4</t>
  </si>
  <si>
    <t>SS A+F 20181220_215152.mp4</t>
  </si>
  <si>
    <t>SS A+F 20181220_215339.mp4</t>
  </si>
  <si>
    <t>SS A+F 2019-08-15.mp4</t>
  </si>
  <si>
    <t>SS A+F 20190330_170545.mp4</t>
  </si>
  <si>
    <t>SS A+F 20190331_145646.mp4</t>
  </si>
  <si>
    <t>SS A+F 20190331_145707.mp4</t>
  </si>
  <si>
    <t>SS A+F 20190331_151000.mp4</t>
  </si>
  <si>
    <t>SS A+F 20190331_151010.mp4</t>
  </si>
  <si>
    <t>SS A+F 20190331_151045.mp4</t>
  </si>
  <si>
    <t>SS A+F 20190331_151105.mp4</t>
  </si>
  <si>
    <t>SS A+F 20190331_151157.mp4</t>
  </si>
  <si>
    <t>SS A+F 20190331_151207.mp4</t>
  </si>
  <si>
    <t>SS A+F 20190331_151231.mp4</t>
  </si>
  <si>
    <t>SS A+F 20190331_151250.mp4</t>
  </si>
  <si>
    <t>SS A+F IMG_2529.MOV</t>
  </si>
  <si>
    <t>SS A+F Salsa-Andrea&amp;Frank I.mp4</t>
  </si>
  <si>
    <t>SS A+F Salsa-Andrea&amp;Frank II.mp4</t>
  </si>
  <si>
    <t>SS A+F Salsa-Andrea&amp;Frank III.mp4</t>
  </si>
  <si>
    <t>SS A+F Salsa-Andrea&amp;Frank IV.mp4</t>
  </si>
  <si>
    <t>SS A+F Salsa-Andrea&amp;Frank V.mp4</t>
  </si>
  <si>
    <t>Andrea und Frank</t>
  </si>
  <si>
    <t>admin</t>
  </si>
  <si>
    <t>folge</t>
  </si>
  <si>
    <t>fig</t>
  </si>
  <si>
    <t>fend</t>
  </si>
  <si>
    <t>CC001</t>
  </si>
  <si>
    <t>Zeile</t>
  </si>
  <si>
    <t>Raum-
richtung</t>
  </si>
  <si>
    <t>CCC R</t>
  </si>
  <si>
    <t>geschl TH</t>
  </si>
  <si>
    <t>NW</t>
  </si>
  <si>
    <t>Fuß</t>
  </si>
  <si>
    <t>Nr</t>
  </si>
  <si>
    <t>7 - 9 zurück</t>
  </si>
  <si>
    <t>Schritt /
Figur</t>
  </si>
  <si>
    <t>Schritt / 
Figur</t>
  </si>
  <si>
    <t>CC021</t>
  </si>
  <si>
    <t>CC023</t>
  </si>
  <si>
    <t>Folge: kleiner Lockstep</t>
  </si>
  <si>
    <t>https://www.youtube.com/watch?v=JYBT0y7izfI</t>
  </si>
  <si>
    <t>ab Min 1:04</t>
  </si>
  <si>
    <t>Rust25 R.Frieling</t>
  </si>
  <si>
    <t>Kick Ball Change</t>
  </si>
  <si>
    <t>2 Schritte</t>
  </si>
  <si>
    <t>Spot Turn links</t>
  </si>
  <si>
    <t>Lock Step</t>
  </si>
  <si>
    <t>LR</t>
  </si>
  <si>
    <t>links</t>
  </si>
  <si>
    <t>2 Schritte + Drehung</t>
  </si>
  <si>
    <t>Schritt - Tip (FW)</t>
  </si>
  <si>
    <t>RL</t>
  </si>
  <si>
    <t>Wiege rv (D: überdrehter Fan)</t>
  </si>
  <si>
    <t>Platz, Platz (FW)</t>
  </si>
  <si>
    <t>am Platz</t>
  </si>
  <si>
    <t>Kick nach L</t>
  </si>
  <si>
    <t>SO</t>
  </si>
  <si>
    <t>Workshop Kristóf am 28.3.26</t>
  </si>
  <si>
    <t>Schiebetür</t>
  </si>
  <si>
    <t>Körbchen</t>
  </si>
  <si>
    <t>https://youtu.be/bltEvvt1YAs</t>
  </si>
  <si>
    <t>https://youtu.be/yTG1OuyUGFs</t>
  </si>
  <si>
    <t>Brezel</t>
  </si>
  <si>
    <t>https://youtu.be/fvrous6VhLM</t>
  </si>
  <si>
    <t>DF Kristóf Workshop am 28.3.26.mp4</t>
  </si>
  <si>
    <t>TG Kristóf Workshop am 28.3.26.mp4</t>
  </si>
  <si>
    <t>SF Kristóf Workshop am 28.3.26.mp4</t>
  </si>
  <si>
    <t>QS Egils Bronze Level Routine.mp4</t>
  </si>
  <si>
    <t>QS Egils Silver Level Routine.mp4</t>
  </si>
  <si>
    <t>Nat Spin Turn, Back Lock, Tipple Chasse to R, Lock Step, Quick Open Reverse, Chassé to L</t>
  </si>
  <si>
    <t>Nat Spin Turn, Back Lock, Tipple Chasse to R, Tipple Chassé to L, Lock Step, Running Finish</t>
  </si>
  <si>
    <t>Bronze Folge</t>
  </si>
  <si>
    <t>Silber Folge</t>
  </si>
  <si>
    <t>28.3.26</t>
  </si>
  <si>
    <t>Wischer, Federschritt, Telemark, Federschritt</t>
  </si>
  <si>
    <t>in Planung, noch kein Film</t>
  </si>
  <si>
    <t>Wischer, Flechte, Federende</t>
  </si>
  <si>
    <t>Handtuch</t>
  </si>
  <si>
    <t xml:space="preserve"> (turkish towel)</t>
  </si>
  <si>
    <t>Fan</t>
  </si>
  <si>
    <t>https://www.youtube.com/watch?v=gDkI1yrh83Y</t>
  </si>
  <si>
    <t>solo</t>
  </si>
  <si>
    <t>als Paar</t>
  </si>
  <si>
    <t>https://www.youtube.com/watch?v=h0DLafiAp4Y</t>
  </si>
  <si>
    <t>Basisvariante</t>
  </si>
  <si>
    <t>Spirale-Eingang (Dame);
2 x Cucaracha seit (Herr)</t>
  </si>
  <si>
    <t>kein Film</t>
  </si>
  <si>
    <t>Seitenwechsel</t>
  </si>
  <si>
    <t>(die Folge heisst hier Mambo Kick)</t>
  </si>
  <si>
    <t>wir lassen die Hände gefasst</t>
  </si>
  <si>
    <t>Rd1, Chassé R, Ld1, Chassé-L, Rd-AP</t>
  </si>
  <si>
    <t>Mittwoch</t>
  </si>
  <si>
    <t>filter</t>
  </si>
  <si>
    <t>LAT001</t>
  </si>
  <si>
    <t>SB Hans Cris Cros 2015  02 26.wmv</t>
  </si>
  <si>
    <t>SB Hans Kontra Botafogo.mp4</t>
  </si>
  <si>
    <t>SB Hans viel drehen.wmv</t>
  </si>
  <si>
    <t>SB Bianca 2 8er Pakete Dame.mp4</t>
  </si>
  <si>
    <t>SB Bianca 2 8er Pakete Herr.mp4</t>
  </si>
  <si>
    <t>SB Bianca 8er Pakete.MOV</t>
  </si>
  <si>
    <t>SB Bianca 8er Pakte Takt.mp4</t>
  </si>
  <si>
    <t>SB Bianca SambaLocks.mp4</t>
  </si>
  <si>
    <t>SambaLocks</t>
  </si>
  <si>
    <t>8er Pakete</t>
  </si>
  <si>
    <t>2 8er Pakete Herr</t>
  </si>
  <si>
    <t>2 8er Pakete Dame</t>
  </si>
  <si>
    <t>8er Pakte Takt</t>
  </si>
  <si>
    <t>SB Kristóf WS Feb25.mp4</t>
  </si>
  <si>
    <t>Kristóf Workshop Februar 2025</t>
  </si>
  <si>
    <t>Bianca SambaLocks</t>
  </si>
  <si>
    <t>CC Hans BackeBackeKuchen.mp4</t>
  </si>
  <si>
    <t>CC Hans_20171116_215825.mp4</t>
  </si>
  <si>
    <t>CC_Hans CrabWalks 2015.mp4</t>
  </si>
  <si>
    <t>Verfolger</t>
  </si>
  <si>
    <t>Wischer, GS, rev GS</t>
  </si>
  <si>
    <t>Film fehlt</t>
  </si>
  <si>
    <t>QS Kristóf InOutStepHopLAchse 1.mp4</t>
  </si>
  <si>
    <t>QS Kristóf InOutStepHopLAchse 2.mp4</t>
  </si>
  <si>
    <t>von PP: In&amp;Out, Run, 2xStepHop, Linksachse, progr. Chassé</t>
  </si>
  <si>
    <t>Figur mit: In&amp;Out, StepHop, Linksachse, …</t>
  </si>
  <si>
    <t>Aida</t>
  </si>
  <si>
    <t>https://youtu.be/x_6Ss1S6lKA</t>
  </si>
  <si>
    <t>mit Spirale</t>
  </si>
  <si>
    <t>https://youtu.be/7EGhxEiRG3A</t>
  </si>
  <si>
    <t>https://youtu.be/BOtfBEc3c_c?list=TLPQMjcwNDIwMjbVsnA_9Vk0Qg</t>
  </si>
  <si>
    <t>zu beiden Seiten mit Spirale</t>
  </si>
  <si>
    <t>Zum Video</t>
  </si>
  <si>
    <t>Cha Cha Cha</t>
  </si>
  <si>
    <t>Rumba</t>
  </si>
  <si>
    <t>Jive</t>
  </si>
  <si>
    <t>Samba</t>
  </si>
  <si>
    <t>Discofox</t>
  </si>
  <si>
    <t>Langsamer Walzer</t>
  </si>
  <si>
    <t>Tango</t>
  </si>
  <si>
    <t>Quick Step</t>
  </si>
  <si>
    <t>Slowfox</t>
  </si>
  <si>
    <t>Wiener Walzer</t>
  </si>
  <si>
    <t>Alemana, Opening out, Hip twist, Fan, Umeinander</t>
  </si>
  <si>
    <t>Exort verschiedener Teil-Datenbanken</t>
  </si>
  <si>
    <t>CC HaHa 2015 CrabWalks.mp4</t>
  </si>
  <si>
    <t>CC Kristóf Workshop 2026.mp4</t>
  </si>
  <si>
    <t>CC Ronde HipTwistChasse 2014_12.mp4</t>
  </si>
  <si>
    <t>QS Kristóf Workshop 2026.mp4</t>
  </si>
  <si>
    <t>https://www.youtube.com/watch?v=vt0fuTzPdXM</t>
  </si>
  <si>
    <t>Grundschritt / Wiegeschritt</t>
  </si>
  <si>
    <t>https://www.youtube.com/watch?v=gQrHNRC-S7U</t>
  </si>
  <si>
    <t>https://www.youtube.com/watch?v=WpgcXLElWPo</t>
  </si>
  <si>
    <t>https://www.youtube.com/watch?v=VdNLw1Y7D9k</t>
  </si>
  <si>
    <t>https://www.youtube.com/watch?v=2kHTddRkqc4</t>
  </si>
  <si>
    <t>DF</t>
  </si>
  <si>
    <t>TG</t>
  </si>
  <si>
    <t>RB</t>
  </si>
  <si>
    <t>JI</t>
  </si>
  <si>
    <t>QS</t>
  </si>
  <si>
    <t>CC</t>
  </si>
  <si>
    <t>SW</t>
  </si>
  <si>
    <t>VW</t>
  </si>
  <si>
    <t>SB</t>
  </si>
  <si>
    <t>Tanzen TSV Mittwoch - Figuren und Folgen</t>
  </si>
  <si>
    <t>Brush Tap</t>
  </si>
  <si>
    <t>2xBackLock _ Hiptwist-Chassé _ D:Spirale, H:Wiege _ 3-Schritt-Drehung _ Cuban Breakes</t>
  </si>
  <si>
    <t>SW  Underarm Turn With a Partner for a Waltz.mp4</t>
  </si>
  <si>
    <t>SW Kristof Rd ZögWe Chas Ronde Endlauf I.mp4</t>
  </si>
  <si>
    <t>SW Kristof Rd ZögWe Chas Ronde Endlauf II.mp4</t>
  </si>
  <si>
    <t>SW Kristof Rd ZögWe Chas Ronde Übg I.mp4</t>
  </si>
  <si>
    <t>SW Kristof Rd ZögWe Chas Ronde Übg II.mp4</t>
  </si>
  <si>
    <t>Rd ZögWe Chas Ronde Übg II</t>
  </si>
  <si>
    <t>Rd ZögWe Chas Ronde Übg I</t>
  </si>
  <si>
    <t>Rd ZögWe Chas Ronde Endlauf II</t>
  </si>
  <si>
    <t>Rd ZögWe Chas Ronde Endlauf I</t>
  </si>
  <si>
    <t>Rd ZögWe Chas Ronde Endlauf</t>
  </si>
  <si>
    <t>https://www.youtube.com/watch?v=-JBOAHxTnLM</t>
  </si>
  <si>
    <t>Four Quick Run</t>
  </si>
  <si>
    <t>Schöne Folge</t>
  </si>
  <si>
    <t>Rd, Turning Lock, open Rd, Outside Chg, Wing, QuOpRev, 4QuRun</t>
  </si>
  <si>
    <t>QS Bianca FourQuickRun.MOV</t>
  </si>
  <si>
    <t>Körbchen, Schiebetür, Brezel, Damenschal</t>
  </si>
  <si>
    <t>Damenschal</t>
  </si>
  <si>
    <t>Kein Link vorhanden.</t>
  </si>
  <si>
    <t>Kein Video</t>
  </si>
  <si>
    <t>OutsideSpin TurningLock to right</t>
  </si>
  <si>
    <t>TG Hans Wiener Walzer LinksDrehung.AVI</t>
  </si>
  <si>
    <t>Wiener Walzer Links-Drehung</t>
  </si>
  <si>
    <t>Flick-Ball-Change mit Spirale</t>
  </si>
  <si>
    <t>In Planung</t>
  </si>
  <si>
    <t>https://youtu.be/V0JJ4D8JBCA</t>
  </si>
  <si>
    <t>Von der Brezel ins Körbchen</t>
  </si>
  <si>
    <t>Folge 2</t>
  </si>
  <si>
    <t>Folge 2 durchgetanzt</t>
  </si>
  <si>
    <t>F3 Notiz</t>
  </si>
  <si>
    <t>Folge1 Notiz</t>
  </si>
  <si>
    <t>Folge 2 Notiz</t>
  </si>
  <si>
    <t>Folge 3 Erklärung</t>
  </si>
  <si>
    <t>Bodscheller</t>
  </si>
  <si>
    <t>DF Bodscheller</t>
  </si>
  <si>
    <t>SW003</t>
  </si>
  <si>
    <t>SW004</t>
  </si>
  <si>
    <t>SW001</t>
  </si>
  <si>
    <t>Three Threes</t>
  </si>
  <si>
    <t>SW002</t>
  </si>
  <si>
    <t>SF001</t>
  </si>
  <si>
    <t>AW</t>
  </si>
  <si>
    <t>RD 1</t>
  </si>
  <si>
    <t>LD 1+2</t>
  </si>
  <si>
    <t>RD 1+2; Ü-RL</t>
  </si>
  <si>
    <t>LD 1+2; Ü-RL</t>
  </si>
  <si>
    <t>head</t>
  </si>
  <si>
    <t>Der 18er</t>
  </si>
  <si>
    <t>TR</t>
  </si>
  <si>
    <t>LD 2</t>
  </si>
  <si>
    <t>SW Traisa 1.jpeg</t>
  </si>
  <si>
    <t>SW Traisa 2.jpeg</t>
  </si>
  <si>
    <t xml:space="preserve">Traisa </t>
  </si>
  <si>
    <t>Datei nicht gefunden.</t>
  </si>
  <si>
    <t>SW005</t>
  </si>
  <si>
    <t>Traisa L6</t>
  </si>
  <si>
    <t>Traisa L1-L6</t>
  </si>
  <si>
    <t>Rechtskreisel</t>
  </si>
  <si>
    <t>Turning Lock &gt; PP</t>
  </si>
  <si>
    <t>gel. Rechtsflechte</t>
  </si>
  <si>
    <t>Linkskreisel</t>
  </si>
  <si>
    <t>Chassé n links</t>
  </si>
  <si>
    <t>Telemark</t>
  </si>
  <si>
    <t>gekurvter Federschritt n r</t>
  </si>
  <si>
    <t>Zögerziehschritt</t>
  </si>
  <si>
    <t>Chassé n links gedreht</t>
  </si>
  <si>
    <t>SW006</t>
  </si>
  <si>
    <t>Traisa L5</t>
  </si>
  <si>
    <t>RD 2</t>
  </si>
  <si>
    <t>Chassé n links gedrehht</t>
  </si>
  <si>
    <t>AW &gt; PP</t>
  </si>
  <si>
    <t>Telemark &gt; PP</t>
  </si>
  <si>
    <t>Traisa L4</t>
  </si>
  <si>
    <t>SW007</t>
  </si>
  <si>
    <t>SW008</t>
  </si>
  <si>
    <t>Traisa L3</t>
  </si>
  <si>
    <t>LD 1+2 &gt; linker Wischer</t>
  </si>
  <si>
    <t>AW + AW</t>
  </si>
  <si>
    <t>SW009</t>
  </si>
  <si>
    <t>Traisa L1+L2</t>
  </si>
  <si>
    <t>Grundschritt vor, rück</t>
  </si>
  <si>
    <t>RD 1+2</t>
  </si>
  <si>
    <t>Ü RL,Ü LR</t>
  </si>
  <si>
    <t>LD 1 + 2</t>
  </si>
  <si>
    <t>3/8 R</t>
  </si>
  <si>
    <t>2x3/8 R</t>
  </si>
  <si>
    <t>2x3/8 L</t>
  </si>
  <si>
    <t>1/4 L</t>
  </si>
  <si>
    <t>backing LOD</t>
  </si>
  <si>
    <t>backing DC</t>
  </si>
  <si>
    <t>?</t>
  </si>
  <si>
    <t>facing DW</t>
  </si>
  <si>
    <t>gleiches Video lokal</t>
  </si>
  <si>
    <t>JI Mooch Alexy.mp4</t>
  </si>
  <si>
    <t>https://www.youtube.com/watch?v=ai49xGmnc9g</t>
  </si>
  <si>
    <t>seq</t>
  </si>
  <si>
    <t>send</t>
  </si>
  <si>
    <t>https://www.youtube.com/watch?v=Fl3-xJAcNTM</t>
  </si>
  <si>
    <t>Anna Kovalova</t>
  </si>
  <si>
    <t>https://youtu.be/cDyDURtS_1k</t>
  </si>
  <si>
    <t>Alexey</t>
  </si>
  <si>
    <t>https://youtu.be/neQgSidvfwE</t>
  </si>
  <si>
    <t>The Camp</t>
  </si>
  <si>
    <t>leg speed is the clockwork, body speed is the melody</t>
  </si>
  <si>
    <t>https://youtu.be/S7DxQ9alK44</t>
  </si>
  <si>
    <t>https://www.youtube.com/watch?v=xRP2J55aVPQ</t>
  </si>
  <si>
    <t>https://youtu.be/tJ1JNTtnXRM</t>
  </si>
  <si>
    <t>https://www.youtube.com/@MatteoDelGaone</t>
  </si>
  <si>
    <t>Matteo Del Gaone</t>
  </si>
  <si>
    <t>https://www.youtube.com/@jtballroom</t>
  </si>
  <si>
    <t>jtballroom</t>
  </si>
  <si>
    <t>https://www.youtube.com/@EgilsSmagris</t>
  </si>
  <si>
    <t>https://www.youtube.com/watch?v=JDGm7iUmLoE</t>
  </si>
  <si>
    <t>RB Yael Handtuch und Sweetheart.mp4</t>
  </si>
  <si>
    <t>Handtuch und Sweetheart</t>
  </si>
  <si>
    <t>RB Traisa L1-4.jpeg</t>
  </si>
  <si>
    <t>Rumba aus Traisa</t>
  </si>
  <si>
    <t>SB Traisa L1-4.jpeg</t>
  </si>
  <si>
    <t>Samba aus Traisa</t>
  </si>
  <si>
    <t>QS Traisa L1-6.jpeg</t>
  </si>
  <si>
    <t>Slowfox aus Traisa</t>
  </si>
  <si>
    <t>SF Basic Variations _ Figure names and Timing.mp4</t>
  </si>
  <si>
    <t>SF Bianca OverSway mit Achsendrehungen Dame.MOV</t>
  </si>
  <si>
    <t>SF Bianca OverSway mit Achsendrehungen Herr.MOV</t>
  </si>
  <si>
    <t>SF Bianca Rechtsdr_offenerImp_offeneRd_geschlossenerImp_Federende  Herr.MOV</t>
  </si>
  <si>
    <t>SF Bianca Rechtsdr_offenerImp_offeneRd_geschlossenerImp_Federende Dame.MOV</t>
  </si>
  <si>
    <t>SF Hans 18-04-12.mp4</t>
  </si>
  <si>
    <t>SF Hans Slow1 18-04-12.mp4</t>
  </si>
  <si>
    <t>SF Hans Slowfox 2014_12.mp4</t>
  </si>
  <si>
    <t>SF Hans SlowFox 2015 02 12.mp4</t>
  </si>
  <si>
    <t>SF Hans SlowFox 2015 05.mp4</t>
  </si>
  <si>
    <t>SF Kristof WS Feb25.mp4</t>
  </si>
  <si>
    <t>SF Top Spin in Foxtrot - Slowfox Routine.mp4</t>
  </si>
  <si>
    <t>SF Traisa L1-L5.jpeg</t>
  </si>
  <si>
    <t>SF Traisa L6.jpeg</t>
  </si>
  <si>
    <t>CC Traisa L1-4.jpeg</t>
  </si>
  <si>
    <t>CC Traisa L5-6.jpeg</t>
  </si>
  <si>
    <t>Cha Cha Cha aus Traisa</t>
  </si>
  <si>
    <t>JI Traisa L1-6.jpeg</t>
  </si>
  <si>
    <t>Qickstep aus Traisa</t>
  </si>
  <si>
    <t>Jive aus Traisa</t>
  </si>
  <si>
    <t>Alternative</t>
  </si>
  <si>
    <t>Advanced Hiptwist</t>
  </si>
  <si>
    <t>Kristóf Workshop 2026</t>
  </si>
  <si>
    <t>L1</t>
  </si>
  <si>
    <t>QS001</t>
  </si>
  <si>
    <t>GS vor + rück</t>
  </si>
  <si>
    <t>L2</t>
  </si>
  <si>
    <t>QS Traisa L1</t>
  </si>
  <si>
    <t>SSQQ</t>
  </si>
  <si>
    <t>1/4 Drehung</t>
  </si>
  <si>
    <t>RD</t>
  </si>
  <si>
    <t>Rechtskreiseldrehung</t>
  </si>
  <si>
    <t>SSSS</t>
  </si>
  <si>
    <t>QS002</t>
  </si>
  <si>
    <t>QS Traisa L2</t>
  </si>
  <si>
    <t>Rechstskreiseldrehung</t>
  </si>
  <si>
    <t>Lockstep vor</t>
  </si>
  <si>
    <t>SQQS</t>
  </si>
  <si>
    <t>vivaladance</t>
  </si>
  <si>
    <t>OnDance</t>
  </si>
  <si>
    <t>Bonus; Matteo Del Gaone</t>
  </si>
  <si>
    <t>Bonus; jt ballroom</t>
  </si>
  <si>
    <t>https://youtu.be/HBuEVydkzIw</t>
  </si>
  <si>
    <t>rechts Lunge Pose - geschl. TH</t>
  </si>
  <si>
    <t>Rd 1</t>
  </si>
  <si>
    <t>Chassé n rechts</t>
  </si>
  <si>
    <t>Ld 1</t>
  </si>
  <si>
    <t>Spiel von Rd, Ld, Übg, Chassé</t>
  </si>
  <si>
    <t>Dame um den Herren</t>
  </si>
  <si>
    <t>Teil 2 L6</t>
  </si>
  <si>
    <t>AW -&gt; PP</t>
  </si>
  <si>
    <t>Wing -&gt; PP</t>
  </si>
  <si>
    <t>Spiel mit Rd, Ld, Übg, Chassé</t>
  </si>
  <si>
    <t>Ü-RL</t>
  </si>
  <si>
    <t>1/8 L</t>
  </si>
  <si>
    <t>Double Reverse Spin</t>
  </si>
  <si>
    <t>Dance Spirit Club</t>
  </si>
  <si>
    <t>https://youtu.be/DvZX34gGzYk</t>
  </si>
  <si>
    <t>https://youtu.be/I5LG9NX5jyM</t>
  </si>
  <si>
    <t>Kehre</t>
  </si>
  <si>
    <t>https://youtu.be/jMaUADztGAc</t>
  </si>
  <si>
    <t>Kehre (geplant)</t>
  </si>
  <si>
    <t>RD-1, AW-PP,  Chassé</t>
  </si>
  <si>
    <t>RD1+2, Ü, LD1+2, Ü</t>
  </si>
  <si>
    <t>RD1, Kreisel, Ü, LD1+2</t>
  </si>
  <si>
    <t>Gute Erklärung auch zur weiteren Ausführung der Drehung</t>
  </si>
  <si>
    <t>Gruppe 2            Stand 02.07.2026</t>
  </si>
  <si>
    <t>Tanzen TSV Mittwoch Figuren und Folgen - Gruppe 2         Stand 02.07.2026</t>
  </si>
  <si>
    <t>Spotturn</t>
  </si>
  <si>
    <t>https://youtu.be/T38K8kvQgiw</t>
  </si>
  <si>
    <t>https://youtu.be/5P_lQsgfAtg</t>
  </si>
  <si>
    <t>mit etwas Drumherum</t>
  </si>
  <si>
    <t>https://youtu.be/OdzZt2WYuYI</t>
  </si>
  <si>
    <t>sehr ausführlich</t>
  </si>
  <si>
    <t>TG001</t>
  </si>
  <si>
    <t>2 x Walk</t>
  </si>
  <si>
    <t>L R</t>
  </si>
  <si>
    <t>2x1/16 L</t>
  </si>
  <si>
    <t>3 Geh vor seitL rück</t>
  </si>
  <si>
    <t>Pose</t>
  </si>
  <si>
    <t>Offene Linksdrehung</t>
  </si>
  <si>
    <t>Syncopated basic rev turn</t>
  </si>
  <si>
    <t>Left Turn Variations</t>
  </si>
  <si>
    <t>Basic Reverse Turn, Open Reverse Turn, Syncopated Basic Reverse Turn</t>
  </si>
  <si>
    <t>https://youtu.be/ryot0Ma5aeo</t>
  </si>
  <si>
    <t>Egils:   
basic: 0:35
open: 7:20
syncop: 4:37</t>
  </si>
  <si>
    <t>mit Kehre (geplant)</t>
  </si>
  <si>
    <t>nach rechts</t>
  </si>
  <si>
    <t>Chassé R</t>
  </si>
  <si>
    <t>Chassé L</t>
  </si>
  <si>
    <t>nach links</t>
  </si>
  <si>
    <t>Turning Lock</t>
  </si>
  <si>
    <t>Wing</t>
  </si>
  <si>
    <t>n links gedreht</t>
  </si>
  <si>
    <t>geschlossene TH</t>
  </si>
  <si>
    <t>rechts Lunge Pose</t>
  </si>
  <si>
    <t>Figure
Reference</t>
  </si>
  <si>
    <t>CCF001</t>
  </si>
  <si>
    <t>CCF002</t>
  </si>
  <si>
    <t>CCF003</t>
  </si>
  <si>
    <t>CCF004</t>
  </si>
  <si>
    <t>CCF005</t>
  </si>
  <si>
    <t>oLOD</t>
  </si>
  <si>
    <t>1 2 3</t>
  </si>
  <si>
    <t>1 2 3 4 5 6</t>
  </si>
  <si>
    <t>3/8 re</t>
  </si>
  <si>
    <t>7/8 re</t>
  </si>
  <si>
    <t>3/8 li</t>
  </si>
  <si>
    <t>6/8 li</t>
  </si>
  <si>
    <t>gegen TR</t>
  </si>
  <si>
    <t>R vor</t>
  </si>
  <si>
    <t>L vor</t>
  </si>
  <si>
    <t>L rück</t>
  </si>
  <si>
    <t>R rück</t>
  </si>
  <si>
    <t>DM</t>
  </si>
  <si>
    <t>Herr
Fuß</t>
  </si>
  <si>
    <t>Herr
Alignment</t>
  </si>
  <si>
    <t>Herr
AoT</t>
  </si>
  <si>
    <t>Herr
Timing</t>
  </si>
  <si>
    <t>Dame
Fuß</t>
  </si>
  <si>
    <t>Dame
Alignment</t>
  </si>
  <si>
    <t>Dame
AoT</t>
  </si>
  <si>
    <t>Dame
Timing</t>
  </si>
  <si>
    <t xml:space="preserve">1 2 3 </t>
  </si>
  <si>
    <t>3/4 re</t>
  </si>
  <si>
    <t>RD 1 + AW</t>
  </si>
  <si>
    <t>R vor AP</t>
  </si>
  <si>
    <t>1/2 re</t>
  </si>
  <si>
    <t>1 2 &amp; 3</t>
  </si>
  <si>
    <t>von PP</t>
  </si>
  <si>
    <t>R -&gt; L</t>
  </si>
  <si>
    <t>C</t>
  </si>
  <si>
    <t>1/16 li</t>
  </si>
  <si>
    <t>1/16 re</t>
  </si>
  <si>
    <t>1-2-3</t>
  </si>
  <si>
    <t>3/8 re + 3/8 li</t>
  </si>
  <si>
    <t>3/16 re</t>
  </si>
  <si>
    <t>Dame
Kommentar</t>
  </si>
  <si>
    <t>Herr
Kommentar</t>
  </si>
  <si>
    <t>Ende: linker Wischer</t>
  </si>
  <si>
    <t>Ende: PP</t>
  </si>
  <si>
    <t>Sliding Doors</t>
  </si>
  <si>
    <t>https://www.youtube.com/watch?v=nZc9e3cMuzs</t>
  </si>
  <si>
    <t>https://youtu.be/rOsA4KU9yGQ</t>
  </si>
  <si>
    <t>3 Alemanas</t>
  </si>
  <si>
    <t>Deteiliert Figurenbeschreibungen</t>
  </si>
  <si>
    <t>https://youtu.be/TPm1_QrrjO0?list=TLPQMjIwNzIwMjYSCKIN96JLJw</t>
  </si>
  <si>
    <t>Links to check</t>
  </si>
  <si>
    <t>Beginner solo routine</t>
  </si>
  <si>
    <t>https://youtu.be/14wnpEDuJC8</t>
  </si>
  <si>
    <t>https://www.youtube.com/watch?v=Vc3pKSMgBOM&amp;list=PLvlsTAulifcPZptkGBuET_bUKnLYWjI8o</t>
  </si>
  <si>
    <t>Christian Polanc</t>
  </si>
  <si>
    <t>Passion4Dancing, 25 min Kurs</t>
  </si>
  <si>
    <t>Basics; Christian Polanc</t>
  </si>
  <si>
    <t>https://youtu.be/5w3YBX-OKXs?list=PLvlsTAulifcNCTmCborgIFkXdzmCKj8di</t>
  </si>
  <si>
    <t>auf der Seite nach Wiener Walzer suchen</t>
  </si>
  <si>
    <t xml:space="preserve">Exort von pdf-Dokumenten für einzelne Gruppen </t>
  </si>
  <si>
    <t>https://youtu.be/YWdx0XIoC1A</t>
  </si>
  <si>
    <t>Opening out</t>
  </si>
  <si>
    <t>auch mit Opening out Ausgang, siehe dort</t>
  </si>
  <si>
    <t>Schattenrechtsdrehung</t>
  </si>
  <si>
    <t>Bianca, Damenschritte</t>
  </si>
  <si>
    <t>Bianca, Herrenschritte</t>
  </si>
  <si>
    <t>VW BiancaSchattenrechtsdrehung Dame</t>
  </si>
  <si>
    <t>VW BiancaSchattenrechtsdrehung Herr</t>
  </si>
  <si>
    <t>https://www.youtube.com/watch?v=qmUoRppaz2A</t>
  </si>
  <si>
    <t>https://youtu.be/EsVCw9JVjOo</t>
  </si>
  <si>
    <t>Lecture mit Karan Hilton</t>
  </si>
  <si>
    <t>32min, sehr viele Details</t>
  </si>
  <si>
    <t>https://youtu.be/LVV-37vDL1s</t>
  </si>
  <si>
    <t>Schwung und Neigung</t>
  </si>
  <si>
    <t>Künkler</t>
  </si>
  <si>
    <t>https://www.youtube.com/@StarDanceClubs</t>
  </si>
  <si>
    <t>Standardtechnik</t>
  </si>
  <si>
    <t>Star Dance Club</t>
  </si>
  <si>
    <t>*****</t>
  </si>
  <si>
    <t>Rd2</t>
  </si>
  <si>
    <t>Ld 2</t>
  </si>
  <si>
    <t>Übg RL vor</t>
  </si>
  <si>
    <t>Übg LR rück</t>
  </si>
  <si>
    <t>Übg LR vor</t>
  </si>
  <si>
    <t>Übg RL rück</t>
  </si>
  <si>
    <t>Figuren</t>
  </si>
  <si>
    <t>Heben und Senken</t>
  </si>
  <si>
    <t>1</t>
  </si>
  <si>
    <t>Gehen statt drehen</t>
  </si>
  <si>
    <t>öffnet den Weg</t>
  </si>
  <si>
    <t>folgt</t>
  </si>
  <si>
    <t>begleitet</t>
  </si>
  <si>
    <t xml:space="preserve">der Rückwärtsgehende </t>
  </si>
  <si>
    <t>der Vorwärtsgehende geht gerade vor; in LOD</t>
  </si>
  <si>
    <t>Knie sind immer gebeugt</t>
  </si>
  <si>
    <t>kein Heben &amp; Senken wie in SW</t>
  </si>
  <si>
    <t>Kontakt</t>
  </si>
  <si>
    <t>von Oberschenkel bis Rippenbogen</t>
  </si>
  <si>
    <t>Herr bietet seinen Rippenbogen an</t>
  </si>
  <si>
    <t>Dame: kein Hohlkreuz</t>
  </si>
  <si>
    <t>Drehungen</t>
  </si>
  <si>
    <t>Übergänge</t>
  </si>
  <si>
    <t>Wechsel zwischen überholen und vorbeilassen</t>
  </si>
  <si>
    <t>Sollten "Gehungen" genannt werden, das Paar bewegt sich (faaast) auf einer Linie</t>
  </si>
  <si>
    <t>1.1.</t>
  </si>
  <si>
    <t>1.2.</t>
  </si>
  <si>
    <t>4.2.</t>
  </si>
  <si>
    <t>2</t>
  </si>
  <si>
    <t>3</t>
  </si>
  <si>
    <t>4</t>
  </si>
  <si>
    <t>Haltung</t>
  </si>
  <si>
    <t>4.1</t>
  </si>
  <si>
    <t>Räume</t>
  </si>
  <si>
    <t>4.3.</t>
  </si>
  <si>
    <t>Position</t>
  </si>
  <si>
    <t>versetzt, in einem "+"</t>
  </si>
  <si>
    <t>Ü: Dame legt rechten Arm auf seine rechte Schulter</t>
  </si>
  <si>
    <t>4.4.</t>
  </si>
  <si>
    <t>4.5.</t>
  </si>
  <si>
    <t>Kopf</t>
  </si>
  <si>
    <t>jeder hat seinen eigenen Raum, der nicht vom anderen betreten wird</t>
  </si>
  <si>
    <t>4.6.</t>
  </si>
  <si>
    <t>Ü: Stern</t>
  </si>
  <si>
    <t xml:space="preserve">Ü: verlängerter Stern mit Armschwung; </t>
  </si>
  <si>
    <t>https://youtube.com/playlist?list=PLpYfMsxoGjsLYZlRO6D3Wk_Ufj5F_7h4L&amp;si=nbt2BzvPdkOCj7EJ</t>
  </si>
  <si>
    <t>Startseite</t>
  </si>
  <si>
    <t>How to dance tutorials</t>
  </si>
  <si>
    <t>https://youtu.be/khXBK1WsoUQ?list=PLpYfMsxoGjsLYZlRO6D3Wk_Ufj5F_7h4L</t>
  </si>
  <si>
    <t>Neigung ist das Ergebnis von Progression und Rotation</t>
  </si>
  <si>
    <t>https://youtu.be/XUrgWmWgAUI</t>
  </si>
  <si>
    <t>Ü: continuous Rd</t>
  </si>
  <si>
    <t>Schwingen &amp; Neigen</t>
  </si>
  <si>
    <t>Nähe verkürzt die Wege, führt aber zu mehr Enge bei Bein und Füßen</t>
  </si>
  <si>
    <t>Dame: Blick über ihren Ellenbogen</t>
  </si>
  <si>
    <t>Herr: guckt auf seine Armbanduhr</t>
  </si>
  <si>
    <t xml:space="preserve">     Neigung steuert den Kopf der Dame</t>
  </si>
  <si>
    <t>meist links</t>
  </si>
  <si>
    <t>Neigung fängt Bewegungsenergie (auf natürliche Weise [man fällt sonst um] )</t>
  </si>
  <si>
    <t>Ungenutzte Zeilen mit com ausshalten.</t>
  </si>
  <si>
    <t>Es darf jew. Nur ein com und ein filter existieren</t>
  </si>
  <si>
    <t>Formatänderungen im Groups_Definition_Parser() nachziehen !</t>
  </si>
  <si>
    <t>col1</t>
  </si>
  <si>
    <t>col2</t>
  </si>
  <si>
    <t>col</t>
  </si>
  <si>
    <t>layout</t>
  </si>
  <si>
    <t>cont</t>
  </si>
  <si>
    <t>card</t>
  </si>
  <si>
    <t>def.layout.cont.col1</t>
  </si>
  <si>
    <t>cols</t>
  </si>
  <si>
    <t>LI</t>
  </si>
  <si>
    <t>Seq</t>
  </si>
  <si>
    <t>geparkt</t>
  </si>
  <si>
    <t>diese Zeile gilt</t>
  </si>
  <si>
    <t>pdf</t>
  </si>
  <si>
    <t>Disco Fox</t>
  </si>
  <si>
    <t>wwww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</si>
</sst>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5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4"/>
      <color theme="1"/>
      <name val="Arial Narrow"/>
      <family val="2"/>
    </font>
    <font>
      <sz val="11"/>
      <color theme="1"/>
      <name val="Albany AMT"/>
    </font>
    <font>
      <u/>
      <sz val="11"/>
      <color theme="10"/>
      <name val="Albany AMT"/>
    </font>
    <font>
      <sz val="12"/>
      <color theme="1"/>
      <name val="Arial Narrow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sz val="12"/>
      <color theme="1"/>
      <name val="Calibri"/>
      <family val="2"/>
    </font>
    <font>
      <sz val="16"/>
      <color rgb="FFFF0000"/>
      <name val="Arial Narrow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  <font>
      <u/>
      <sz val="11"/>
      <color theme="10"/>
      <name val="Courier New"/>
      <family val="3"/>
    </font>
    <font>
      <sz val="12"/>
      <color theme="1"/>
      <name val="Courier New"/>
      <family val="3"/>
    </font>
    <font>
      <u/>
      <sz val="12"/>
      <color theme="1"/>
      <name val="Courier New"/>
      <family val="3"/>
    </font>
    <font>
      <sz val="8"/>
      <color theme="1"/>
      <name val="Arial Narrow"/>
      <family val="2"/>
    </font>
    <font>
      <u/>
      <sz val="14"/>
      <color theme="1"/>
      <name val="Arial Narrow"/>
      <family val="2"/>
    </font>
    <font>
      <u/>
      <sz val="8"/>
      <color theme="1"/>
      <name val="Arial Narrow"/>
      <family val="2"/>
    </font>
    <font>
      <b/>
      <sz val="10"/>
      <color theme="1"/>
      <name val="Courier New"/>
      <family val="3"/>
    </font>
    <font>
      <b/>
      <sz val="10"/>
      <color indexed="8"/>
      <name val="Courier New"/>
      <family val="3"/>
    </font>
    <font>
      <b/>
      <sz val="12"/>
      <color indexed="8"/>
      <name val="Arial Narrow"/>
      <family val="2"/>
    </font>
    <font>
      <b/>
      <sz val="12"/>
      <color indexed="8"/>
      <name val="Calibri"/>
      <family val="2"/>
      <scheme val="minor"/>
    </font>
    <font>
      <b/>
      <u/>
      <sz val="10"/>
      <color theme="10"/>
      <name val="Courier New"/>
      <family val="3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Courier"/>
    </font>
    <font>
      <sz val="8"/>
      <color rgb="FFDCDCDC"/>
      <name val="Arial Narrow"/>
      <family val="2"/>
    </font>
    <font>
      <sz val="11"/>
      <color theme="1"/>
      <name val="Calibri"/>
      <family val="2"/>
      <scheme val="minor"/>
    </font>
    <font>
      <sz val="11"/>
      <color rgb="FF000000"/>
      <name val="Arial Narrow"/>
      <family val="2"/>
    </font>
    <font>
      <u/>
      <sz val="11"/>
      <color theme="4" tint="-0.249977111117893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tted">
        <color rgb="FFEBEBEB"/>
      </left>
      <right style="dotted">
        <color rgb="FFEBEBEB"/>
      </right>
      <top style="dotted">
        <color rgb="FFEBEBEB"/>
      </top>
      <bottom style="dotted">
        <color rgb="FFEBEBEB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3">
    <xf numFmtId="0" fontId="0" fillId="0" borderId="0"/>
    <xf numFmtId="0" fontId="83" fillId="0" borderId="0"/>
    <xf numFmtId="0" fontId="84" fillId="0" borderId="0" applyNumberFormat="0" applyFill="0" applyBorder="0" applyAlignment="0" applyProtection="0"/>
    <xf numFmtId="0" fontId="110" fillId="0" borderId="0">
      <alignment horizontal="left" vertical="center" indent="1" shrinkToFit="1"/>
    </xf>
    <xf numFmtId="0" fontId="109" fillId="0" borderId="0">
      <alignment horizontal="left" vertical="center" indent="1"/>
    </xf>
    <xf numFmtId="0" fontId="111" fillId="0" borderId="0">
      <alignment horizontal="center" vertical="center"/>
    </xf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95" fillId="0" borderId="17">
      <alignment horizontal="left" vertical="center" indent="1"/>
    </xf>
    <xf numFmtId="0" fontId="112" fillId="0" borderId="0"/>
    <xf numFmtId="0" fontId="112" fillId="0" borderId="0"/>
    <xf numFmtId="0" fontId="112" fillId="0" borderId="0"/>
    <xf numFmtId="0" fontId="113" fillId="0" borderId="0">
      <alignment horizontal="left" vertical="center" indent="1"/>
    </xf>
    <xf numFmtId="0" fontId="113" fillId="0" borderId="0">
      <alignment horizontal="left" vertical="center" indent="1"/>
    </xf>
    <xf numFmtId="0" fontId="113" fillId="0" borderId="0">
      <alignment horizontal="left" vertical="center" indent="1"/>
    </xf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2" fillId="0" borderId="0"/>
    <xf numFmtId="0" fontId="113" fillId="0" borderId="0">
      <alignment horizontal="left" vertical="center" indent="1"/>
    </xf>
    <xf numFmtId="0" fontId="112" fillId="0" borderId="17"/>
  </cellStyleXfs>
  <cellXfs count="501">
    <xf numFmtId="0" fontId="0" fillId="0" borderId="0" xfId="0"/>
    <xf numFmtId="0" fontId="85" fillId="0" borderId="1" xfId="1" applyFont="1" applyBorder="1" applyAlignment="1">
      <alignment horizontal="left" vertical="center" indent="1"/>
    </xf>
    <xf numFmtId="0" fontId="85" fillId="0" borderId="1" xfId="1" applyFont="1" applyBorder="1" applyAlignment="1">
      <alignment horizontal="center" vertical="center"/>
    </xf>
    <xf numFmtId="0" fontId="86" fillId="0" borderId="0" xfId="0" applyFont="1" applyAlignment="1">
      <alignment horizontal="center" vertical="center" wrapText="1"/>
    </xf>
    <xf numFmtId="0" fontId="85" fillId="0" borderId="1" xfId="1" applyFont="1" applyBorder="1" applyAlignment="1">
      <alignment horizontal="center" vertical="center" wrapText="1"/>
    </xf>
    <xf numFmtId="49" fontId="85" fillId="0" borderId="0" xfId="1" applyNumberFormat="1" applyFont="1" applyBorder="1" applyAlignment="1">
      <alignment horizontal="center" vertical="center" wrapText="1"/>
    </xf>
    <xf numFmtId="49" fontId="85" fillId="0" borderId="0" xfId="1" applyNumberFormat="1" applyFont="1" applyBorder="1" applyAlignment="1">
      <alignment horizontal="left" vertical="center" wrapText="1" indent="1"/>
    </xf>
    <xf numFmtId="0" fontId="85" fillId="0" borderId="0" xfId="1" applyFont="1" applyBorder="1" applyAlignment="1">
      <alignment horizontal="left" vertical="center" wrapText="1" indent="1"/>
    </xf>
    <xf numFmtId="49" fontId="85" fillId="0" borderId="0" xfId="1" applyNumberFormat="1" applyFont="1" applyBorder="1" applyAlignment="1">
      <alignment horizontal="center" vertical="center"/>
    </xf>
    <xf numFmtId="49" fontId="85" fillId="0" borderId="0" xfId="1" applyNumberFormat="1" applyFont="1" applyBorder="1" applyAlignment="1">
      <alignment horizontal="left" vertical="center" indent="1"/>
    </xf>
    <xf numFmtId="0" fontId="85" fillId="0" borderId="2" xfId="1" applyFont="1" applyBorder="1" applyAlignment="1">
      <alignment horizontal="center" vertical="center" wrapText="1"/>
    </xf>
    <xf numFmtId="0" fontId="85" fillId="0" borderId="0" xfId="1" applyFont="1" applyBorder="1" applyAlignment="1">
      <alignment horizontal="left" vertical="center" indent="1"/>
    </xf>
    <xf numFmtId="49" fontId="88" fillId="0" borderId="0" xfId="0" applyNumberFormat="1" applyFont="1" applyBorder="1" applyAlignment="1">
      <alignment horizontal="center"/>
    </xf>
    <xf numFmtId="49" fontId="88" fillId="0" borderId="0" xfId="0" applyNumberFormat="1" applyFont="1" applyBorder="1"/>
    <xf numFmtId="0" fontId="88" fillId="0" borderId="0" xfId="0" applyFont="1" applyBorder="1"/>
    <xf numFmtId="0" fontId="85" fillId="0" borderId="2" xfId="1" applyFont="1" applyBorder="1" applyAlignment="1">
      <alignment horizontal="center" vertical="center"/>
    </xf>
    <xf numFmtId="0" fontId="85" fillId="0" borderId="0" xfId="1" applyFont="1" applyBorder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88" fillId="0" borderId="0" xfId="0" applyFont="1" applyBorder="1" applyAlignment="1">
      <alignment horizontal="center" vertical="center"/>
    </xf>
    <xf numFmtId="49" fontId="88" fillId="0" borderId="0" xfId="0" applyNumberFormat="1" applyFont="1" applyBorder="1" applyAlignment="1">
      <alignment horizontal="center" vertical="center"/>
    </xf>
    <xf numFmtId="49" fontId="85" fillId="2" borderId="9" xfId="1" applyNumberFormat="1" applyFont="1" applyFill="1" applyBorder="1" applyAlignment="1">
      <alignment horizontal="center" vertical="center" wrapText="1"/>
    </xf>
    <xf numFmtId="49" fontId="85" fillId="2" borderId="4" xfId="1" applyNumberFormat="1" applyFont="1" applyFill="1" applyBorder="1" applyAlignment="1">
      <alignment horizontal="left" vertical="center" wrapText="1" indent="1"/>
    </xf>
    <xf numFmtId="0" fontId="85" fillId="2" borderId="4" xfId="1" applyFont="1" applyFill="1" applyBorder="1" applyAlignment="1">
      <alignment horizontal="left" vertical="center" wrapText="1" indent="1"/>
    </xf>
    <xf numFmtId="0" fontId="85" fillId="2" borderId="4" xfId="1" applyFont="1" applyFill="1" applyBorder="1" applyAlignment="1">
      <alignment horizontal="left" vertical="center" indent="1"/>
    </xf>
    <xf numFmtId="0" fontId="85" fillId="2" borderId="5" xfId="1" applyFont="1" applyFill="1" applyBorder="1" applyAlignment="1">
      <alignment horizontal="center" vertical="center" wrapText="1"/>
    </xf>
    <xf numFmtId="0" fontId="85" fillId="2" borderId="4" xfId="1" applyFont="1" applyFill="1" applyBorder="1" applyAlignment="1">
      <alignment horizontal="center" vertical="center"/>
    </xf>
    <xf numFmtId="0" fontId="84" fillId="0" borderId="1" xfId="2" applyBorder="1" applyAlignment="1">
      <alignment horizontal="center" vertical="center"/>
    </xf>
    <xf numFmtId="49" fontId="85" fillId="0" borderId="7" xfId="1" applyNumberFormat="1" applyFont="1" applyBorder="1" applyAlignment="1">
      <alignment horizontal="center" vertical="center"/>
    </xf>
    <xf numFmtId="49" fontId="85" fillId="0" borderId="2" xfId="1" applyNumberFormat="1" applyFont="1" applyBorder="1" applyAlignment="1">
      <alignment horizontal="center" vertical="center"/>
    </xf>
    <xf numFmtId="49" fontId="85" fillId="0" borderId="8" xfId="1" quotePrefix="1" applyNumberFormat="1" applyFont="1" applyBorder="1" applyAlignment="1">
      <alignment horizontal="center" vertical="center"/>
    </xf>
    <xf numFmtId="49" fontId="85" fillId="0" borderId="1" xfId="1" quotePrefix="1" applyNumberFormat="1" applyFont="1" applyBorder="1" applyAlignment="1">
      <alignment horizontal="center" vertical="center"/>
    </xf>
    <xf numFmtId="49" fontId="89" fillId="0" borderId="8" xfId="1" applyNumberFormat="1" applyFont="1" applyBorder="1" applyAlignment="1">
      <alignment horizontal="center" vertical="center"/>
    </xf>
    <xf numFmtId="49" fontId="89" fillId="0" borderId="1" xfId="1" applyNumberFormat="1" applyFont="1" applyBorder="1" applyAlignment="1">
      <alignment horizontal="center" vertical="center"/>
    </xf>
    <xf numFmtId="49" fontId="88" fillId="0" borderId="0" xfId="0" applyNumberFormat="1" applyFont="1" applyAlignment="1">
      <alignment horizontal="center" vertical="center"/>
    </xf>
    <xf numFmtId="49" fontId="85" fillId="0" borderId="8" xfId="1" applyNumberFormat="1" applyFont="1" applyBorder="1" applyAlignment="1">
      <alignment horizontal="center" vertical="center" wrapText="1"/>
    </xf>
    <xf numFmtId="49" fontId="85" fillId="0" borderId="1" xfId="1" applyNumberFormat="1" applyFont="1" applyBorder="1" applyAlignment="1">
      <alignment horizontal="center" vertical="center" wrapText="1"/>
    </xf>
    <xf numFmtId="49" fontId="85" fillId="0" borderId="8" xfId="1" applyNumberFormat="1" applyFont="1" applyBorder="1" applyAlignment="1">
      <alignment horizontal="center" vertical="center"/>
    </xf>
    <xf numFmtId="49" fontId="85" fillId="0" borderId="1" xfId="1" applyNumberFormat="1" applyFont="1" applyBorder="1" applyAlignment="1">
      <alignment horizontal="center" vertical="center"/>
    </xf>
    <xf numFmtId="0" fontId="85" fillId="0" borderId="3" xfId="1" applyFont="1" applyBorder="1" applyAlignment="1">
      <alignment horizontal="center" vertical="center" wrapText="1"/>
    </xf>
    <xf numFmtId="0" fontId="82" fillId="0" borderId="1" xfId="1" applyFont="1" applyBorder="1" applyAlignment="1">
      <alignment horizontal="center" vertical="center" wrapText="1"/>
    </xf>
    <xf numFmtId="0" fontId="85" fillId="0" borderId="0" xfId="1" applyFont="1" applyBorder="1" applyAlignment="1">
      <alignment horizontal="center" vertical="center" wrapText="1"/>
    </xf>
    <xf numFmtId="0" fontId="90" fillId="0" borderId="1" xfId="1" applyFont="1" applyBorder="1" applyAlignment="1">
      <alignment horizontal="center" vertical="center" wrapText="1"/>
    </xf>
    <xf numFmtId="0" fontId="91" fillId="0" borderId="1" xfId="1" applyFont="1" applyBorder="1" applyAlignment="1">
      <alignment horizontal="center" vertical="center" wrapText="1"/>
    </xf>
    <xf numFmtId="0" fontId="90" fillId="2" borderId="1" xfId="1" applyFont="1" applyFill="1" applyBorder="1" applyAlignment="1">
      <alignment horizontal="center" vertical="center" wrapText="1"/>
    </xf>
    <xf numFmtId="0" fontId="90" fillId="2" borderId="2" xfId="1" applyFont="1" applyFill="1" applyBorder="1" applyAlignment="1">
      <alignment horizontal="center" vertical="center" wrapText="1"/>
    </xf>
    <xf numFmtId="0" fontId="82" fillId="0" borderId="2" xfId="1" applyFont="1" applyBorder="1" applyAlignment="1">
      <alignment horizontal="center" vertical="center" wrapText="1"/>
    </xf>
    <xf numFmtId="0" fontId="90" fillId="2" borderId="7" xfId="1" applyFont="1" applyFill="1" applyBorder="1" applyAlignment="1">
      <alignment horizontal="center" vertical="center" wrapText="1"/>
    </xf>
    <xf numFmtId="0" fontId="90" fillId="2" borderId="8" xfId="1" applyFont="1" applyFill="1" applyBorder="1" applyAlignment="1">
      <alignment horizontal="center" vertical="center" wrapText="1"/>
    </xf>
    <xf numFmtId="0" fontId="90" fillId="0" borderId="8" xfId="1" applyFont="1" applyBorder="1" applyAlignment="1">
      <alignment horizontal="center" vertical="center" wrapText="1"/>
    </xf>
    <xf numFmtId="0" fontId="85" fillId="2" borderId="7" xfId="1" applyFont="1" applyFill="1" applyBorder="1" applyAlignment="1">
      <alignment horizontal="center" vertical="center" wrapText="1"/>
    </xf>
    <xf numFmtId="0" fontId="85" fillId="0" borderId="8" xfId="1" applyFont="1" applyBorder="1" applyAlignment="1">
      <alignment horizontal="center" vertical="center" wrapText="1"/>
    </xf>
    <xf numFmtId="0" fontId="85" fillId="0" borderId="0" xfId="1" applyFont="1" applyBorder="1" applyAlignment="1">
      <alignment horizontal="right" vertical="center" wrapText="1"/>
    </xf>
    <xf numFmtId="0" fontId="91" fillId="0" borderId="2" xfId="1" applyFont="1" applyBorder="1" applyAlignment="1">
      <alignment horizontal="center" vertical="center" wrapText="1"/>
    </xf>
    <xf numFmtId="0" fontId="85" fillId="0" borderId="0" xfId="1" applyFont="1" applyBorder="1" applyAlignment="1">
      <alignment horizontal="left" vertical="center" indent="2"/>
    </xf>
    <xf numFmtId="0" fontId="92" fillId="2" borderId="0" xfId="1" applyFont="1" applyFill="1" applyBorder="1" applyAlignment="1">
      <alignment horizontal="right" vertical="center" wrapText="1"/>
    </xf>
    <xf numFmtId="0" fontId="85" fillId="0" borderId="10" xfId="1" applyFont="1" applyBorder="1" applyAlignment="1">
      <alignment horizontal="left" vertical="center" wrapText="1" indent="1"/>
    </xf>
    <xf numFmtId="0" fontId="93" fillId="2" borderId="8" xfId="1" applyFont="1" applyFill="1" applyBorder="1" applyAlignment="1">
      <alignment horizontal="center" vertical="center" wrapText="1"/>
    </xf>
    <xf numFmtId="0" fontId="90" fillId="0" borderId="2" xfId="1" applyFont="1" applyBorder="1" applyAlignment="1">
      <alignment horizontal="center" vertical="center" wrapText="1"/>
    </xf>
    <xf numFmtId="0" fontId="93" fillId="2" borderId="1" xfId="1" applyFont="1" applyFill="1" applyBorder="1" applyAlignment="1">
      <alignment horizontal="center" vertical="center" wrapText="1"/>
    </xf>
    <xf numFmtId="0" fontId="90" fillId="4" borderId="2" xfId="1" applyFont="1" applyFill="1" applyBorder="1" applyAlignment="1">
      <alignment horizontal="center" vertical="center" wrapText="1"/>
    </xf>
    <xf numFmtId="0" fontId="90" fillId="5" borderId="1" xfId="1" applyFont="1" applyFill="1" applyBorder="1" applyAlignment="1">
      <alignment horizontal="center" vertical="center" wrapText="1"/>
    </xf>
    <xf numFmtId="0" fontId="93" fillId="5" borderId="8" xfId="1" applyFont="1" applyFill="1" applyBorder="1" applyAlignment="1">
      <alignment horizontal="center" vertical="center" wrapText="1"/>
    </xf>
    <xf numFmtId="0" fontId="90" fillId="6" borderId="2" xfId="1" applyFont="1" applyFill="1" applyBorder="1" applyAlignment="1">
      <alignment horizontal="center" vertical="center" wrapText="1"/>
    </xf>
    <xf numFmtId="0" fontId="93" fillId="6" borderId="8" xfId="1" applyFont="1" applyFill="1" applyBorder="1" applyAlignment="1">
      <alignment horizontal="center" vertical="center" wrapText="1"/>
    </xf>
    <xf numFmtId="0" fontId="90" fillId="6" borderId="1" xfId="1" applyFont="1" applyFill="1" applyBorder="1" applyAlignment="1">
      <alignment horizontal="center" vertical="center" wrapText="1"/>
    </xf>
    <xf numFmtId="0" fontId="85" fillId="3" borderId="8" xfId="1" applyFont="1" applyFill="1" applyBorder="1" applyAlignment="1">
      <alignment horizontal="center" vertical="center" wrapText="1"/>
    </xf>
    <xf numFmtId="0" fontId="85" fillId="3" borderId="1" xfId="1" applyFont="1" applyFill="1" applyBorder="1" applyAlignment="1">
      <alignment horizontal="center" vertical="center" wrapText="1"/>
    </xf>
    <xf numFmtId="0" fontId="85" fillId="3" borderId="7" xfId="1" applyFont="1" applyFill="1" applyBorder="1" applyAlignment="1">
      <alignment horizontal="left" vertical="center" wrapText="1"/>
    </xf>
    <xf numFmtId="0" fontId="85" fillId="3" borderId="7" xfId="1" applyFont="1" applyFill="1" applyBorder="1" applyAlignment="1">
      <alignment horizontal="center" vertical="center" wrapText="1"/>
    </xf>
    <xf numFmtId="0" fontId="85" fillId="3" borderId="2" xfId="1" applyFont="1" applyFill="1" applyBorder="1" applyAlignment="1">
      <alignment horizontal="center" vertical="center" wrapText="1"/>
    </xf>
    <xf numFmtId="0" fontId="85" fillId="7" borderId="0" xfId="1" applyFont="1" applyFill="1" applyBorder="1" applyAlignment="1">
      <alignment horizontal="right" vertical="center" wrapText="1"/>
    </xf>
    <xf numFmtId="0" fontId="85" fillId="7" borderId="10" xfId="1" applyFont="1" applyFill="1" applyBorder="1" applyAlignment="1">
      <alignment horizontal="left" vertical="center" wrapText="1"/>
    </xf>
    <xf numFmtId="0" fontId="85" fillId="7" borderId="3" xfId="1" applyFont="1" applyFill="1" applyBorder="1" applyAlignment="1">
      <alignment horizontal="right" vertical="center" wrapText="1"/>
    </xf>
    <xf numFmtId="0" fontId="85" fillId="7" borderId="7" xfId="1" applyFont="1" applyFill="1" applyBorder="1" applyAlignment="1">
      <alignment horizontal="left" vertical="center" wrapText="1"/>
    </xf>
    <xf numFmtId="0" fontId="85" fillId="7" borderId="8" xfId="1" applyFont="1" applyFill="1" applyBorder="1" applyAlignment="1">
      <alignment horizontal="center" vertical="center" wrapText="1"/>
    </xf>
    <xf numFmtId="0" fontId="85" fillId="7" borderId="1" xfId="1" applyFont="1" applyFill="1" applyBorder="1" applyAlignment="1">
      <alignment horizontal="center" vertical="center" wrapText="1"/>
    </xf>
    <xf numFmtId="0" fontId="88" fillId="0" borderId="0" xfId="0" applyFont="1" applyBorder="1" applyAlignment="1">
      <alignment horizontal="left" vertical="center" indent="1"/>
    </xf>
    <xf numFmtId="0" fontId="85" fillId="2" borderId="5" xfId="1" applyFont="1" applyFill="1" applyBorder="1" applyAlignment="1">
      <alignment horizontal="left" vertical="center" wrapText="1" indent="1"/>
    </xf>
    <xf numFmtId="0" fontId="85" fillId="0" borderId="2" xfId="1" applyFont="1" applyBorder="1" applyAlignment="1">
      <alignment horizontal="left" vertical="center" indent="1"/>
    </xf>
    <xf numFmtId="0" fontId="88" fillId="0" borderId="0" xfId="0" applyFont="1" applyAlignment="1">
      <alignment horizontal="left" vertical="center" indent="1"/>
    </xf>
    <xf numFmtId="49" fontId="85" fillId="0" borderId="0" xfId="1" quotePrefix="1" applyNumberFormat="1" applyFont="1" applyBorder="1" applyAlignment="1">
      <alignment horizontal="center" vertical="center"/>
    </xf>
    <xf numFmtId="0" fontId="84" fillId="0" borderId="0" xfId="2" applyBorder="1" applyAlignment="1">
      <alignment horizontal="left" vertical="center" wrapText="1" indent="1"/>
    </xf>
    <xf numFmtId="0" fontId="84" fillId="0" borderId="1" xfId="2" applyBorder="1" applyAlignment="1">
      <alignment horizontal="left" vertical="center"/>
    </xf>
    <xf numFmtId="0" fontId="84" fillId="0" borderId="0" xfId="2"/>
    <xf numFmtId="0" fontId="85" fillId="0" borderId="1" xfId="1" applyFont="1" applyBorder="1" applyAlignment="1">
      <alignment horizontal="left" vertical="center" wrapText="1" indent="1"/>
    </xf>
    <xf numFmtId="0" fontId="84" fillId="0" borderId="0" xfId="2" applyBorder="1"/>
    <xf numFmtId="0" fontId="84" fillId="0" borderId="0" xfId="2" applyAlignment="1">
      <alignment horizontal="left" vertical="center" indent="1"/>
    </xf>
    <xf numFmtId="0" fontId="85" fillId="0" borderId="2" xfId="1" applyFont="1" applyBorder="1" applyAlignment="1">
      <alignment horizontal="left" vertical="center" wrapText="1" indent="1"/>
    </xf>
    <xf numFmtId="0" fontId="81" fillId="0" borderId="0" xfId="1" applyFont="1" applyBorder="1" applyAlignment="1">
      <alignment horizontal="left" vertical="center" indent="1"/>
    </xf>
    <xf numFmtId="0" fontId="81" fillId="0" borderId="1" xfId="1" applyFont="1" applyBorder="1" applyAlignment="1">
      <alignment horizontal="left" vertical="center" indent="1"/>
    </xf>
    <xf numFmtId="49" fontId="80" fillId="0" borderId="8" xfId="1" applyNumberFormat="1" applyFont="1" applyBorder="1" applyAlignment="1">
      <alignment horizontal="center" vertical="center"/>
    </xf>
    <xf numFmtId="49" fontId="80" fillId="0" borderId="1" xfId="1" applyNumberFormat="1" applyFont="1" applyBorder="1" applyAlignment="1">
      <alignment horizontal="center" vertical="center"/>
    </xf>
    <xf numFmtId="0" fontId="80" fillId="0" borderId="1" xfId="1" applyFont="1" applyBorder="1" applyAlignment="1">
      <alignment horizontal="left" vertical="center" indent="1"/>
    </xf>
    <xf numFmtId="0" fontId="80" fillId="0" borderId="1" xfId="1" applyFont="1" applyBorder="1" applyAlignment="1">
      <alignment horizontal="center" vertical="center" wrapText="1"/>
    </xf>
    <xf numFmtId="0" fontId="80" fillId="0" borderId="0" xfId="1" applyFont="1" applyBorder="1" applyAlignment="1">
      <alignment horizontal="left" vertical="center" indent="1"/>
    </xf>
    <xf numFmtId="49" fontId="79" fillId="0" borderId="1" xfId="1" quotePrefix="1" applyNumberFormat="1" applyFont="1" applyBorder="1" applyAlignment="1">
      <alignment horizontal="center" vertical="center"/>
    </xf>
    <xf numFmtId="0" fontId="79" fillId="0" borderId="1" xfId="1" applyFont="1" applyBorder="1" applyAlignment="1">
      <alignment horizontal="left" vertical="center" indent="1"/>
    </xf>
    <xf numFmtId="49" fontId="79" fillId="0" borderId="8" xfId="1" quotePrefix="1" applyNumberFormat="1" applyFont="1" applyBorder="1" applyAlignment="1">
      <alignment horizontal="center" vertical="center"/>
    </xf>
    <xf numFmtId="0" fontId="79" fillId="0" borderId="0" xfId="1" applyFont="1" applyBorder="1" applyAlignment="1">
      <alignment horizontal="left" vertical="center" indent="1"/>
    </xf>
    <xf numFmtId="49" fontId="79" fillId="0" borderId="2" xfId="1" applyNumberFormat="1" applyFont="1" applyBorder="1" applyAlignment="1">
      <alignment horizontal="center" vertical="center"/>
    </xf>
    <xf numFmtId="49" fontId="79" fillId="0" borderId="1" xfId="1" applyNumberFormat="1" applyFont="1" applyBorder="1" applyAlignment="1">
      <alignment horizontal="center" vertical="center"/>
    </xf>
    <xf numFmtId="0" fontId="79" fillId="0" borderId="1" xfId="1" applyFont="1" applyBorder="1" applyAlignment="1">
      <alignment horizontal="center" vertical="center"/>
    </xf>
    <xf numFmtId="49" fontId="79" fillId="0" borderId="8" xfId="1" applyNumberFormat="1" applyFont="1" applyBorder="1" applyAlignment="1">
      <alignment horizontal="center" vertical="center"/>
    </xf>
    <xf numFmtId="0" fontId="79" fillId="0" borderId="0" xfId="0" applyFont="1" applyAlignment="1">
      <alignment horizontal="left" vertical="center" indent="1"/>
    </xf>
    <xf numFmtId="49" fontId="79" fillId="0" borderId="1" xfId="1" applyNumberFormat="1" applyFont="1" applyBorder="1" applyAlignment="1">
      <alignment horizontal="center" vertical="center" wrapText="1"/>
    </xf>
    <xf numFmtId="0" fontId="79" fillId="2" borderId="5" xfId="1" applyFont="1" applyFill="1" applyBorder="1" applyAlignment="1">
      <alignment horizontal="left" vertical="center" wrapText="1" indent="1"/>
    </xf>
    <xf numFmtId="0" fontId="79" fillId="0" borderId="2" xfId="1" applyFont="1" applyBorder="1" applyAlignment="1">
      <alignment horizontal="left" vertical="center" indent="1"/>
    </xf>
    <xf numFmtId="0" fontId="79" fillId="2" borderId="5" xfId="1" applyFont="1" applyFill="1" applyBorder="1" applyAlignment="1">
      <alignment horizontal="center" vertical="center" wrapText="1"/>
    </xf>
    <xf numFmtId="0" fontId="79" fillId="2" borderId="5" xfId="1" applyFont="1" applyFill="1" applyBorder="1" applyAlignment="1">
      <alignment horizontal="left" vertical="center" wrapText="1" indent="2"/>
    </xf>
    <xf numFmtId="0" fontId="79" fillId="2" borderId="4" xfId="1" applyFont="1" applyFill="1" applyBorder="1" applyAlignment="1">
      <alignment horizontal="left" vertical="center" indent="1"/>
    </xf>
    <xf numFmtId="49" fontId="79" fillId="0" borderId="7" xfId="1" applyNumberFormat="1" applyFont="1" applyBorder="1" applyAlignment="1">
      <alignment horizontal="center" vertical="center"/>
    </xf>
    <xf numFmtId="0" fontId="79" fillId="0" borderId="2" xfId="1" applyFont="1" applyBorder="1" applyAlignment="1">
      <alignment horizontal="center" vertical="center" wrapText="1"/>
    </xf>
    <xf numFmtId="0" fontId="79" fillId="0" borderId="2" xfId="1" applyFont="1" applyBorder="1" applyAlignment="1">
      <alignment horizontal="left" vertical="center" indent="2"/>
    </xf>
    <xf numFmtId="0" fontId="79" fillId="0" borderId="1" xfId="1" applyFont="1" applyBorder="1" applyAlignment="1">
      <alignment horizontal="center" vertical="center" wrapText="1"/>
    </xf>
    <xf numFmtId="0" fontId="94" fillId="0" borderId="0" xfId="2" applyFont="1" applyAlignment="1">
      <alignment horizontal="left" indent="1"/>
    </xf>
    <xf numFmtId="0" fontId="79" fillId="0" borderId="0" xfId="0" applyFont="1" applyAlignment="1">
      <alignment horizontal="center" vertical="center"/>
    </xf>
    <xf numFmtId="49" fontId="79" fillId="0" borderId="0" xfId="0" applyNumberFormat="1" applyFont="1" applyAlignment="1">
      <alignment horizontal="center" vertical="center"/>
    </xf>
    <xf numFmtId="0" fontId="79" fillId="0" borderId="0" xfId="0" applyFont="1" applyAlignment="1">
      <alignment horizontal="left" vertical="center" indent="2"/>
    </xf>
    <xf numFmtId="0" fontId="79" fillId="0" borderId="0" xfId="0" applyFont="1" applyBorder="1" applyAlignment="1">
      <alignment horizontal="left" vertical="center" indent="1"/>
    </xf>
    <xf numFmtId="0" fontId="94" fillId="0" borderId="0" xfId="2" applyFont="1" applyAlignment="1">
      <alignment horizontal="left" vertical="center" indent="1"/>
    </xf>
    <xf numFmtId="49" fontId="78" fillId="0" borderId="0" xfId="1" quotePrefix="1" applyNumberFormat="1" applyFont="1" applyBorder="1" applyAlignment="1">
      <alignment horizontal="center" vertical="center"/>
    </xf>
    <xf numFmtId="49" fontId="78" fillId="0" borderId="1" xfId="1" quotePrefix="1" applyNumberFormat="1" applyFont="1" applyBorder="1" applyAlignment="1">
      <alignment horizontal="center" vertical="center"/>
    </xf>
    <xf numFmtId="49" fontId="78" fillId="0" borderId="1" xfId="1" applyNumberFormat="1" applyFont="1" applyBorder="1" applyAlignment="1">
      <alignment horizontal="center" vertical="center"/>
    </xf>
    <xf numFmtId="0" fontId="78" fillId="0" borderId="1" xfId="1" applyFont="1" applyBorder="1" applyAlignment="1">
      <alignment horizontal="left" vertical="center" indent="1"/>
    </xf>
    <xf numFmtId="49" fontId="77" fillId="0" borderId="0" xfId="1" applyNumberFormat="1" applyFont="1" applyBorder="1" applyAlignment="1">
      <alignment horizontal="left" vertical="center" indent="1"/>
    </xf>
    <xf numFmtId="0" fontId="76" fillId="0" borderId="1" xfId="1" applyFont="1" applyBorder="1" applyAlignment="1">
      <alignment horizontal="left" vertical="center" indent="1"/>
    </xf>
    <xf numFmtId="0" fontId="76" fillId="2" borderId="5" xfId="1" applyFont="1" applyFill="1" applyBorder="1" applyAlignment="1">
      <alignment horizontal="left" vertical="center" wrapText="1" indent="1"/>
    </xf>
    <xf numFmtId="0" fontId="76" fillId="0" borderId="2" xfId="1" applyFont="1" applyBorder="1" applyAlignment="1">
      <alignment horizontal="left" vertical="center" indent="1"/>
    </xf>
    <xf numFmtId="0" fontId="76" fillId="0" borderId="0" xfId="0" applyFont="1" applyAlignment="1">
      <alignment horizontal="left" vertical="center" indent="1"/>
    </xf>
    <xf numFmtId="0" fontId="75" fillId="2" borderId="4" xfId="1" applyFont="1" applyFill="1" applyBorder="1" applyAlignment="1">
      <alignment horizontal="left" vertical="center" wrapText="1" indent="1"/>
    </xf>
    <xf numFmtId="0" fontId="94" fillId="0" borderId="0" xfId="2" applyFont="1" applyBorder="1" applyAlignment="1">
      <alignment horizontal="left" vertical="center" wrapText="1" indent="1"/>
    </xf>
    <xf numFmtId="0" fontId="94" fillId="0" borderId="0" xfId="2" applyFont="1"/>
    <xf numFmtId="0" fontId="75" fillId="0" borderId="0" xfId="0" applyFont="1" applyBorder="1"/>
    <xf numFmtId="0" fontId="75" fillId="2" borderId="5" xfId="1" applyFont="1" applyFill="1" applyBorder="1" applyAlignment="1">
      <alignment horizontal="center" vertical="center" wrapText="1"/>
    </xf>
    <xf numFmtId="0" fontId="75" fillId="0" borderId="2" xfId="1" applyFont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79" fillId="0" borderId="0" xfId="0" applyFont="1" applyFill="1" applyAlignment="1">
      <alignment horizontal="center" vertical="center"/>
    </xf>
    <xf numFmtId="0" fontId="79" fillId="10" borderId="1" xfId="1" applyFont="1" applyFill="1" applyBorder="1" applyAlignment="1">
      <alignment horizontal="center" vertical="center"/>
    </xf>
    <xf numFmtId="0" fontId="79" fillId="10" borderId="0" xfId="0" applyFont="1" applyFill="1" applyAlignment="1">
      <alignment horizontal="center" vertical="center"/>
    </xf>
    <xf numFmtId="0" fontId="95" fillId="0" borderId="0" xfId="0" applyFont="1" applyFill="1" applyBorder="1" applyAlignment="1">
      <alignment horizontal="left" vertical="center" indent="1"/>
    </xf>
    <xf numFmtId="0" fontId="95" fillId="10" borderId="0" xfId="0" applyFont="1" applyFill="1" applyBorder="1" applyAlignment="1">
      <alignment horizontal="left" vertical="center" indent="1"/>
    </xf>
    <xf numFmtId="0" fontId="96" fillId="0" borderId="0" xfId="1" applyFont="1" applyFill="1" applyBorder="1" applyAlignment="1">
      <alignment horizontal="left" vertical="center" indent="1"/>
    </xf>
    <xf numFmtId="0" fontId="96" fillId="10" borderId="0" xfId="1" applyFont="1" applyFill="1" applyBorder="1" applyAlignment="1">
      <alignment horizontal="left" vertical="center" indent="1"/>
    </xf>
    <xf numFmtId="49" fontId="75" fillId="0" borderId="1" xfId="1" applyNumberFormat="1" applyFont="1" applyBorder="1" applyAlignment="1">
      <alignment horizontal="center" vertical="center"/>
    </xf>
    <xf numFmtId="0" fontId="95" fillId="0" borderId="1" xfId="1" applyFont="1" applyFill="1" applyBorder="1" applyAlignment="1">
      <alignment horizontal="left" vertical="center" indent="1"/>
    </xf>
    <xf numFmtId="0" fontId="95" fillId="10" borderId="1" xfId="1" applyFont="1" applyFill="1" applyBorder="1" applyAlignment="1">
      <alignment horizontal="left" vertical="center" indent="1"/>
    </xf>
    <xf numFmtId="49" fontId="74" fillId="0" borderId="1" xfId="1" applyNumberFormat="1" applyFont="1" applyBorder="1" applyAlignment="1">
      <alignment horizontal="center" vertical="center"/>
    </xf>
    <xf numFmtId="0" fontId="73" fillId="0" borderId="0" xfId="1" applyFont="1" applyBorder="1" applyAlignment="1">
      <alignment horizontal="left" vertical="center" indent="1"/>
    </xf>
    <xf numFmtId="49" fontId="72" fillId="0" borderId="8" xfId="1" applyNumberFormat="1" applyFont="1" applyBorder="1" applyAlignment="1">
      <alignment horizontal="center" vertical="center"/>
    </xf>
    <xf numFmtId="0" fontId="95" fillId="0" borderId="0" xfId="0" applyFont="1" applyFill="1" applyAlignment="1">
      <alignment horizontal="left" vertical="center" indent="1"/>
    </xf>
    <xf numFmtId="0" fontId="95" fillId="10" borderId="0" xfId="0" applyFont="1" applyFill="1" applyAlignment="1">
      <alignment horizontal="left" vertical="center" indent="1"/>
    </xf>
    <xf numFmtId="0" fontId="71" fillId="0" borderId="0" xfId="1" applyFont="1" applyBorder="1" applyAlignment="1">
      <alignment horizontal="left" vertical="center" indent="1"/>
    </xf>
    <xf numFmtId="49" fontId="71" fillId="0" borderId="0" xfId="1" applyNumberFormat="1" applyFont="1" applyBorder="1" applyAlignment="1">
      <alignment horizontal="center" vertical="center"/>
    </xf>
    <xf numFmtId="0" fontId="71" fillId="11" borderId="0" xfId="1" applyFont="1" applyFill="1" applyBorder="1" applyAlignment="1">
      <alignment horizontal="left" vertical="center" indent="1"/>
    </xf>
    <xf numFmtId="49" fontId="70" fillId="0" borderId="0" xfId="1" applyNumberFormat="1" applyFont="1" applyBorder="1" applyAlignment="1">
      <alignment horizontal="left" vertical="center" indent="1"/>
    </xf>
    <xf numFmtId="0" fontId="69" fillId="0" borderId="0" xfId="1" applyFont="1" applyFill="1" applyBorder="1" applyAlignment="1">
      <alignment horizontal="left" vertical="center" indent="1"/>
    </xf>
    <xf numFmtId="0" fontId="68" fillId="0" borderId="0" xfId="1" applyFont="1" applyBorder="1" applyAlignment="1">
      <alignment horizontal="left" vertical="center" indent="1"/>
    </xf>
    <xf numFmtId="0" fontId="68" fillId="0" borderId="0" xfId="1" applyFont="1" applyBorder="1" applyAlignment="1">
      <alignment horizontal="left" vertical="center" wrapText="1" indent="1"/>
    </xf>
    <xf numFmtId="0" fontId="95" fillId="0" borderId="0" xfId="1" applyFont="1" applyFill="1" applyBorder="1" applyAlignment="1">
      <alignment horizontal="left" vertical="center" indent="1"/>
    </xf>
    <xf numFmtId="49" fontId="67" fillId="0" borderId="0" xfId="1" applyNumberFormat="1" applyFont="1" applyBorder="1" applyAlignment="1">
      <alignment horizontal="left" vertical="center" indent="1"/>
    </xf>
    <xf numFmtId="0" fontId="67" fillId="0" borderId="0" xfId="1" applyFont="1" applyBorder="1" applyAlignment="1">
      <alignment horizontal="left" vertical="center" indent="1"/>
    </xf>
    <xf numFmtId="0" fontId="85" fillId="0" borderId="0" xfId="1" applyFont="1" applyBorder="1" applyAlignment="1">
      <alignment horizontal="left" vertical="center"/>
    </xf>
    <xf numFmtId="49" fontId="85" fillId="0" borderId="0" xfId="1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66" fillId="0" borderId="1" xfId="1" applyFont="1" applyBorder="1" applyAlignment="1">
      <alignment horizontal="left" vertical="center" indent="1"/>
    </xf>
    <xf numFmtId="0" fontId="95" fillId="9" borderId="1" xfId="1" applyFont="1" applyFill="1" applyBorder="1" applyAlignment="1">
      <alignment horizontal="left" vertical="center" indent="1"/>
    </xf>
    <xf numFmtId="49" fontId="66" fillId="0" borderId="1" xfId="1" quotePrefix="1" applyNumberFormat="1" applyFont="1" applyBorder="1" applyAlignment="1">
      <alignment horizontal="center" vertical="center"/>
    </xf>
    <xf numFmtId="0" fontId="66" fillId="0" borderId="1" xfId="1" applyFont="1" applyBorder="1" applyAlignment="1">
      <alignment horizontal="center" vertical="center"/>
    </xf>
    <xf numFmtId="0" fontId="66" fillId="0" borderId="1" xfId="1" applyFont="1" applyBorder="1" applyAlignment="1">
      <alignment horizontal="center" vertical="center" wrapText="1"/>
    </xf>
    <xf numFmtId="0" fontId="66" fillId="0" borderId="1" xfId="1" applyFont="1" applyBorder="1" applyAlignment="1">
      <alignment horizontal="left" vertical="center" wrapText="1" indent="1"/>
    </xf>
    <xf numFmtId="49" fontId="66" fillId="0" borderId="7" xfId="1" applyNumberFormat="1" applyFont="1" applyBorder="1" applyAlignment="1">
      <alignment horizontal="center" vertical="center"/>
    </xf>
    <xf numFmtId="0" fontId="66" fillId="0" borderId="2" xfId="1" applyFont="1" applyBorder="1" applyAlignment="1">
      <alignment horizontal="center" vertical="center" wrapText="1"/>
    </xf>
    <xf numFmtId="0" fontId="66" fillId="0" borderId="2" xfId="1" applyFont="1" applyBorder="1" applyAlignment="1">
      <alignment horizontal="left" vertical="center" indent="1"/>
    </xf>
    <xf numFmtId="0" fontId="66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88" fillId="12" borderId="0" xfId="0" applyFont="1" applyFill="1" applyAlignment="1">
      <alignment horizontal="center" vertical="center"/>
    </xf>
    <xf numFmtId="49" fontId="66" fillId="0" borderId="1" xfId="1" applyNumberFormat="1" applyFont="1" applyBorder="1" applyAlignment="1">
      <alignment horizontal="center" vertical="center"/>
    </xf>
    <xf numFmtId="0" fontId="65" fillId="0" borderId="1" xfId="1" applyFont="1" applyBorder="1" applyAlignment="1">
      <alignment horizontal="center" vertical="center"/>
    </xf>
    <xf numFmtId="0" fontId="65" fillId="0" borderId="1" xfId="1" applyFont="1" applyBorder="1" applyAlignment="1">
      <alignment horizontal="left" vertical="center" indent="1"/>
    </xf>
    <xf numFmtId="0" fontId="65" fillId="0" borderId="0" xfId="1" applyFont="1" applyBorder="1" applyAlignment="1">
      <alignment horizontal="left" vertical="center" indent="1"/>
    </xf>
    <xf numFmtId="49" fontId="65" fillId="0" borderId="1" xfId="1" applyNumberFormat="1" applyFont="1" applyBorder="1" applyAlignment="1">
      <alignment horizontal="center" vertical="center"/>
    </xf>
    <xf numFmtId="49" fontId="65" fillId="0" borderId="1" xfId="1" quotePrefix="1" applyNumberFormat="1" applyFont="1" applyBorder="1" applyAlignment="1">
      <alignment horizontal="center" vertical="center"/>
    </xf>
    <xf numFmtId="0" fontId="95" fillId="0" borderId="0" xfId="0" applyFont="1" applyBorder="1" applyAlignment="1">
      <alignment horizontal="left" vertical="center" indent="1"/>
    </xf>
    <xf numFmtId="0" fontId="82" fillId="0" borderId="0" xfId="0" applyFont="1" applyBorder="1" applyAlignment="1">
      <alignment horizontal="left" vertical="center" indent="1"/>
    </xf>
    <xf numFmtId="0" fontId="69" fillId="0" borderId="0" xfId="1" applyFont="1" applyBorder="1" applyAlignment="1">
      <alignment horizontal="left" vertical="center" indent="1"/>
    </xf>
    <xf numFmtId="49" fontId="85" fillId="2" borderId="9" xfId="1" applyNumberFormat="1" applyFont="1" applyFill="1" applyBorder="1" applyAlignment="1">
      <alignment horizontal="left" vertical="center" wrapText="1" indent="1"/>
    </xf>
    <xf numFmtId="49" fontId="64" fillId="2" borderId="6" xfId="1" applyNumberFormat="1" applyFont="1" applyFill="1" applyBorder="1" applyAlignment="1">
      <alignment horizontal="left" vertical="center" wrapText="1" indent="1"/>
    </xf>
    <xf numFmtId="0" fontId="0" fillId="0" borderId="0" xfId="0" applyBorder="1" applyAlignment="1">
      <alignment horizontal="left" vertical="center" indent="1"/>
    </xf>
    <xf numFmtId="49" fontId="85" fillId="2" borderId="6" xfId="1" applyNumberFormat="1" applyFont="1" applyFill="1" applyBorder="1" applyAlignment="1">
      <alignment horizontal="left" vertical="center" wrapText="1" indent="1"/>
    </xf>
    <xf numFmtId="0" fontId="64" fillId="0" borderId="0" xfId="1" applyFont="1" applyBorder="1" applyAlignment="1">
      <alignment horizontal="left" vertical="center" indent="1"/>
    </xf>
    <xf numFmtId="0" fontId="88" fillId="0" borderId="0" xfId="0" applyFont="1" applyBorder="1" applyAlignment="1">
      <alignment horizontal="center"/>
    </xf>
    <xf numFmtId="2" fontId="84" fillId="0" borderId="0" xfId="2" applyNumberFormat="1" applyBorder="1" applyAlignment="1">
      <alignment horizontal="left" vertical="center" indent="1"/>
    </xf>
    <xf numFmtId="2" fontId="97" fillId="0" borderId="0" xfId="2" applyNumberFormat="1" applyFont="1" applyBorder="1" applyAlignment="1">
      <alignment horizontal="left" vertical="center" indent="1"/>
    </xf>
    <xf numFmtId="0" fontId="98" fillId="0" borderId="0" xfId="1" applyFont="1" applyBorder="1" applyAlignment="1">
      <alignment horizontal="left" vertical="center" indent="1"/>
    </xf>
    <xf numFmtId="0" fontId="98" fillId="0" borderId="0" xfId="0" applyFont="1" applyBorder="1" applyAlignment="1">
      <alignment horizontal="left"/>
    </xf>
    <xf numFmtId="0" fontId="63" fillId="0" borderId="0" xfId="1" applyFont="1" applyBorder="1" applyAlignment="1">
      <alignment horizontal="left" vertical="center" indent="1"/>
    </xf>
    <xf numFmtId="49" fontId="63" fillId="2" borderId="6" xfId="1" applyNumberFormat="1" applyFont="1" applyFill="1" applyBorder="1" applyAlignment="1">
      <alignment horizontal="left" vertical="center" wrapText="1" indent="1"/>
    </xf>
    <xf numFmtId="0" fontId="63" fillId="0" borderId="0" xfId="1" applyFont="1" applyFill="1" applyBorder="1" applyAlignment="1">
      <alignment horizontal="left" vertical="center" indent="1"/>
    </xf>
    <xf numFmtId="49" fontId="85" fillId="2" borderId="4" xfId="1" applyNumberFormat="1" applyFont="1" applyFill="1" applyBorder="1" applyAlignment="1">
      <alignment horizontal="left" vertical="center" textRotation="90" wrapText="1"/>
    </xf>
    <xf numFmtId="49" fontId="64" fillId="2" borderId="4" xfId="1" applyNumberFormat="1" applyFont="1" applyFill="1" applyBorder="1" applyAlignment="1">
      <alignment horizontal="left" vertical="center" textRotation="90" wrapText="1"/>
    </xf>
    <xf numFmtId="49" fontId="85" fillId="2" borderId="4" xfId="1" applyNumberFormat="1" applyFont="1" applyFill="1" applyBorder="1" applyAlignment="1">
      <alignment horizontal="left" vertical="center" wrapText="1"/>
    </xf>
    <xf numFmtId="49" fontId="62" fillId="2" borderId="4" xfId="1" applyNumberFormat="1" applyFont="1" applyFill="1" applyBorder="1" applyAlignment="1">
      <alignment horizontal="left" vertical="center" wrapText="1"/>
    </xf>
    <xf numFmtId="49" fontId="62" fillId="2" borderId="9" xfId="1" applyNumberFormat="1" applyFont="1" applyFill="1" applyBorder="1" applyAlignment="1">
      <alignment horizontal="left" vertical="center" wrapText="1" indent="1"/>
    </xf>
    <xf numFmtId="49" fontId="62" fillId="2" borderId="6" xfId="1" applyNumberFormat="1" applyFont="1" applyFill="1" applyBorder="1" applyAlignment="1">
      <alignment horizontal="left" vertical="center" wrapText="1" indent="1"/>
    </xf>
    <xf numFmtId="0" fontId="62" fillId="0" borderId="0" xfId="1" applyFont="1" applyBorder="1" applyAlignment="1">
      <alignment horizontal="left" vertical="center" wrapText="1" indent="1"/>
    </xf>
    <xf numFmtId="49" fontId="62" fillId="0" borderId="0" xfId="1" applyNumberFormat="1" applyFont="1" applyBorder="1" applyAlignment="1">
      <alignment horizontal="left" vertical="center" indent="1"/>
    </xf>
    <xf numFmtId="0" fontId="62" fillId="0" borderId="0" xfId="1" applyFont="1" applyBorder="1" applyAlignment="1">
      <alignment horizontal="left" vertical="center" indent="1"/>
    </xf>
    <xf numFmtId="49" fontId="62" fillId="0" borderId="0" xfId="1" applyNumberFormat="1" applyFont="1" applyBorder="1" applyAlignment="1">
      <alignment horizontal="center" vertical="center"/>
    </xf>
    <xf numFmtId="0" fontId="62" fillId="0" borderId="1" xfId="1" applyFont="1" applyBorder="1" applyAlignment="1">
      <alignment horizontal="left" vertical="center" indent="1"/>
    </xf>
    <xf numFmtId="49" fontId="62" fillId="0" borderId="8" xfId="1" applyNumberFormat="1" applyFont="1" applyBorder="1" applyAlignment="1">
      <alignment horizontal="center" vertical="center" wrapText="1"/>
    </xf>
    <xf numFmtId="49" fontId="62" fillId="0" borderId="8" xfId="1" quotePrefix="1" applyNumberFormat="1" applyFont="1" applyBorder="1" applyAlignment="1">
      <alignment horizontal="center" vertical="center"/>
    </xf>
    <xf numFmtId="49" fontId="62" fillId="0" borderId="1" xfId="1" quotePrefix="1" applyNumberFormat="1" applyFont="1" applyBorder="1" applyAlignment="1">
      <alignment horizontal="center" vertical="center"/>
    </xf>
    <xf numFmtId="49" fontId="61" fillId="0" borderId="1" xfId="1" quotePrefix="1" applyNumberFormat="1" applyFont="1" applyBorder="1" applyAlignment="1">
      <alignment horizontal="center" vertical="center"/>
    </xf>
    <xf numFmtId="0" fontId="60" fillId="0" borderId="1" xfId="1" applyFont="1" applyBorder="1" applyAlignment="1">
      <alignment horizontal="left" vertical="center" indent="1"/>
    </xf>
    <xf numFmtId="49" fontId="60" fillId="0" borderId="1" xfId="1" quotePrefix="1" applyNumberFormat="1" applyFont="1" applyBorder="1" applyAlignment="1">
      <alignment horizontal="center" vertical="center"/>
    </xf>
    <xf numFmtId="49" fontId="60" fillId="0" borderId="8" xfId="1" quotePrefix="1" applyNumberFormat="1" applyFont="1" applyBorder="1" applyAlignment="1">
      <alignment horizontal="center" vertical="center"/>
    </xf>
    <xf numFmtId="49" fontId="60" fillId="0" borderId="1" xfId="1" applyNumberFormat="1" applyFont="1" applyBorder="1" applyAlignment="1">
      <alignment horizontal="center" vertical="center"/>
    </xf>
    <xf numFmtId="49" fontId="59" fillId="0" borderId="1" xfId="1" applyNumberFormat="1" applyFont="1" applyBorder="1" applyAlignment="1">
      <alignment horizontal="center" vertical="center"/>
    </xf>
    <xf numFmtId="49" fontId="59" fillId="0" borderId="1" xfId="1" applyNumberFormat="1" applyFont="1" applyBorder="1" applyAlignment="1">
      <alignment horizontal="center" vertical="center" wrapText="1"/>
    </xf>
    <xf numFmtId="49" fontId="58" fillId="0" borderId="8" xfId="1" quotePrefix="1" applyNumberFormat="1" applyFont="1" applyBorder="1" applyAlignment="1">
      <alignment horizontal="center" vertical="center"/>
    </xf>
    <xf numFmtId="49" fontId="58" fillId="0" borderId="1" xfId="1" quotePrefix="1" applyNumberFormat="1" applyFont="1" applyBorder="1" applyAlignment="1">
      <alignment horizontal="center" vertical="center"/>
    </xf>
    <xf numFmtId="0" fontId="58" fillId="0" borderId="1" xfId="1" applyFont="1" applyBorder="1" applyAlignment="1">
      <alignment horizontal="left" vertical="center" indent="1"/>
    </xf>
    <xf numFmtId="0" fontId="58" fillId="0" borderId="1" xfId="1" applyFont="1" applyBorder="1" applyAlignment="1">
      <alignment horizontal="left" vertical="center" wrapText="1" indent="1"/>
    </xf>
    <xf numFmtId="0" fontId="58" fillId="0" borderId="8" xfId="1" applyFont="1" applyBorder="1" applyAlignment="1">
      <alignment horizontal="center" vertical="center"/>
    </xf>
    <xf numFmtId="0" fontId="85" fillId="13" borderId="1" xfId="1" applyFont="1" applyFill="1" applyBorder="1" applyAlignment="1">
      <alignment horizontal="left" vertical="center" wrapText="1" indent="1"/>
    </xf>
    <xf numFmtId="49" fontId="58" fillId="0" borderId="1" xfId="1" applyNumberFormat="1" applyFont="1" applyBorder="1" applyAlignment="1">
      <alignment horizontal="center" vertical="center"/>
    </xf>
    <xf numFmtId="0" fontId="58" fillId="13" borderId="1" xfId="1" applyFont="1" applyFill="1" applyBorder="1" applyAlignment="1">
      <alignment horizontal="left" vertical="center" wrapText="1" indent="1"/>
    </xf>
    <xf numFmtId="0" fontId="58" fillId="0" borderId="0" xfId="1" applyFont="1" applyBorder="1" applyAlignment="1">
      <alignment horizontal="left" vertical="center" indent="1"/>
    </xf>
    <xf numFmtId="0" fontId="94" fillId="0" borderId="0" xfId="2" applyFont="1" applyBorder="1" applyAlignment="1">
      <alignment horizontal="left" vertical="center" indent="1"/>
    </xf>
    <xf numFmtId="49" fontId="57" fillId="2" borderId="4" xfId="1" applyNumberFormat="1" applyFont="1" applyFill="1" applyBorder="1" applyAlignment="1">
      <alignment horizontal="center" vertical="center" textRotation="90" wrapText="1"/>
    </xf>
    <xf numFmtId="49" fontId="56" fillId="0" borderId="0" xfId="1" applyNumberFormat="1" applyFont="1" applyBorder="1" applyAlignment="1">
      <alignment horizontal="center" vertical="center"/>
    </xf>
    <xf numFmtId="49" fontId="56" fillId="2" borderId="4" xfId="1" applyNumberFormat="1" applyFont="1" applyFill="1" applyBorder="1" applyAlignment="1">
      <alignment horizontal="center" vertical="center" textRotation="90" wrapText="1"/>
    </xf>
    <xf numFmtId="49" fontId="56" fillId="0" borderId="8" xfId="1" applyNumberFormat="1" applyFont="1" applyBorder="1" applyAlignment="1">
      <alignment horizontal="center" vertical="center"/>
    </xf>
    <xf numFmtId="49" fontId="56" fillId="0" borderId="1" xfId="1" applyNumberFormat="1" applyFont="1" applyBorder="1" applyAlignment="1">
      <alignment horizontal="center" vertical="center"/>
    </xf>
    <xf numFmtId="49" fontId="56" fillId="6" borderId="7" xfId="1" applyNumberFormat="1" applyFont="1" applyFill="1" applyBorder="1" applyAlignment="1">
      <alignment horizontal="center" vertical="center"/>
    </xf>
    <xf numFmtId="49" fontId="56" fillId="6" borderId="7" xfId="1" applyNumberFormat="1" applyFont="1" applyFill="1" applyBorder="1" applyAlignment="1">
      <alignment horizontal="left" vertical="center" indent="1"/>
    </xf>
    <xf numFmtId="49" fontId="85" fillId="6" borderId="7" xfId="1" applyNumberFormat="1" applyFont="1" applyFill="1" applyBorder="1" applyAlignment="1">
      <alignment horizontal="left" vertical="center" indent="1"/>
    </xf>
    <xf numFmtId="49" fontId="56" fillId="6" borderId="7" xfId="1" quotePrefix="1" applyNumberFormat="1" applyFont="1" applyFill="1" applyBorder="1" applyAlignment="1">
      <alignment horizontal="center" vertical="center"/>
    </xf>
    <xf numFmtId="49" fontId="55" fillId="0" borderId="1" xfId="1" applyNumberFormat="1" applyFont="1" applyBorder="1" applyAlignment="1">
      <alignment horizontal="center" vertical="center"/>
    </xf>
    <xf numFmtId="0" fontId="55" fillId="0" borderId="1" xfId="1" applyFont="1" applyBorder="1" applyAlignment="1">
      <alignment horizontal="center" vertical="center" wrapText="1"/>
    </xf>
    <xf numFmtId="0" fontId="55" fillId="0" borderId="1" xfId="1" applyFont="1" applyBorder="1" applyAlignment="1">
      <alignment horizontal="left" vertical="center" indent="1"/>
    </xf>
    <xf numFmtId="49" fontId="54" fillId="6" borderId="7" xfId="1" applyNumberFormat="1" applyFont="1" applyFill="1" applyBorder="1" applyAlignment="1">
      <alignment horizontal="center" vertical="center"/>
    </xf>
    <xf numFmtId="49" fontId="54" fillId="0" borderId="0" xfId="1" applyNumberFormat="1" applyFont="1" applyBorder="1" applyAlignment="1">
      <alignment horizontal="left" vertical="center" indent="1"/>
    </xf>
    <xf numFmtId="49" fontId="53" fillId="0" borderId="8" xfId="1" applyNumberFormat="1" applyFont="1" applyBorder="1" applyAlignment="1">
      <alignment horizontal="center" vertical="center"/>
    </xf>
    <xf numFmtId="49" fontId="53" fillId="0" borderId="1" xfId="1" applyNumberFormat="1" applyFont="1" applyBorder="1" applyAlignment="1">
      <alignment horizontal="center" vertical="center"/>
    </xf>
    <xf numFmtId="0" fontId="53" fillId="0" borderId="1" xfId="1" applyFont="1" applyBorder="1" applyAlignment="1">
      <alignment horizontal="left" vertical="center" indent="1"/>
    </xf>
    <xf numFmtId="0" fontId="53" fillId="9" borderId="1" xfId="1" applyFont="1" applyFill="1" applyBorder="1" applyAlignment="1">
      <alignment horizontal="center" vertical="center" wrapText="1"/>
    </xf>
    <xf numFmtId="49" fontId="53" fillId="0" borderId="8" xfId="1" quotePrefix="1" applyNumberFormat="1" applyFont="1" applyBorder="1" applyAlignment="1">
      <alignment horizontal="center" vertical="center"/>
    </xf>
    <xf numFmtId="49" fontId="53" fillId="0" borderId="1" xfId="1" quotePrefix="1" applyNumberFormat="1" applyFont="1" applyBorder="1" applyAlignment="1">
      <alignment horizontal="center" vertical="center"/>
    </xf>
    <xf numFmtId="0" fontId="80" fillId="0" borderId="0" xfId="1" quotePrefix="1" applyFont="1" applyBorder="1" applyAlignment="1">
      <alignment horizontal="left" vertical="center" indent="1"/>
    </xf>
    <xf numFmtId="0" fontId="66" fillId="0" borderId="0" xfId="1" applyFont="1" applyBorder="1" applyAlignment="1">
      <alignment horizontal="left" vertical="center" indent="1"/>
    </xf>
    <xf numFmtId="0" fontId="53" fillId="0" borderId="0" xfId="1" applyFont="1" applyBorder="1" applyAlignment="1">
      <alignment horizontal="left" vertical="center" indent="1"/>
    </xf>
    <xf numFmtId="0" fontId="53" fillId="0" borderId="0" xfId="1" quotePrefix="1" applyFont="1" applyBorder="1" applyAlignment="1">
      <alignment horizontal="left" vertical="center" indent="1"/>
    </xf>
    <xf numFmtId="0" fontId="52" fillId="0" borderId="1" xfId="1" applyFont="1" applyBorder="1" applyAlignment="1">
      <alignment horizontal="left" vertical="center" indent="1"/>
    </xf>
    <xf numFmtId="49" fontId="51" fillId="2" borderId="6" xfId="1" applyNumberFormat="1" applyFont="1" applyFill="1" applyBorder="1" applyAlignment="1">
      <alignment horizontal="center" vertical="center" wrapText="1"/>
    </xf>
    <xf numFmtId="0" fontId="95" fillId="10" borderId="0" xfId="1" applyFont="1" applyFill="1" applyBorder="1" applyAlignment="1">
      <alignment horizontal="left" vertical="center" indent="1"/>
    </xf>
    <xf numFmtId="49" fontId="50" fillId="0" borderId="8" xfId="1" quotePrefix="1" applyNumberFormat="1" applyFont="1" applyBorder="1" applyAlignment="1">
      <alignment horizontal="center" vertical="center"/>
    </xf>
    <xf numFmtId="49" fontId="50" fillId="0" borderId="1" xfId="1" applyNumberFormat="1" applyFont="1" applyBorder="1" applyAlignment="1">
      <alignment horizontal="center" vertical="center" wrapText="1"/>
    </xf>
    <xf numFmtId="0" fontId="50" fillId="0" borderId="1" xfId="1" applyFont="1" applyBorder="1" applyAlignment="1">
      <alignment horizontal="left" vertical="center" wrapText="1" indent="1"/>
    </xf>
    <xf numFmtId="49" fontId="50" fillId="0" borderId="8" xfId="1" applyNumberFormat="1" applyFont="1" applyBorder="1" applyAlignment="1">
      <alignment horizontal="center" vertical="center" wrapText="1"/>
    </xf>
    <xf numFmtId="49" fontId="50" fillId="0" borderId="0" xfId="1" applyNumberFormat="1" applyFont="1" applyBorder="1" applyAlignment="1">
      <alignment horizontal="center" vertical="center"/>
    </xf>
    <xf numFmtId="0" fontId="100" fillId="0" borderId="0" xfId="0" applyFont="1"/>
    <xf numFmtId="0" fontId="95" fillId="0" borderId="0" xfId="0" applyFont="1"/>
    <xf numFmtId="0" fontId="94" fillId="0" borderId="15" xfId="2" applyFont="1" applyFill="1" applyBorder="1" applyAlignment="1">
      <alignment horizontal="left" vertical="center" indent="1"/>
    </xf>
    <xf numFmtId="0" fontId="95" fillId="0" borderId="15" xfId="0" applyFont="1" applyFill="1" applyBorder="1" applyAlignment="1">
      <alignment horizontal="left" vertical="center" wrapText="1" indent="1"/>
    </xf>
    <xf numFmtId="0" fontId="100" fillId="0" borderId="15" xfId="0" applyFont="1" applyFill="1" applyBorder="1" applyAlignment="1">
      <alignment horizontal="left" vertical="center" wrapText="1" indent="1"/>
    </xf>
    <xf numFmtId="0" fontId="49" fillId="0" borderId="1" xfId="1" applyFont="1" applyBorder="1" applyAlignment="1">
      <alignment horizontal="left" vertical="center" wrapText="1" indent="1"/>
    </xf>
    <xf numFmtId="49" fontId="48" fillId="0" borderId="0" xfId="1" applyNumberFormat="1" applyFont="1" applyBorder="1" applyAlignment="1">
      <alignment horizontal="center" vertical="center"/>
    </xf>
    <xf numFmtId="0" fontId="47" fillId="0" borderId="1" xfId="1" applyFont="1" applyBorder="1" applyAlignment="1">
      <alignment horizontal="left" vertical="center" wrapText="1" indent="1"/>
    </xf>
    <xf numFmtId="0" fontId="82" fillId="0" borderId="0" xfId="0" applyFont="1"/>
    <xf numFmtId="0" fontId="100" fillId="0" borderId="0" xfId="0" applyFont="1" applyAlignment="1">
      <alignment horizontal="left" vertical="center" wrapText="1" indent="1"/>
    </xf>
    <xf numFmtId="0" fontId="95" fillId="0" borderId="0" xfId="0" applyFont="1" applyAlignment="1">
      <alignment horizontal="left" vertical="center" wrapText="1" indent="1"/>
    </xf>
    <xf numFmtId="49" fontId="46" fillId="0" borderId="0" xfId="1" applyNumberFormat="1" applyFont="1" applyBorder="1" applyAlignment="1">
      <alignment horizontal="left" vertical="center" indent="1"/>
    </xf>
    <xf numFmtId="49" fontId="45" fillId="0" borderId="8" xfId="1" applyNumberFormat="1" applyFont="1" applyBorder="1" applyAlignment="1">
      <alignment horizontal="center" vertical="center"/>
    </xf>
    <xf numFmtId="0" fontId="44" fillId="0" borderId="0" xfId="0" applyFont="1" applyAlignment="1">
      <alignment horizontal="left" vertical="center" indent="1"/>
    </xf>
    <xf numFmtId="0" fontId="43" fillId="0" borderId="1" xfId="1" applyFont="1" applyBorder="1" applyAlignment="1">
      <alignment horizontal="left" vertical="center" indent="1"/>
    </xf>
    <xf numFmtId="0" fontId="43" fillId="0" borderId="0" xfId="1" applyFont="1" applyBorder="1" applyAlignment="1">
      <alignment horizontal="left" vertical="center" indent="1"/>
    </xf>
    <xf numFmtId="0" fontId="98" fillId="2" borderId="0" xfId="1" applyFont="1" applyFill="1" applyBorder="1" applyAlignment="1">
      <alignment horizontal="left" vertical="center" indent="1"/>
    </xf>
    <xf numFmtId="0" fontId="99" fillId="2" borderId="0" xfId="1" applyFont="1" applyFill="1" applyBorder="1" applyAlignment="1">
      <alignment horizontal="left" vertical="center" indent="1"/>
    </xf>
    <xf numFmtId="0" fontId="85" fillId="2" borderId="0" xfId="1" applyFont="1" applyFill="1" applyBorder="1" applyAlignment="1">
      <alignment horizontal="left" vertical="center" indent="1"/>
    </xf>
    <xf numFmtId="0" fontId="42" fillId="0" borderId="1" xfId="1" applyFont="1" applyBorder="1" applyAlignment="1">
      <alignment horizontal="left" vertical="center" indent="1"/>
    </xf>
    <xf numFmtId="49" fontId="42" fillId="0" borderId="8" xfId="1" applyNumberFormat="1" applyFont="1" applyBorder="1" applyAlignment="1">
      <alignment horizontal="center" vertical="center"/>
    </xf>
    <xf numFmtId="49" fontId="42" fillId="0" borderId="8" xfId="1" quotePrefix="1" applyNumberFormat="1" applyFont="1" applyBorder="1" applyAlignment="1">
      <alignment horizontal="center" vertical="center"/>
    </xf>
    <xf numFmtId="49" fontId="42" fillId="0" borderId="1" xfId="1" applyNumberFormat="1" applyFont="1" applyBorder="1" applyAlignment="1">
      <alignment horizontal="center" vertical="center"/>
    </xf>
    <xf numFmtId="49" fontId="42" fillId="0" borderId="1" xfId="1" quotePrefix="1" applyNumberFormat="1" applyFont="1" applyBorder="1" applyAlignment="1">
      <alignment horizontal="center" vertical="center"/>
    </xf>
    <xf numFmtId="0" fontId="95" fillId="8" borderId="1" xfId="1" applyFont="1" applyFill="1" applyBorder="1" applyAlignment="1">
      <alignment horizontal="left" vertical="center" indent="1"/>
    </xf>
    <xf numFmtId="0" fontId="95" fillId="10" borderId="1" xfId="1" quotePrefix="1" applyFont="1" applyFill="1" applyBorder="1" applyAlignment="1">
      <alignment horizontal="left" vertical="center" indent="1"/>
    </xf>
    <xf numFmtId="49" fontId="41" fillId="0" borderId="8" xfId="1" applyNumberFormat="1" applyFont="1" applyBorder="1" applyAlignment="1">
      <alignment horizontal="center" vertical="center"/>
    </xf>
    <xf numFmtId="49" fontId="41" fillId="0" borderId="1" xfId="1" applyNumberFormat="1" applyFont="1" applyBorder="1" applyAlignment="1">
      <alignment horizontal="center" vertical="center"/>
    </xf>
    <xf numFmtId="0" fontId="102" fillId="0" borderId="15" xfId="0" applyFont="1" applyFill="1" applyBorder="1" applyAlignment="1">
      <alignment horizontal="left" vertical="center" wrapText="1" indent="1"/>
    </xf>
    <xf numFmtId="0" fontId="40" fillId="0" borderId="0" xfId="0" applyFont="1" applyAlignment="1">
      <alignment horizontal="left" vertical="center" indent="1"/>
    </xf>
    <xf numFmtId="49" fontId="40" fillId="0" borderId="8" xfId="1" applyNumberFormat="1" applyFont="1" applyBorder="1" applyAlignment="1">
      <alignment horizontal="center" vertical="center" wrapText="1"/>
    </xf>
    <xf numFmtId="49" fontId="40" fillId="0" borderId="1" xfId="1" applyNumberFormat="1" applyFont="1" applyBorder="1" applyAlignment="1">
      <alignment horizontal="center" vertical="center" wrapText="1"/>
    </xf>
    <xf numFmtId="0" fontId="40" fillId="0" borderId="1" xfId="1" applyFont="1" applyBorder="1" applyAlignment="1">
      <alignment horizontal="left" vertical="center" indent="1"/>
    </xf>
    <xf numFmtId="0" fontId="40" fillId="0" borderId="1" xfId="1" applyFont="1" applyBorder="1" applyAlignment="1">
      <alignment horizontal="left" vertical="center" wrapText="1" indent="1"/>
    </xf>
    <xf numFmtId="0" fontId="39" fillId="0" borderId="1" xfId="1" applyFont="1" applyBorder="1" applyAlignment="1">
      <alignment horizontal="left" vertical="center" indent="1"/>
    </xf>
    <xf numFmtId="0" fontId="101" fillId="0" borderId="0" xfId="0" applyFont="1" applyBorder="1" applyAlignment="1">
      <alignment horizontal="left" vertical="center" indent="1"/>
    </xf>
    <xf numFmtId="0" fontId="101" fillId="0" borderId="0" xfId="0" applyFont="1" applyFill="1" applyBorder="1" applyAlignment="1">
      <alignment horizontal="left" vertical="center" indent="1"/>
    </xf>
    <xf numFmtId="0" fontId="90" fillId="0" borderId="0" xfId="0" applyFont="1" applyBorder="1"/>
    <xf numFmtId="0" fontId="95" fillId="0" borderId="0" xfId="0" applyFont="1" applyBorder="1"/>
    <xf numFmtId="0" fontId="100" fillId="0" borderId="0" xfId="0" applyFont="1" applyBorder="1"/>
    <xf numFmtId="0" fontId="95" fillId="0" borderId="0" xfId="0" applyFont="1" applyFill="1" applyBorder="1" applyAlignment="1">
      <alignment horizontal="left" vertical="center" wrapText="1" indent="1"/>
    </xf>
    <xf numFmtId="0" fontId="94" fillId="0" borderId="0" xfId="2" applyFont="1" applyFill="1" applyBorder="1" applyAlignment="1">
      <alignment horizontal="left" vertical="center" indent="1"/>
    </xf>
    <xf numFmtId="0" fontId="100" fillId="0" borderId="0" xfId="0" applyFont="1" applyFill="1" applyBorder="1" applyAlignment="1">
      <alignment horizontal="left" vertical="center" wrapText="1" indent="1"/>
    </xf>
    <xf numFmtId="49" fontId="38" fillId="0" borderId="8" xfId="1" applyNumberFormat="1" applyFont="1" applyBorder="1" applyAlignment="1">
      <alignment horizontal="center" vertical="center"/>
    </xf>
    <xf numFmtId="49" fontId="38" fillId="0" borderId="1" xfId="1" applyNumberFormat="1" applyFont="1" applyBorder="1" applyAlignment="1">
      <alignment horizontal="center" vertical="center"/>
    </xf>
    <xf numFmtId="0" fontId="38" fillId="0" borderId="1" xfId="1" applyFont="1" applyBorder="1" applyAlignment="1">
      <alignment horizontal="left" vertical="center" wrapText="1" indent="1"/>
    </xf>
    <xf numFmtId="0" fontId="38" fillId="0" borderId="1" xfId="1" applyFont="1" applyBorder="1" applyAlignment="1">
      <alignment horizontal="left" vertical="center" indent="1"/>
    </xf>
    <xf numFmtId="0" fontId="37" fillId="0" borderId="1" xfId="1" applyFont="1" applyBorder="1" applyAlignment="1">
      <alignment horizontal="left" vertical="center" wrapText="1" indent="1"/>
    </xf>
    <xf numFmtId="0" fontId="37" fillId="0" borderId="1" xfId="1" applyFont="1" applyBorder="1" applyAlignment="1">
      <alignment horizontal="left" vertical="center" indent="1"/>
    </xf>
    <xf numFmtId="0" fontId="95" fillId="0" borderId="1" xfId="1" applyFont="1" applyBorder="1" applyAlignment="1">
      <alignment horizontal="left" vertical="center" indent="1"/>
    </xf>
    <xf numFmtId="49" fontId="103" fillId="2" borderId="9" xfId="1" applyNumberFormat="1" applyFont="1" applyFill="1" applyBorder="1" applyAlignment="1">
      <alignment horizontal="center" vertical="center" wrapText="1"/>
    </xf>
    <xf numFmtId="49" fontId="103" fillId="2" borderId="6" xfId="1" applyNumberFormat="1" applyFont="1" applyFill="1" applyBorder="1" applyAlignment="1">
      <alignment horizontal="center" vertical="center" wrapText="1"/>
    </xf>
    <xf numFmtId="49" fontId="103" fillId="2" borderId="6" xfId="1" applyNumberFormat="1" applyFont="1" applyFill="1" applyBorder="1" applyAlignment="1">
      <alignment horizontal="center" vertical="center"/>
    </xf>
    <xf numFmtId="49" fontId="103" fillId="0" borderId="0" xfId="0" applyNumberFormat="1" applyFont="1" applyBorder="1" applyAlignment="1">
      <alignment horizontal="center" vertical="center"/>
    </xf>
    <xf numFmtId="49" fontId="104" fillId="2" borderId="9" xfId="1" applyNumberFormat="1" applyFont="1" applyFill="1" applyBorder="1" applyAlignment="1">
      <alignment horizontal="center" vertical="center" wrapText="1"/>
    </xf>
    <xf numFmtId="49" fontId="104" fillId="2" borderId="6" xfId="1" applyNumberFormat="1" applyFont="1" applyFill="1" applyBorder="1" applyAlignment="1">
      <alignment horizontal="center" vertical="center" wrapText="1"/>
    </xf>
    <xf numFmtId="49" fontId="104" fillId="2" borderId="6" xfId="1" applyNumberFormat="1" applyFont="1" applyFill="1" applyBorder="1" applyAlignment="1">
      <alignment horizontal="center" vertical="center"/>
    </xf>
    <xf numFmtId="49" fontId="104" fillId="2" borderId="6" xfId="0" applyNumberFormat="1" applyFont="1" applyFill="1" applyBorder="1" applyAlignment="1">
      <alignment horizontal="center" vertical="center"/>
    </xf>
    <xf numFmtId="49" fontId="104" fillId="0" borderId="6" xfId="0" applyNumberFormat="1" applyFont="1" applyBorder="1" applyAlignment="1">
      <alignment horizontal="center" vertical="center"/>
    </xf>
    <xf numFmtId="49" fontId="104" fillId="0" borderId="0" xfId="0" applyNumberFormat="1" applyFont="1" applyBorder="1" applyAlignment="1">
      <alignment horizontal="center" vertical="center"/>
    </xf>
    <xf numFmtId="49" fontId="104" fillId="2" borderId="6" xfId="1" quotePrefix="1" applyNumberFormat="1" applyFont="1" applyFill="1" applyBorder="1" applyAlignment="1">
      <alignment horizontal="center" vertical="center"/>
    </xf>
    <xf numFmtId="49" fontId="105" fillId="2" borderId="9" xfId="1" applyNumberFormat="1" applyFont="1" applyFill="1" applyBorder="1" applyAlignment="1">
      <alignment horizontal="center" vertical="center" wrapText="1"/>
    </xf>
    <xf numFmtId="49" fontId="105" fillId="2" borderId="6" xfId="1" applyNumberFormat="1" applyFont="1" applyFill="1" applyBorder="1" applyAlignment="1">
      <alignment horizontal="center" vertical="center" wrapText="1"/>
    </xf>
    <xf numFmtId="49" fontId="105" fillId="2" borderId="6" xfId="1" applyNumberFormat="1" applyFont="1" applyFill="1" applyBorder="1" applyAlignment="1">
      <alignment horizontal="center" vertical="center"/>
    </xf>
    <xf numFmtId="49" fontId="105" fillId="2" borderId="6" xfId="1" quotePrefix="1" applyNumberFormat="1" applyFont="1" applyFill="1" applyBorder="1" applyAlignment="1">
      <alignment horizontal="center" vertical="center"/>
    </xf>
    <xf numFmtId="49" fontId="106" fillId="0" borderId="0" xfId="0" applyNumberFormat="1" applyFont="1" applyBorder="1" applyAlignment="1">
      <alignment horizontal="center"/>
    </xf>
    <xf numFmtId="49" fontId="103" fillId="2" borderId="9" xfId="1" applyNumberFormat="1" applyFont="1" applyFill="1" applyBorder="1" applyAlignment="1">
      <alignment horizontal="left" vertical="center" wrapText="1" indent="1"/>
    </xf>
    <xf numFmtId="49" fontId="103" fillId="2" borderId="6" xfId="1" applyNumberFormat="1" applyFont="1" applyFill="1" applyBorder="1" applyAlignment="1">
      <alignment horizontal="left" vertical="center" wrapText="1" indent="1"/>
    </xf>
    <xf numFmtId="0" fontId="103" fillId="0" borderId="0" xfId="1" applyFont="1" applyBorder="1" applyAlignment="1">
      <alignment horizontal="left" vertical="center" indent="1"/>
    </xf>
    <xf numFmtId="0" fontId="84" fillId="0" borderId="1" xfId="2" applyBorder="1" applyAlignment="1">
      <alignment horizontal="left" vertical="center" indent="1"/>
    </xf>
    <xf numFmtId="0" fontId="84" fillId="2" borderId="0" xfId="2" applyFill="1" applyBorder="1" applyAlignment="1">
      <alignment horizontal="left" vertical="center" indent="1"/>
    </xf>
    <xf numFmtId="0" fontId="36" fillId="0" borderId="1" xfId="1" applyFont="1" applyBorder="1" applyAlignment="1">
      <alignment horizontal="left" vertical="center" indent="1"/>
    </xf>
    <xf numFmtId="49" fontId="35" fillId="0" borderId="8" xfId="1" quotePrefix="1" applyNumberFormat="1" applyFont="1" applyBorder="1" applyAlignment="1">
      <alignment horizontal="center" vertical="center"/>
    </xf>
    <xf numFmtId="49" fontId="35" fillId="0" borderId="1" xfId="1" quotePrefix="1" applyNumberFormat="1" applyFont="1" applyBorder="1" applyAlignment="1">
      <alignment horizontal="center" vertical="center"/>
    </xf>
    <xf numFmtId="0" fontId="98" fillId="2" borderId="0" xfId="1" applyNumberFormat="1" applyFont="1" applyFill="1" applyBorder="1" applyAlignment="1">
      <alignment horizontal="left" vertical="center" indent="1"/>
    </xf>
    <xf numFmtId="0" fontId="35" fillId="0" borderId="0" xfId="1" applyFont="1" applyBorder="1" applyAlignment="1">
      <alignment horizontal="left" vertical="center" indent="1"/>
    </xf>
    <xf numFmtId="0" fontId="84" fillId="0" borderId="0" xfId="2" applyBorder="1" applyAlignment="1">
      <alignment horizontal="left" vertical="center" indent="1"/>
    </xf>
    <xf numFmtId="0" fontId="35" fillId="0" borderId="1" xfId="1" applyFont="1" applyBorder="1" applyAlignment="1">
      <alignment horizontal="left" vertical="center" wrapText="1" indent="1"/>
    </xf>
    <xf numFmtId="1" fontId="85" fillId="0" borderId="2" xfId="1" applyNumberFormat="1" applyFont="1" applyBorder="1" applyAlignment="1">
      <alignment horizontal="center" vertical="center"/>
    </xf>
    <xf numFmtId="1" fontId="85" fillId="0" borderId="1" xfId="1" applyNumberFormat="1" applyFont="1" applyBorder="1" applyAlignment="1">
      <alignment horizontal="center" vertical="center"/>
    </xf>
    <xf numFmtId="1" fontId="88" fillId="0" borderId="0" xfId="0" applyNumberFormat="1" applyFont="1" applyAlignment="1">
      <alignment horizontal="center" vertical="center"/>
    </xf>
    <xf numFmtId="0" fontId="34" fillId="0" borderId="0" xfId="1" applyFont="1" applyFill="1" applyBorder="1" applyAlignment="1">
      <alignment horizontal="left" vertical="center" indent="1"/>
    </xf>
    <xf numFmtId="0" fontId="34" fillId="0" borderId="0" xfId="1" applyFont="1" applyBorder="1" applyAlignment="1">
      <alignment horizontal="left" vertical="center" indent="1"/>
    </xf>
    <xf numFmtId="0" fontId="94" fillId="13" borderId="1" xfId="2" applyFont="1" applyFill="1" applyBorder="1" applyAlignment="1">
      <alignment horizontal="left" vertical="center" wrapText="1" indent="1"/>
    </xf>
    <xf numFmtId="0" fontId="33" fillId="0" borderId="0" xfId="0" applyFont="1" applyAlignment="1">
      <alignment horizontal="left" vertical="center" indent="1"/>
    </xf>
    <xf numFmtId="0" fontId="33" fillId="0" borderId="0" xfId="1" applyFont="1" applyBorder="1" applyAlignment="1">
      <alignment horizontal="left" vertical="center" indent="1"/>
    </xf>
    <xf numFmtId="0" fontId="32" fillId="0" borderId="0" xfId="1" applyFont="1" applyAlignment="1">
      <alignment horizontal="left" vertical="center" indent="1"/>
    </xf>
    <xf numFmtId="0" fontId="32" fillId="0" borderId="0" xfId="1" applyFont="1" applyBorder="1" applyAlignment="1">
      <alignment horizontal="left" vertical="center" indent="1"/>
    </xf>
    <xf numFmtId="0" fontId="31" fillId="0" borderId="0" xfId="1" applyFont="1" applyBorder="1" applyAlignment="1">
      <alignment horizontal="left" vertical="center" indent="1"/>
    </xf>
    <xf numFmtId="0" fontId="31" fillId="0" borderId="0" xfId="1" applyFont="1" applyFill="1" applyBorder="1" applyAlignment="1">
      <alignment horizontal="left" vertical="center" indent="1"/>
    </xf>
    <xf numFmtId="0" fontId="107" fillId="2" borderId="0" xfId="2" applyFont="1" applyFill="1" applyBorder="1" applyAlignment="1">
      <alignment horizontal="left" vertical="center" indent="1"/>
    </xf>
    <xf numFmtId="49" fontId="103" fillId="2" borderId="0" xfId="1" applyNumberFormat="1" applyFont="1" applyFill="1" applyBorder="1" applyAlignment="1">
      <alignment horizontal="left" vertical="center" wrapText="1" indent="1"/>
    </xf>
    <xf numFmtId="49" fontId="30" fillId="0" borderId="8" xfId="1" applyNumberFormat="1" applyFont="1" applyBorder="1" applyAlignment="1">
      <alignment horizontal="center" vertical="center"/>
    </xf>
    <xf numFmtId="49" fontId="30" fillId="0" borderId="1" xfId="1" applyNumberFormat="1" applyFont="1" applyBorder="1" applyAlignment="1">
      <alignment horizontal="center" vertical="center"/>
    </xf>
    <xf numFmtId="0" fontId="30" fillId="0" borderId="1" xfId="1" applyFont="1" applyBorder="1" applyAlignment="1">
      <alignment horizontal="center" vertical="center" wrapText="1"/>
    </xf>
    <xf numFmtId="0" fontId="30" fillId="0" borderId="0" xfId="1" applyFont="1" applyBorder="1" applyAlignment="1">
      <alignment horizontal="left" vertical="center" indent="1"/>
    </xf>
    <xf numFmtId="49" fontId="29" fillId="0" borderId="8" xfId="1" applyNumberFormat="1" applyFont="1" applyBorder="1" applyAlignment="1">
      <alignment horizontal="center" vertical="center"/>
    </xf>
    <xf numFmtId="0" fontId="29" fillId="0" borderId="1" xfId="1" applyFont="1" applyBorder="1" applyAlignment="1">
      <alignment horizontal="center" vertical="center"/>
    </xf>
    <xf numFmtId="0" fontId="29" fillId="0" borderId="0" xfId="1" applyFont="1" applyBorder="1" applyAlignment="1">
      <alignment horizontal="left" vertical="center" indent="1"/>
    </xf>
    <xf numFmtId="49" fontId="28" fillId="0" borderId="8" xfId="1" quotePrefix="1" applyNumberFormat="1" applyFont="1" applyBorder="1" applyAlignment="1">
      <alignment horizontal="center" vertical="center"/>
    </xf>
    <xf numFmtId="0" fontId="27" fillId="0" borderId="1" xfId="1" applyFont="1" applyBorder="1" applyAlignment="1">
      <alignment horizontal="center" vertical="center"/>
    </xf>
    <xf numFmtId="49" fontId="27" fillId="0" borderId="8" xfId="1" quotePrefix="1" applyNumberFormat="1" applyFont="1" applyBorder="1" applyAlignment="1">
      <alignment horizontal="center" vertical="center"/>
    </xf>
    <xf numFmtId="0" fontId="27" fillId="0" borderId="1" xfId="1" applyFont="1" applyBorder="1" applyAlignment="1">
      <alignment horizontal="left" vertical="center" indent="1"/>
    </xf>
    <xf numFmtId="0" fontId="94" fillId="0" borderId="2" xfId="2" applyFont="1" applyBorder="1" applyAlignment="1">
      <alignment horizontal="left" vertical="center" indent="1"/>
    </xf>
    <xf numFmtId="49" fontId="27" fillId="0" borderId="8" xfId="1" applyNumberFormat="1" applyFont="1" applyBorder="1" applyAlignment="1">
      <alignment horizontal="center" vertical="center" wrapText="1"/>
    </xf>
    <xf numFmtId="49" fontId="27" fillId="0" borderId="1" xfId="1" applyNumberFormat="1" applyFont="1" applyBorder="1" applyAlignment="1">
      <alignment horizontal="center" vertical="center" wrapText="1"/>
    </xf>
    <xf numFmtId="49" fontId="26" fillId="0" borderId="1" xfId="1" applyNumberFormat="1" applyFont="1" applyBorder="1" applyAlignment="1">
      <alignment horizontal="center" vertical="center"/>
    </xf>
    <xf numFmtId="0" fontId="26" fillId="0" borderId="1" xfId="1" applyFont="1" applyBorder="1" applyAlignment="1">
      <alignment horizontal="left" vertical="center" indent="1"/>
    </xf>
    <xf numFmtId="0" fontId="94" fillId="0" borderId="1" xfId="2" applyFont="1" applyBorder="1" applyAlignment="1">
      <alignment horizontal="left" vertical="center" indent="1"/>
    </xf>
    <xf numFmtId="0" fontId="25" fillId="0" borderId="1" xfId="1" applyFont="1" applyBorder="1" applyAlignment="1">
      <alignment horizontal="left" vertical="center" indent="1"/>
    </xf>
    <xf numFmtId="49" fontId="25" fillId="0" borderId="8" xfId="1" applyNumberFormat="1" applyFont="1" applyBorder="1" applyAlignment="1">
      <alignment horizontal="center" vertical="center"/>
    </xf>
    <xf numFmtId="49" fontId="25" fillId="0" borderId="8" xfId="1" quotePrefix="1" applyNumberFormat="1" applyFont="1" applyBorder="1" applyAlignment="1">
      <alignment horizontal="center" vertical="center"/>
    </xf>
    <xf numFmtId="49" fontId="25" fillId="0" borderId="1" xfId="1" quotePrefix="1" applyNumberFormat="1" applyFont="1" applyBorder="1" applyAlignment="1">
      <alignment horizontal="center" vertical="center"/>
    </xf>
    <xf numFmtId="0" fontId="25" fillId="0" borderId="0" xfId="1" applyFont="1" applyBorder="1" applyAlignment="1">
      <alignment horizontal="left" vertical="center" indent="1"/>
    </xf>
    <xf numFmtId="49" fontId="24" fillId="0" borderId="1" xfId="1" quotePrefix="1" applyNumberFormat="1" applyFont="1" applyBorder="1" applyAlignment="1">
      <alignment horizontal="center" vertical="center"/>
    </xf>
    <xf numFmtId="0" fontId="24" fillId="0" borderId="0" xfId="1" applyFont="1" applyBorder="1" applyAlignment="1">
      <alignment horizontal="left" vertical="center" indent="1"/>
    </xf>
    <xf numFmtId="0" fontId="84" fillId="0" borderId="0" xfId="2" applyAlignment="1">
      <alignment horizontal="center" vertical="center"/>
    </xf>
    <xf numFmtId="0" fontId="24" fillId="0" borderId="1" xfId="1" applyFont="1" applyBorder="1" applyAlignment="1">
      <alignment horizontal="left" vertical="center" indent="1"/>
    </xf>
    <xf numFmtId="49" fontId="23" fillId="0" borderId="8" xfId="1" applyNumberFormat="1" applyFont="1" applyBorder="1" applyAlignment="1">
      <alignment horizontal="center" vertical="center" wrapText="1"/>
    </xf>
    <xf numFmtId="49" fontId="23" fillId="0" borderId="1" xfId="1" applyNumberFormat="1" applyFont="1" applyBorder="1" applyAlignment="1">
      <alignment horizontal="center" vertical="center" wrapText="1"/>
    </xf>
    <xf numFmtId="0" fontId="23" fillId="0" borderId="0" xfId="1" applyFont="1" applyBorder="1" applyAlignment="1">
      <alignment horizontal="left" vertical="center" indent="1"/>
    </xf>
    <xf numFmtId="49" fontId="23" fillId="0" borderId="8" xfId="1" applyNumberFormat="1" applyFont="1" applyBorder="1" applyAlignment="1">
      <alignment horizontal="center" vertical="center"/>
    </xf>
    <xf numFmtId="0" fontId="23" fillId="0" borderId="0" xfId="0" applyFont="1" applyAlignment="1">
      <alignment horizontal="left" vertical="center" indent="1"/>
    </xf>
    <xf numFmtId="0" fontId="22" fillId="0" borderId="0" xfId="1" applyFont="1" applyBorder="1" applyAlignment="1">
      <alignment horizontal="left" vertical="center" indent="1"/>
    </xf>
    <xf numFmtId="0" fontId="0" fillId="0" borderId="0" xfId="0" applyAlignment="1">
      <alignment wrapText="1"/>
    </xf>
    <xf numFmtId="0" fontId="22" fillId="0" borderId="1" xfId="1" applyFont="1" applyBorder="1" applyAlignment="1">
      <alignment horizontal="left" vertical="center" indent="1"/>
    </xf>
    <xf numFmtId="0" fontId="22" fillId="0" borderId="0" xfId="1" applyFont="1" applyAlignment="1">
      <alignment horizontal="left" vertical="center" indent="1"/>
    </xf>
    <xf numFmtId="0" fontId="95" fillId="8" borderId="0" xfId="0" applyFont="1" applyFill="1" applyAlignment="1">
      <alignment horizontal="left" vertical="center" indent="1"/>
    </xf>
    <xf numFmtId="0" fontId="22" fillId="0" borderId="0" xfId="0" applyFont="1" applyAlignment="1">
      <alignment horizontal="left" vertical="center" indent="1"/>
    </xf>
    <xf numFmtId="0" fontId="21" fillId="0" borderId="0" xfId="1" applyFont="1" applyBorder="1" applyAlignment="1">
      <alignment horizontal="left" vertical="center" indent="1"/>
    </xf>
    <xf numFmtId="0" fontId="21" fillId="0" borderId="0" xfId="1" applyFont="1" applyFill="1" applyBorder="1" applyAlignment="1">
      <alignment horizontal="left" vertical="center" indent="1"/>
    </xf>
    <xf numFmtId="0" fontId="0" fillId="0" borderId="0" xfId="0" applyAlignment="1"/>
    <xf numFmtId="0" fontId="95" fillId="0" borderId="0" xfId="0" applyFont="1" applyAlignment="1">
      <alignment wrapText="1"/>
    </xf>
    <xf numFmtId="0" fontId="95" fillId="0" borderId="0" xfId="0" applyFont="1" applyAlignment="1"/>
    <xf numFmtId="0" fontId="108" fillId="0" borderId="0" xfId="0" applyFont="1" applyAlignment="1">
      <alignment horizontal="left" indent="1"/>
    </xf>
    <xf numFmtId="49" fontId="20" fillId="0" borderId="8" xfId="1" applyNumberFormat="1" applyFont="1" applyBorder="1" applyAlignment="1">
      <alignment horizontal="center" vertical="center"/>
    </xf>
    <xf numFmtId="0" fontId="20" fillId="0" borderId="0" xfId="0" applyFont="1" applyAlignment="1">
      <alignment horizontal="left" vertical="center" indent="1"/>
    </xf>
    <xf numFmtId="0" fontId="109" fillId="0" borderId="0" xfId="4" applyFont="1">
      <alignment horizontal="left" vertical="center" indent="1"/>
    </xf>
    <xf numFmtId="0" fontId="108" fillId="0" borderId="0" xfId="3" applyFont="1">
      <alignment horizontal="left" vertical="center" indent="1" shrinkToFit="1"/>
    </xf>
    <xf numFmtId="0" fontId="19" fillId="0" borderId="1" xfId="1" applyFont="1" applyBorder="1" applyAlignment="1">
      <alignment horizontal="left" vertical="center" wrapText="1" indent="1"/>
    </xf>
    <xf numFmtId="0" fontId="19" fillId="0" borderId="1" xfId="1" applyFont="1" applyBorder="1" applyAlignment="1">
      <alignment horizontal="center" vertical="center"/>
    </xf>
    <xf numFmtId="49" fontId="19" fillId="0" borderId="8" xfId="1" applyNumberFormat="1" applyFont="1" applyBorder="1" applyAlignment="1">
      <alignment horizontal="center" vertical="center" wrapText="1"/>
    </xf>
    <xf numFmtId="49" fontId="19" fillId="0" borderId="1" xfId="1" quotePrefix="1" applyNumberFormat="1" applyFont="1" applyBorder="1" applyAlignment="1">
      <alignment horizontal="center" vertical="center"/>
    </xf>
    <xf numFmtId="0" fontId="111" fillId="0" borderId="0" xfId="5" applyFont="1">
      <alignment horizontal="center" vertical="center"/>
    </xf>
    <xf numFmtId="49" fontId="18" fillId="2" borderId="4" xfId="1" applyNumberFormat="1" applyFont="1" applyFill="1" applyBorder="1" applyAlignment="1">
      <alignment horizontal="center" vertical="center" textRotation="90" wrapText="1"/>
    </xf>
    <xf numFmtId="49" fontId="17" fillId="0" borderId="8" xfId="1" quotePrefix="1" applyNumberFormat="1" applyFont="1" applyBorder="1" applyAlignment="1">
      <alignment horizontal="center" vertical="center"/>
    </xf>
    <xf numFmtId="0" fontId="17" fillId="0" borderId="1" xfId="1" applyFont="1" applyBorder="1" applyAlignment="1">
      <alignment horizontal="left" vertical="center" wrapText="1" indent="1"/>
    </xf>
    <xf numFmtId="0" fontId="17" fillId="0" borderId="1" xfId="1" applyFont="1" applyBorder="1" applyAlignment="1">
      <alignment horizontal="center" vertical="center" wrapText="1"/>
    </xf>
    <xf numFmtId="0" fontId="102" fillId="0" borderId="0" xfId="0" applyFont="1" applyBorder="1" applyAlignment="1">
      <alignment horizontal="left" vertical="center" indent="1"/>
    </xf>
    <xf numFmtId="0" fontId="102" fillId="0" borderId="0" xfId="0" applyFont="1" applyFill="1" applyBorder="1" applyAlignment="1">
      <alignment horizontal="left" vertical="center" wrapText="1" indent="1"/>
    </xf>
    <xf numFmtId="0" fontId="17" fillId="0" borderId="1" xfId="1" applyFont="1" applyBorder="1" applyAlignment="1">
      <alignment horizontal="left" vertical="center" indent="1"/>
    </xf>
    <xf numFmtId="49" fontId="17" fillId="0" borderId="8" xfId="1" applyNumberFormat="1" applyFont="1" applyBorder="1" applyAlignment="1">
      <alignment horizontal="center" vertical="center"/>
    </xf>
    <xf numFmtId="49" fontId="17" fillId="0" borderId="1" xfId="1" applyNumberFormat="1" applyFont="1" applyBorder="1" applyAlignment="1">
      <alignment horizontal="center" vertical="center"/>
    </xf>
    <xf numFmtId="0" fontId="17" fillId="0" borderId="0" xfId="1" applyFont="1" applyBorder="1" applyAlignment="1">
      <alignment horizontal="left" vertical="center" indent="1"/>
    </xf>
    <xf numFmtId="0" fontId="17" fillId="0" borderId="1" xfId="1" applyFont="1" applyBorder="1" applyAlignment="1">
      <alignment horizontal="center" vertical="center"/>
    </xf>
    <xf numFmtId="0" fontId="17" fillId="0" borderId="0" xfId="1" applyFont="1" applyBorder="1" applyAlignment="1">
      <alignment horizontal="left" vertical="center" wrapText="1" indent="1"/>
    </xf>
    <xf numFmtId="0" fontId="16" fillId="0" borderId="0" xfId="1" applyFont="1" applyBorder="1" applyAlignment="1">
      <alignment horizontal="left" vertical="center"/>
    </xf>
    <xf numFmtId="49" fontId="15" fillId="0" borderId="8" xfId="1" applyNumberFormat="1" applyFont="1" applyBorder="1" applyAlignment="1">
      <alignment horizontal="center" vertical="center" wrapText="1"/>
    </xf>
    <xf numFmtId="0" fontId="15" fillId="0" borderId="0" xfId="1" applyFont="1" applyBorder="1" applyAlignment="1">
      <alignment horizontal="left" vertical="center" indent="1"/>
    </xf>
    <xf numFmtId="0" fontId="88" fillId="0" borderId="0" xfId="0" applyNumberFormat="1" applyFont="1" applyBorder="1" applyAlignment="1">
      <alignment horizontal="center"/>
    </xf>
    <xf numFmtId="0" fontId="14" fillId="0" borderId="0" xfId="1" applyFont="1" applyBorder="1" applyAlignment="1">
      <alignment horizontal="left" vertical="center" indent="1"/>
    </xf>
    <xf numFmtId="49" fontId="13" fillId="2" borderId="16" xfId="1" applyNumberFormat="1" applyFont="1" applyFill="1" applyBorder="1" applyAlignment="1">
      <alignment horizontal="center" vertical="center" wrapText="1"/>
    </xf>
    <xf numFmtId="0" fontId="12" fillId="0" borderId="0" xfId="1" applyFont="1" applyBorder="1" applyAlignment="1">
      <alignment horizontal="left" vertical="center" indent="1"/>
    </xf>
    <xf numFmtId="0" fontId="11" fillId="0" borderId="0" xfId="1" applyFont="1" applyAlignment="1">
      <alignment horizontal="left" vertical="center" indent="1"/>
    </xf>
    <xf numFmtId="0" fontId="11" fillId="0" borderId="0" xfId="1" applyFont="1" applyBorder="1" applyAlignment="1">
      <alignment horizontal="left" vertical="center" indent="1"/>
    </xf>
    <xf numFmtId="49" fontId="98" fillId="2" borderId="0" xfId="1" applyNumberFormat="1" applyFont="1" applyFill="1" applyBorder="1" applyAlignment="1">
      <alignment horizontal="left" vertical="center" indent="1"/>
    </xf>
    <xf numFmtId="49" fontId="95" fillId="0" borderId="0" xfId="0" applyNumberFormat="1" applyFont="1" applyBorder="1" applyAlignment="1">
      <alignment horizontal="left" vertical="center" indent="1"/>
    </xf>
    <xf numFmtId="49" fontId="84" fillId="2" borderId="0" xfId="2" applyNumberFormat="1" applyFill="1" applyBorder="1" applyAlignment="1">
      <alignment horizontal="left" vertical="center" indent="1"/>
    </xf>
    <xf numFmtId="49" fontId="84" fillId="0" borderId="0" xfId="2" applyNumberFormat="1" applyBorder="1" applyAlignment="1">
      <alignment horizontal="left" vertical="center" indent="1"/>
    </xf>
    <xf numFmtId="49" fontId="98" fillId="0" borderId="0" xfId="1" applyNumberFormat="1" applyFont="1" applyBorder="1" applyAlignment="1">
      <alignment horizontal="left" vertical="center" indent="1"/>
    </xf>
    <xf numFmtId="49" fontId="11" fillId="0" borderId="0" xfId="1" applyNumberFormat="1" applyFont="1" applyBorder="1" applyAlignment="1">
      <alignment horizontal="left" vertical="center" indent="1"/>
    </xf>
    <xf numFmtId="49" fontId="24" fillId="0" borderId="0" xfId="1" applyNumberFormat="1" applyFont="1" applyBorder="1" applyAlignment="1">
      <alignment horizontal="left" vertical="center" indent="1"/>
    </xf>
    <xf numFmtId="49" fontId="11" fillId="14" borderId="9" xfId="1" applyNumberFormat="1" applyFont="1" applyFill="1" applyBorder="1" applyAlignment="1">
      <alignment horizontal="left" vertical="center" wrapText="1" indent="1"/>
    </xf>
    <xf numFmtId="49" fontId="11" fillId="13" borderId="9" xfId="1" applyNumberFormat="1" applyFont="1" applyFill="1" applyBorder="1" applyAlignment="1">
      <alignment horizontal="left" vertical="center" wrapText="1" indent="1"/>
    </xf>
    <xf numFmtId="49" fontId="10" fillId="13" borderId="9" xfId="1" applyNumberFormat="1" applyFont="1" applyFill="1" applyBorder="1" applyAlignment="1">
      <alignment horizontal="left" vertical="center" wrapText="1" indent="1"/>
    </xf>
    <xf numFmtId="0" fontId="10" fillId="0" borderId="0" xfId="1" applyFont="1" applyBorder="1" applyAlignment="1">
      <alignment horizontal="left" vertical="center" indent="1"/>
    </xf>
    <xf numFmtId="0" fontId="9" fillId="0" borderId="1" xfId="1" applyFont="1" applyBorder="1" applyAlignment="1">
      <alignment horizontal="left" vertical="center" indent="1"/>
    </xf>
    <xf numFmtId="0" fontId="9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center" vertical="center" wrapText="1"/>
    </xf>
    <xf numFmtId="49" fontId="8" fillId="0" borderId="1" xfId="1" applyNumberFormat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 indent="1"/>
    </xf>
    <xf numFmtId="0" fontId="8" fillId="0" borderId="0" xfId="1" applyFont="1" applyBorder="1" applyAlignment="1">
      <alignment horizontal="left" vertical="center" indent="1"/>
    </xf>
    <xf numFmtId="0" fontId="8" fillId="0" borderId="1" xfId="1" applyFont="1" applyBorder="1" applyAlignment="1">
      <alignment horizontal="center" vertical="center"/>
    </xf>
    <xf numFmtId="49" fontId="8" fillId="0" borderId="8" xfId="1" applyNumberFormat="1" applyFont="1" applyBorder="1" applyAlignment="1">
      <alignment horizontal="center" vertical="center"/>
    </xf>
    <xf numFmtId="0" fontId="8" fillId="0" borderId="0" xfId="0" applyFont="1" applyAlignment="1">
      <alignment horizontal="left" vertical="center" indent="1"/>
    </xf>
    <xf numFmtId="49" fontId="8" fillId="0" borderId="8" xfId="1" quotePrefix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49" fontId="7" fillId="0" borderId="1" xfId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left" vertical="center" indent="1"/>
    </xf>
    <xf numFmtId="0" fontId="7" fillId="0" borderId="1" xfId="1" applyFont="1" applyBorder="1" applyAlignment="1">
      <alignment horizontal="left" vertical="center" wrapText="1" indent="1"/>
    </xf>
    <xf numFmtId="4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49" fontId="6" fillId="0" borderId="8" xfId="1" quotePrefix="1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left" vertical="center" indent="1"/>
    </xf>
    <xf numFmtId="0" fontId="6" fillId="0" borderId="0" xfId="1" applyFont="1" applyBorder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5" fillId="0" borderId="0" xfId="1" applyFont="1" applyBorder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Border="1" applyAlignment="1">
      <alignment horizontal="left" vertical="center" indent="1"/>
    </xf>
    <xf numFmtId="0" fontId="79" fillId="0" borderId="0" xfId="0" applyFont="1" applyAlignment="1">
      <alignment horizontal="left" vertical="center"/>
    </xf>
    <xf numFmtId="0" fontId="79" fillId="0" borderId="0" xfId="0" applyFont="1" applyAlignme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79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1" xfId="1" applyFont="1" applyBorder="1" applyAlignment="1">
      <alignment horizontal="center" vertical="center" wrapText="1"/>
    </xf>
    <xf numFmtId="0" fontId="3" fillId="0" borderId="0" xfId="1" applyFont="1" applyBorder="1" applyAlignment="1">
      <alignment horizontal="center" vertical="center" wrapText="1"/>
    </xf>
    <xf numFmtId="0" fontId="3" fillId="0" borderId="0" xfId="1" applyFont="1" applyBorder="1" applyAlignment="1">
      <alignment horizontal="left" vertical="center" indent="1"/>
    </xf>
    <xf numFmtId="49" fontId="3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 indent="1"/>
    </xf>
    <xf numFmtId="20" fontId="79" fillId="0" borderId="0" xfId="0" applyNumberFormat="1" applyFont="1" applyBorder="1" applyAlignment="1">
      <alignment horizontal="left" vertical="center" indent="1"/>
    </xf>
    <xf numFmtId="49" fontId="2" fillId="2" borderId="4" xfId="1" applyNumberFormat="1" applyFont="1" applyFill="1" applyBorder="1" applyAlignment="1">
      <alignment horizontal="center" vertical="center" textRotation="90" wrapText="1"/>
    </xf>
    <xf numFmtId="49" fontId="2" fillId="6" borderId="7" xfId="1" applyNumberFormat="1" applyFont="1" applyFill="1" applyBorder="1" applyAlignment="1">
      <alignment horizontal="left" vertical="center" indent="1"/>
    </xf>
    <xf numFmtId="49" fontId="2" fillId="2" borderId="6" xfId="1" applyNumberFormat="1" applyFont="1" applyFill="1" applyBorder="1" applyAlignment="1">
      <alignment horizontal="center" vertical="center" wrapText="1"/>
    </xf>
    <xf numFmtId="0" fontId="2" fillId="0" borderId="0" xfId="1" applyFont="1" applyBorder="1" applyAlignment="1">
      <alignment horizontal="left" vertical="center" indent="1"/>
    </xf>
    <xf numFmtId="0" fontId="2" fillId="13" borderId="0" xfId="1" applyFont="1" applyFill="1" applyBorder="1" applyAlignment="1">
      <alignment horizontal="left" vertical="center" indent="1"/>
    </xf>
    <xf numFmtId="0" fontId="85" fillId="13" borderId="0" xfId="1" applyFont="1" applyFill="1" applyBorder="1" applyAlignment="1">
      <alignment horizontal="left" vertical="center" indent="1"/>
    </xf>
    <xf numFmtId="49" fontId="1" fillId="2" borderId="6" xfId="1" applyNumberFormat="1" applyFont="1" applyFill="1" applyBorder="1" applyAlignment="1">
      <alignment horizontal="center" vertical="center" wrapText="1"/>
    </xf>
    <xf numFmtId="0" fontId="114" fillId="0" borderId="15" xfId="2" applyFont="1" applyFill="1" applyBorder="1" applyAlignment="1">
      <alignment horizontal="left" vertical="center" indent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85" fillId="3" borderId="0" xfId="1" applyFont="1" applyFill="1" applyBorder="1" applyAlignment="1">
      <alignment horizontal="center" vertical="center" wrapText="1"/>
    </xf>
    <xf numFmtId="0" fontId="85" fillId="3" borderId="10" xfId="1" applyFont="1" applyFill="1" applyBorder="1" applyAlignment="1">
      <alignment horizontal="center" vertical="center" wrapText="1"/>
    </xf>
    <xf numFmtId="0" fontId="85" fillId="3" borderId="11" xfId="1" applyFont="1" applyFill="1" applyBorder="1" applyAlignment="1">
      <alignment horizontal="center" vertical="center" wrapText="1"/>
    </xf>
    <xf numFmtId="0" fontId="85" fillId="3" borderId="12" xfId="1" applyFont="1" applyFill="1" applyBorder="1" applyAlignment="1">
      <alignment horizontal="center" vertical="center" wrapText="1"/>
    </xf>
    <xf numFmtId="0" fontId="90" fillId="8" borderId="11" xfId="1" applyFont="1" applyFill="1" applyBorder="1" applyAlignment="1">
      <alignment horizontal="center" vertical="center" wrapText="1"/>
    </xf>
    <xf numFmtId="0" fontId="90" fillId="8" borderId="3" xfId="1" applyFont="1" applyFill="1" applyBorder="1" applyAlignment="1">
      <alignment horizontal="center" vertical="center" wrapText="1"/>
    </xf>
    <xf numFmtId="0" fontId="86" fillId="0" borderId="0" xfId="0" applyFont="1" applyAlignment="1">
      <alignment horizontal="center" vertical="center" wrapText="1"/>
    </xf>
    <xf numFmtId="49" fontId="51" fillId="2" borderId="13" xfId="1" applyNumberFormat="1" applyFont="1" applyFill="1" applyBorder="1" applyAlignment="1">
      <alignment horizontal="center" vertical="center" wrapText="1"/>
    </xf>
    <xf numFmtId="49" fontId="51" fillId="2" borderId="14" xfId="1" applyNumberFormat="1" applyFont="1" applyFill="1" applyBorder="1" applyAlignment="1">
      <alignment horizontal="center" vertical="center" wrapText="1"/>
    </xf>
    <xf numFmtId="49" fontId="8" fillId="2" borderId="13" xfId="1" applyNumberFormat="1" applyFont="1" applyFill="1" applyBorder="1" applyAlignment="1">
      <alignment horizontal="center" vertical="center" wrapText="1"/>
    </xf>
    <xf numFmtId="49" fontId="57" fillId="2" borderId="14" xfId="1" applyNumberFormat="1" applyFont="1" applyFill="1" applyBorder="1" applyAlignment="1">
      <alignment horizontal="center" vertical="center" wrapText="1"/>
    </xf>
  </cellXfs>
  <cellStyles count="33">
    <cellStyle name="Dance.DSN" xfId="28" xr:uid="{5974EE16-541A-4A2A-85B1-9C21C3A715D3}"/>
    <cellStyle name="Dance.Generic" xfId="26" xr:uid="{4A02F079-27AA-48C7-A6A8-15098AFDB28F}"/>
    <cellStyle name="Dance.Name" xfId="27" xr:uid="{E5143E8D-F3A6-4499-8FFB-599BE45A4E38}"/>
    <cellStyle name="DanceDict.DNS" xfId="30" xr:uid="{848022D7-FA2B-4FE2-A46C-FAD2A8FF4D7E}"/>
    <cellStyle name="DanceDict.Name" xfId="29" xr:uid="{F844C9C8-7495-4D3B-8235-D57E0FE039D2}"/>
    <cellStyle name="Figure.Align" xfId="10" xr:uid="{0DB483A6-27AA-477B-B07C-0B94066BEEF5}"/>
    <cellStyle name="Figure.AoT" xfId="11" xr:uid="{7B8CB8BE-7735-40C1-AE2B-BAC46CADE1EE}"/>
    <cellStyle name="Figure.CBM" xfId="12" xr:uid="{FF1C7973-C8E4-423A-A1D7-61F16E4EC9A6}"/>
    <cellStyle name="Figure.DNS" xfId="15" xr:uid="{8D039EBF-3EFC-4B44-A0EF-3C81CE961793}"/>
    <cellStyle name="Figure.Foot" xfId="9" xr:uid="{0B412D8B-4F65-4662-B78D-24737173EDF4}"/>
    <cellStyle name="Figure.Head" xfId="7" xr:uid="{25794432-ADD1-421E-BB49-8831DF63D8C3}"/>
    <cellStyle name="Figure.Name" xfId="8" xr:uid="{5A664EEC-D103-430A-92A8-BC4C0B8F836C}"/>
    <cellStyle name="Figure.Sway" xfId="14" xr:uid="{DA0FA264-B4E0-4E6B-9A9B-D9F79FD318F8}"/>
    <cellStyle name="Figure.Timing" xfId="13" xr:uid="{221C5FAE-5BE8-4302-A10F-186A359484F0}"/>
    <cellStyle name="FigureFrame.Generic" xfId="6" xr:uid="{FA26FCF7-E03F-457B-ADD3-B9A1857D1951}"/>
    <cellStyle name="LineItem.Comment" xfId="17" xr:uid="{42F31500-1D5D-4F05-984B-259AF5750CDB}"/>
    <cellStyle name="LineItem.Dance" xfId="21" xr:uid="{53246793-4488-4AD6-8820-CDBCB9142468}"/>
    <cellStyle name="LineItem.DSN" xfId="22" xr:uid="{2CBCF2CE-B9E4-4D12-B54C-B5FD1B5FEBD0}"/>
    <cellStyle name="LineItem.Generic" xfId="16" xr:uid="{2F772AF3-1BB2-4B39-81D4-F19F1F9E2BAC}"/>
    <cellStyle name="LineItem.LiLink" xfId="18" xr:uid="{6EE1690F-7C9C-4936-940B-D59BFC7A995E}"/>
    <cellStyle name="LineItem.LiName" xfId="19" xr:uid="{BA0201F6-68AF-4920-8C2F-7C02E460520B}"/>
    <cellStyle name="LineItem.LinkComment" xfId="20" xr:uid="{0673A37F-C622-41B2-8E3D-247E644EC7D7}"/>
    <cellStyle name="Link" xfId="2" builtinId="8"/>
    <cellStyle name="Page.Title" xfId="31" xr:uid="{AAEAF56D-FEF2-40ED-B389-8BD7671D7944}"/>
    <cellStyle name="Sequence.DNS" xfId="25" xr:uid="{69705FD9-0D7F-4E3B-B168-5E9925B67404}"/>
    <cellStyle name="Sequence.Head" xfId="23" xr:uid="{2BE8885C-8B13-4B1E-B2DD-07B5D523D15A}"/>
    <cellStyle name="Sequence.Name" xfId="24" xr:uid="{9F1DFD96-E055-45AF-9C34-114CA4AC889F}"/>
    <cellStyle name="Standard" xfId="0" builtinId="0"/>
    <cellStyle name="Standard 2" xfId="1" xr:uid="{00000000-0005-0000-0000-000002000000}"/>
    <cellStyle name="sty_DanceShortName" xfId="5" xr:uid="{FAD91744-88E6-44B4-89E9-D89987557A4E}"/>
    <cellStyle name="sty_Figure" xfId="3" xr:uid="{3894C443-9319-4A27-B30F-FFB41ADC0C49}"/>
    <cellStyle name="sty_SeqTitle" xfId="4" xr:uid="{2273D7E1-0FCF-49D8-BB7B-6B27250D1A0A}"/>
    <cellStyle name="TestStyle" xfId="32" xr:uid="{49DE4D5A-B572-438D-A59E-25728787489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742121</xdr:colOff>
      <xdr:row>22</xdr:row>
      <xdr:rowOff>85166</xdr:rowOff>
    </xdr:from>
    <xdr:to>
      <xdr:col>9</xdr:col>
      <xdr:colOff>337432</xdr:colOff>
      <xdr:row>27</xdr:row>
      <xdr:rowOff>132844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483DB93B-3D41-4D1F-AF94-00035C7C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6243" y="6128157"/>
          <a:ext cx="1311467" cy="1306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810701</xdr:colOff>
      <xdr:row>17</xdr:row>
      <xdr:rowOff>222326</xdr:rowOff>
    </xdr:from>
    <xdr:to>
      <xdr:col>17</xdr:col>
      <xdr:colOff>406012</xdr:colOff>
      <xdr:row>23</xdr:row>
      <xdr:rowOff>18544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CAD029E-309B-4D9E-9EF0-655DC309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9761" y="6546926"/>
          <a:ext cx="1309811" cy="1304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0</xdr:colOff>
      <xdr:row>8</xdr:row>
      <xdr:rowOff>1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171575" y="2714625"/>
          <a:ext cx="2095500" cy="1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0</xdr:colOff>
      <xdr:row>14</xdr:row>
      <xdr:rowOff>0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3810000" y="1333500"/>
          <a:ext cx="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w_2fA-27u0I&amp;list=PLxIl8YU658TtNKd9gmr8eenJjky8nE8yf" TargetMode="External"/><Relationship Id="rId18" Type="http://schemas.openxmlformats.org/officeDocument/2006/relationships/hyperlink" Target="https://www.youtube.com/shorts/szDZu6EjBAM" TargetMode="External"/><Relationship Id="rId26" Type="http://schemas.openxmlformats.org/officeDocument/2006/relationships/hyperlink" Target="https://www.youtube.com/watch?v=JZfHG73Zkp0" TargetMode="External"/><Relationship Id="rId39" Type="http://schemas.openxmlformats.org/officeDocument/2006/relationships/hyperlink" Target="https://www.youtube.com/watch?v=3qGrNlCZkmQ" TargetMode="External"/><Relationship Id="rId21" Type="http://schemas.openxmlformats.org/officeDocument/2006/relationships/hyperlink" Target="https://www.youtube.com/watch?v=h0DLafiAp4Y" TargetMode="External"/><Relationship Id="rId34" Type="http://schemas.openxmlformats.org/officeDocument/2006/relationships/hyperlink" Target="https://youtu.be/V0JJ4D8JBCA" TargetMode="External"/><Relationship Id="rId42" Type="http://schemas.openxmlformats.org/officeDocument/2006/relationships/hyperlink" Target="https://youtu.be/SFZnF86v0Lg" TargetMode="External"/><Relationship Id="rId47" Type="http://schemas.openxmlformats.org/officeDocument/2006/relationships/hyperlink" Target="https://www.youtube.com/watch?v=XJCntxh9fpc%20%20%20%20%20%20%20ab%20Minute%202:08" TargetMode="External"/><Relationship Id="rId50" Type="http://schemas.openxmlformats.org/officeDocument/2006/relationships/hyperlink" Target="https://youtu.be/tJ1JNTtnXRM" TargetMode="External"/><Relationship Id="rId55" Type="http://schemas.openxmlformats.org/officeDocument/2006/relationships/printerSettings" Target="../printerSettings/printerSettings1.bin"/><Relationship Id="rId7" Type="http://schemas.openxmlformats.org/officeDocument/2006/relationships/hyperlink" Target="https://www.youtube.com/watch?v=eTDljBlYSDw" TargetMode="External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https://youtu.be/OdzZt2WYuYI" TargetMode="External"/><Relationship Id="rId29" Type="http://schemas.openxmlformats.org/officeDocument/2006/relationships/hyperlink" Target="https://www.youtube.com/watch?v=4c_QrBTuiSc" TargetMode="External"/><Relationship Id="rId11" Type="http://schemas.openxmlformats.org/officeDocument/2006/relationships/hyperlink" Target="https://www.youtube.com/watch?v=BM0_wkT5nMo" TargetMode="External"/><Relationship Id="rId24" Type="http://schemas.openxmlformats.org/officeDocument/2006/relationships/hyperlink" Target="https://www.youtube.com/watch?v=gjfJ_4Zsvn8" TargetMode="External"/><Relationship Id="rId32" Type="http://schemas.openxmlformats.org/officeDocument/2006/relationships/hyperlink" Target="https://www.youtube.com/watch?v=hyv8-p6GAd0" TargetMode="External"/><Relationship Id="rId37" Type="http://schemas.openxmlformats.org/officeDocument/2006/relationships/hyperlink" Target="https://www.youtube.com/watch?v=gL_TI9z1ENY" TargetMode="External"/><Relationship Id="rId40" Type="http://schemas.openxmlformats.org/officeDocument/2006/relationships/hyperlink" Target="https://www.youtube.com/watch?v=UfrYPVu9ez0" TargetMode="External"/><Relationship Id="rId45" Type="http://schemas.openxmlformats.org/officeDocument/2006/relationships/hyperlink" Target="https://www.youtube.com/watch?v=R7KchmqEyOw" TargetMode="External"/><Relationship Id="rId53" Type="http://schemas.openxmlformats.org/officeDocument/2006/relationships/hyperlink" Target="https://www.youtube.com/watch?v=NDenZ1rH6GU" TargetMode="External"/><Relationship Id="rId5" Type="http://schemas.openxmlformats.org/officeDocument/2006/relationships/hyperlink" Target="https://www.youtube.com/watch?v=JYBT0y7izfI" TargetMode="External"/><Relationship Id="rId10" Type="http://schemas.openxmlformats.org/officeDocument/2006/relationships/hyperlink" Target="https://www.youtube.com/watch?v=ePpWGq3DEVs" TargetMode="External"/><Relationship Id="rId19" Type="http://schemas.openxmlformats.org/officeDocument/2006/relationships/hyperlink" Target="https://www.youtube.com/watch?v=iHJFWeEASJw" TargetMode="External"/><Relationship Id="rId31" Type="http://schemas.openxmlformats.org/officeDocument/2006/relationships/hyperlink" Target="https://youtu.be/fvrous6VhLM" TargetMode="External"/><Relationship Id="rId44" Type="http://schemas.openxmlformats.org/officeDocument/2006/relationships/hyperlink" Target="https://www.youtube.com/watch?v=76Ej_yILcAI" TargetMode="External"/><Relationship Id="rId52" Type="http://schemas.openxmlformats.org/officeDocument/2006/relationships/hyperlink" Target="https://youtu.be/uaxLFh0acRs" TargetMode="External"/><Relationship Id="rId4" Type="http://schemas.openxmlformats.org/officeDocument/2006/relationships/hyperlink" Target="https://youtu.be/zganR8RkE4U" TargetMode="External"/><Relationship Id="rId9" Type="http://schemas.openxmlformats.org/officeDocument/2006/relationships/hyperlink" Target="https://youtu.be/cDyDURtS_1k" TargetMode="External"/><Relationship Id="rId14" Type="http://schemas.openxmlformats.org/officeDocument/2006/relationships/hyperlink" Target="https://www.youtube.com/watch?v=TqsohTiEXi4" TargetMode="External"/><Relationship Id="rId22" Type="http://schemas.openxmlformats.org/officeDocument/2006/relationships/hyperlink" Target="https://youtu.be/YWdx0XIoC1A" TargetMode="External"/><Relationship Id="rId27" Type="http://schemas.openxmlformats.org/officeDocument/2006/relationships/hyperlink" Target="https://www.youtube.com/watch?v=OybRrYvA1qw" TargetMode="External"/><Relationship Id="rId30" Type="http://schemas.openxmlformats.org/officeDocument/2006/relationships/hyperlink" Target="https://www.youtube.com/watch?v=hyv8-p6GAd0" TargetMode="External"/><Relationship Id="rId35" Type="http://schemas.openxmlformats.org/officeDocument/2006/relationships/hyperlink" Target="https://www.youtube.com/watch?v=iI78Izgx98w" TargetMode="External"/><Relationship Id="rId43" Type="http://schemas.openxmlformats.org/officeDocument/2006/relationships/hyperlink" Target="https://www.youtube.com/watch?v=76Ej_yILcAI" TargetMode="External"/><Relationship Id="rId48" Type="http://schemas.openxmlformats.org/officeDocument/2006/relationships/hyperlink" Target="https://youtu.be/jMaUADztGAc" TargetMode="External"/><Relationship Id="rId8" Type="http://schemas.openxmlformats.org/officeDocument/2006/relationships/hyperlink" Target="https://www.youtube.com/watch?v=qkdWREcdFnE" TargetMode="External"/><Relationship Id="rId51" Type="http://schemas.openxmlformats.org/officeDocument/2006/relationships/hyperlink" Target="https://www.youtube.com/watch?v=WpgcXLElWPo" TargetMode="External"/><Relationship Id="rId3" Type="http://schemas.openxmlformats.org/officeDocument/2006/relationships/hyperlink" Target="https://youtu.be/750KiwjZSZw" TargetMode="External"/><Relationship Id="rId12" Type="http://schemas.openxmlformats.org/officeDocument/2006/relationships/hyperlink" Target="JI%20Mooch%20Alexy.mp4" TargetMode="External"/><Relationship Id="rId17" Type="http://schemas.openxmlformats.org/officeDocument/2006/relationships/hyperlink" Target="https://www.youtube.com/watch?v=e-Vbt-jY-Gk" TargetMode="External"/><Relationship Id="rId25" Type="http://schemas.openxmlformats.org/officeDocument/2006/relationships/hyperlink" Target="https://www.youtube.com/watch?v=ny_M7Knj-Gk" TargetMode="External"/><Relationship Id="rId33" Type="http://schemas.openxmlformats.org/officeDocument/2006/relationships/hyperlink" Target="https://www.youtube.com/watch?v=9QnDJIGy3TY" TargetMode="External"/><Relationship Id="rId38" Type="http://schemas.openxmlformats.org/officeDocument/2006/relationships/hyperlink" Target="https://www.youtube.com/watch?v=2kHTddRkqc4" TargetMode="External"/><Relationship Id="rId46" Type="http://schemas.openxmlformats.org/officeDocument/2006/relationships/hyperlink" Target="https://www.youtube.com/watch?v=vt0fuTzPdXM" TargetMode="External"/><Relationship Id="rId20" Type="http://schemas.openxmlformats.org/officeDocument/2006/relationships/hyperlink" Target="https://youtu.be/7EGhxEiRG3A" TargetMode="External"/><Relationship Id="rId41" Type="http://schemas.openxmlformats.org/officeDocument/2006/relationships/hyperlink" Target="https://www.youtube.com/watch?v=OiMRm3qTPcg" TargetMode="External"/><Relationship Id="rId54" Type="http://schemas.openxmlformats.org/officeDocument/2006/relationships/hyperlink" Target="https://www.youtube.com/watch?v=NDenZ1rH6GU" TargetMode="External"/><Relationship Id="rId1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6" Type="http://schemas.openxmlformats.org/officeDocument/2006/relationships/hyperlink" Target="https://youtu.be/EjAnf6eaAzs" TargetMode="External"/><Relationship Id="rId15" Type="http://schemas.openxmlformats.org/officeDocument/2006/relationships/hyperlink" Target="https://www.youtube.com/watch?v=w_2fA-27u0I&amp;list=PLxIl8YU658TtNKd9gmr8eenJjky8nE8yf" TargetMode="External"/><Relationship Id="rId23" Type="http://schemas.openxmlformats.org/officeDocument/2006/relationships/hyperlink" Target="https://www.youtube.com/watch?v=gDkI1yrh83Y" TargetMode="External"/><Relationship Id="rId28" Type="http://schemas.openxmlformats.org/officeDocument/2006/relationships/hyperlink" Target="https://youtu.be/fR5DSLVLjRg" TargetMode="External"/><Relationship Id="rId36" Type="http://schemas.openxmlformats.org/officeDocument/2006/relationships/hyperlink" Target="https://www.youtube.com/watch?v=iHAdTYyLV0A" TargetMode="External"/><Relationship Id="rId49" Type="http://schemas.openxmlformats.org/officeDocument/2006/relationships/hyperlink" Target="https://www.youtube.com/watch?v=QA2GeuRZmqg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_PqZGqr9Yq4" TargetMode="External"/><Relationship Id="rId21" Type="http://schemas.openxmlformats.org/officeDocument/2006/relationships/hyperlink" Target="https://www.youtube.com/watch?v=h0DLafiAp4Y" TargetMode="External"/><Relationship Id="rId42" Type="http://schemas.openxmlformats.org/officeDocument/2006/relationships/hyperlink" Target="https://youtu.be/yTG1OuyUGFs" TargetMode="External"/><Relationship Id="rId47" Type="http://schemas.openxmlformats.org/officeDocument/2006/relationships/hyperlink" Target="https://www.youtube.com/watch?v=UfrYPVu9ez0" TargetMode="External"/><Relationship Id="rId63" Type="http://schemas.openxmlformats.org/officeDocument/2006/relationships/hyperlink" Target="https://www.youtube.com/watch?v=iI78Izgx98w" TargetMode="External"/><Relationship Id="rId68" Type="http://schemas.openxmlformats.org/officeDocument/2006/relationships/hyperlink" Target="https://youtu.be/3wcxbZjdGGA" TargetMode="External"/><Relationship Id="rId7" Type="http://schemas.openxmlformats.org/officeDocument/2006/relationships/hyperlink" Target="https://youtu.be/EjAnf6eaAzs" TargetMode="External"/><Relationship Id="rId71" Type="http://schemas.openxmlformats.org/officeDocument/2006/relationships/printerSettings" Target="../printerSettings/printerSettings2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https://www.youtube.com/watch?v=AHz_DogC-o0" TargetMode="External"/><Relationship Id="rId29" Type="http://schemas.openxmlformats.org/officeDocument/2006/relationships/hyperlink" Target="https://www.youtube.com/watch?v=BM0_wkT5nMo" TargetMode="External"/><Relationship Id="rId11" Type="http://schemas.openxmlformats.org/officeDocument/2006/relationships/hyperlink" Target="https://www.youtube.com/watch?v=TqsohTiEXi4" TargetMode="External"/><Relationship Id="rId24" Type="http://schemas.openxmlformats.org/officeDocument/2006/relationships/hyperlink" Target="https://www.youtube.com/watch?v=pnOwx5yvvpc" TargetMode="External"/><Relationship Id="rId32" Type="http://schemas.openxmlformats.org/officeDocument/2006/relationships/hyperlink" Target="https://www.youtube.com/watch?v=gjfJ_4Zsvn8" TargetMode="External"/><Relationship Id="rId37" Type="http://schemas.openxmlformats.org/officeDocument/2006/relationships/hyperlink" Target="https://www.youtube.com/watch?v=4c_QrBTuiSc" TargetMode="External"/><Relationship Id="rId40" Type="http://schemas.openxmlformats.org/officeDocument/2006/relationships/hyperlink" Target="https://youtu.be/bltEvvt1YAs" TargetMode="External"/><Relationship Id="rId45" Type="http://schemas.openxmlformats.org/officeDocument/2006/relationships/hyperlink" Target="https://www.youtube.com/watch?v=9QnDJIGy3TY" TargetMode="External"/><Relationship Id="rId53" Type="http://schemas.openxmlformats.org/officeDocument/2006/relationships/hyperlink" Target="https://www.youtube.com/watch?v=R7KchmqEyOw" TargetMode="External"/><Relationship Id="rId58" Type="http://schemas.openxmlformats.org/officeDocument/2006/relationships/hyperlink" Target="https://www.youtube.com/watch?v=QA2GeuRZmqg" TargetMode="External"/><Relationship Id="rId66" Type="http://schemas.openxmlformats.org/officeDocument/2006/relationships/hyperlink" Target="https://www.youtube.com/watch?v=VdNLw1Y7D9k" TargetMode="External"/><Relationship Id="rId5" Type="http://schemas.openxmlformats.org/officeDocument/2006/relationships/hyperlink" Target="https://youtu.be/zganR8RkE4U" TargetMode="External"/><Relationship Id="rId61" Type="http://schemas.openxmlformats.org/officeDocument/2006/relationships/hyperlink" Target="https://www.youtube.com/watch?v=NyBPjhCQnT4" TargetMode="External"/><Relationship Id="rId19" Type="http://schemas.openxmlformats.org/officeDocument/2006/relationships/hyperlink" Target="https://youtu.be/7EGhxEiRG3A" TargetMode="External"/><Relationship Id="rId14" Type="http://schemas.openxmlformats.org/officeDocument/2006/relationships/hyperlink" Target="https://www.youtube.com/shorts/szDZu6EjBAM" TargetMode="External"/><Relationship Id="rId22" Type="http://schemas.openxmlformats.org/officeDocument/2006/relationships/hyperlink" Target="https://www.youtube.com/watch?v=wXYSPdTK9Eg" TargetMode="External"/><Relationship Id="rId27" Type="http://schemas.openxmlformats.org/officeDocument/2006/relationships/hyperlink" Target="https://www.youtube.com/watch?v=tX-KTlJmwvw" TargetMode="External"/><Relationship Id="rId30" Type="http://schemas.openxmlformats.org/officeDocument/2006/relationships/hyperlink" Target="https://www.youtube.com/watch?v=driRiyoLYlE" TargetMode="External"/><Relationship Id="rId35" Type="http://schemas.openxmlformats.org/officeDocument/2006/relationships/hyperlink" Target="https://www.youtube.com/watch?v=OybRrYvA1qw" TargetMode="External"/><Relationship Id="rId43" Type="http://schemas.openxmlformats.org/officeDocument/2006/relationships/hyperlink" Target="https://youtu.be/fvrous6VhLM" TargetMode="External"/><Relationship Id="rId48" Type="http://schemas.openxmlformats.org/officeDocument/2006/relationships/hyperlink" Target="https://www.youtube.com/watch?v=OiMRm3qTPcg" TargetMode="External"/><Relationship Id="rId56" Type="http://schemas.openxmlformats.org/officeDocument/2006/relationships/hyperlink" Target="https://www.youtube.com/watch?v=XJCntxh9fpc%20%20%20%20%20%20%20ab%20Minute%202:08" TargetMode="External"/><Relationship Id="rId64" Type="http://schemas.openxmlformats.org/officeDocument/2006/relationships/hyperlink" Target="https://www.youtube.com/watch?v=iHAdTYyLV0A" TargetMode="External"/><Relationship Id="rId69" Type="http://schemas.openxmlformats.org/officeDocument/2006/relationships/hyperlink" Target="https://www.youtube.com/watch?v=fH__CSFSjKQ" TargetMode="External"/><Relationship Id="rId8" Type="http://schemas.openxmlformats.org/officeDocument/2006/relationships/hyperlink" Target="https://www.youtube.com/watch?v=eTDljBlYSDw" TargetMode="External"/><Relationship Id="rId51" Type="http://schemas.openxmlformats.org/officeDocument/2006/relationships/hyperlink" Target="https://www.youtube.com/watch?v=76Ej_yILcAI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2" Type="http://schemas.openxmlformats.org/officeDocument/2006/relationships/hyperlink" Target="https://www.youtube.com/watch?v=w_2fA-27u0I&amp;list=PLxIl8YU658TtNKd9gmr8eenJjky8nE8yf" TargetMode="External"/><Relationship Id="rId17" Type="http://schemas.openxmlformats.org/officeDocument/2006/relationships/hyperlink" Target="https://youtu.be/x_6Ss1S6lKA" TargetMode="External"/><Relationship Id="rId25" Type="http://schemas.openxmlformats.org/officeDocument/2006/relationships/hyperlink" Target="https://www.youtube.com/watch?v=ePpWGq3DEVs" TargetMode="External"/><Relationship Id="rId33" Type="http://schemas.openxmlformats.org/officeDocument/2006/relationships/hyperlink" Target="https://www.youtube.com/watch?v=ny_M7Knj-Gk" TargetMode="External"/><Relationship Id="rId38" Type="http://schemas.openxmlformats.org/officeDocument/2006/relationships/hyperlink" Target="https://www.youtube.com/watch?v=hyv8-p6GAd0" TargetMode="External"/><Relationship Id="rId46" Type="http://schemas.openxmlformats.org/officeDocument/2006/relationships/hyperlink" Target="https://www.youtube.com/watch?v=3qGrNlCZkmQ" TargetMode="External"/><Relationship Id="rId59" Type="http://schemas.openxmlformats.org/officeDocument/2006/relationships/hyperlink" Target="https://www.youtube.com/watch?v=Tw7zJY0_MMM" TargetMode="External"/><Relationship Id="rId67" Type="http://schemas.openxmlformats.org/officeDocument/2006/relationships/hyperlink" Target="https://www.youtube.com/watch?v=2kHTddRkqc4" TargetMode="External"/><Relationship Id="rId20" Type="http://schemas.openxmlformats.org/officeDocument/2006/relationships/hyperlink" Target="https://www.youtube.com/watch?v=7qb6TcsEUng" TargetMode="External"/><Relationship Id="rId41" Type="http://schemas.openxmlformats.org/officeDocument/2006/relationships/hyperlink" Target="https://www.youtube.com/watch?v=OybRrYvA1qw" TargetMode="External"/><Relationship Id="rId54" Type="http://schemas.openxmlformats.org/officeDocument/2006/relationships/hyperlink" Target="https://www.youtube.com/watch?v=gQrHNRC-S7U" TargetMode="External"/><Relationship Id="rId62" Type="http://schemas.openxmlformats.org/officeDocument/2006/relationships/hyperlink" Target="https://www.youtube.com/watch?v=WpgcXLElWPo" TargetMode="External"/><Relationship Id="rId70" Type="http://schemas.openxmlformats.org/officeDocument/2006/relationships/hyperlink" Target="https://www.youtube.com/watch?v=NDenZ1rH6GU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5" Type="http://schemas.openxmlformats.org/officeDocument/2006/relationships/hyperlink" Target="https://www.youtube.com/watch?v=iHJFWeEASJw" TargetMode="External"/><Relationship Id="rId23" Type="http://schemas.openxmlformats.org/officeDocument/2006/relationships/hyperlink" Target="https://www.youtube.com/watch?v=gDkI1yrh83Y" TargetMode="External"/><Relationship Id="rId28" Type="http://schemas.openxmlformats.org/officeDocument/2006/relationships/hyperlink" Target="https://www.youtube.com/watch?v=263-pZwIiBg" TargetMode="External"/><Relationship Id="rId36" Type="http://schemas.openxmlformats.org/officeDocument/2006/relationships/hyperlink" Target="https://youtu.be/fR5DSLVLjRg" TargetMode="External"/><Relationship Id="rId49" Type="http://schemas.openxmlformats.org/officeDocument/2006/relationships/hyperlink" Target="https://www.youtube.com/watch?v=OiMRm3qTPcg" TargetMode="External"/><Relationship Id="rId57" Type="http://schemas.openxmlformats.org/officeDocument/2006/relationships/hyperlink" Target="https://www.youtube.com/watch?v=iVIoZhapxfs" TargetMode="External"/><Relationship Id="rId10" Type="http://schemas.openxmlformats.org/officeDocument/2006/relationships/hyperlink" Target="https://www.youtube.com/watch?v=w_2fA-27u0I&amp;list=PLxIl8YU658TtNKd9gmr8eenJjky8nE8yf" TargetMode="External"/><Relationship Id="rId31" Type="http://schemas.openxmlformats.org/officeDocument/2006/relationships/hyperlink" Target="ArchivA\videothek\JI%20Mooch%20Alexy.mp4" TargetMode="External"/><Relationship Id="rId44" Type="http://schemas.openxmlformats.org/officeDocument/2006/relationships/hyperlink" Target="https://www.youtube.com/watch?v=hyv8-p6GAd0" TargetMode="External"/><Relationship Id="rId52" Type="http://schemas.openxmlformats.org/officeDocument/2006/relationships/hyperlink" Target="https://www.youtube.com/watch?v=76Ej_yILcAI" TargetMode="External"/><Relationship Id="rId60" Type="http://schemas.openxmlformats.org/officeDocument/2006/relationships/hyperlink" Target="https://youtu.be/S7DxQ9alK44" TargetMode="External"/><Relationship Id="rId65" Type="http://schemas.openxmlformats.org/officeDocument/2006/relationships/hyperlink" Target="https://www.youtube.com/watch?v=gL_TI9z1ENY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3" Type="http://schemas.openxmlformats.org/officeDocument/2006/relationships/hyperlink" Target="https://www.youtube.com/watch?v=e-Vbt-jY-Gk" TargetMode="External"/><Relationship Id="rId18" Type="http://schemas.openxmlformats.org/officeDocument/2006/relationships/hyperlink" Target="https://youtu.be/BOtfBEc3c_c?list=TLPQMjcwNDIwMjbVsnA_9Vk0Qg" TargetMode="External"/><Relationship Id="rId39" Type="http://schemas.openxmlformats.org/officeDocument/2006/relationships/hyperlink" Target="../../../AppData/AppData/Roaming/Microsoft/Excel/ArchivA/videothek/DF%20Krist&#243;f%20Workshop%20am%2028.3.26.mp4" TargetMode="External"/><Relationship Id="rId34" Type="http://schemas.openxmlformats.org/officeDocument/2006/relationships/hyperlink" Target="https://www.youtube.com/watch?v=JZfHG73Zkp0" TargetMode="External"/><Relationship Id="rId50" Type="http://schemas.openxmlformats.org/officeDocument/2006/relationships/hyperlink" Target="https://youtu.be/SFZnF86v0Lg" TargetMode="External"/><Relationship Id="rId55" Type="http://schemas.openxmlformats.org/officeDocument/2006/relationships/hyperlink" Target="https://www.youtube.com/watch?v=vt0fuTzPdX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AppData/Roaming/Microsoft/Excel/ArchivA/videothek/CC%20Hans%20Ronde%20HipTwistChasse%202014_12.mp4" TargetMode="External"/><Relationship Id="rId18" Type="http://schemas.openxmlformats.org/officeDocument/2006/relationships/hyperlink" Target="../../../AppData/AppData/Roaming/Microsoft/Excel/ArchivA/videothek/CC%20Rust25%20Technik%20ADTV.mp4" TargetMode="External"/><Relationship Id="rId26" Type="http://schemas.openxmlformats.org/officeDocument/2006/relationships/hyperlink" Target="../../../AppData/AppData/Roaming/Microsoft/Excel/ArchivA/videothek/CC%20Bianca%20Schmetterling%20%20Herr.MOV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21" Type="http://schemas.openxmlformats.org/officeDocument/2006/relationships/hyperlink" Target="../../../AppData/AppData/Roaming/Microsoft/Excel/ArchivA/videothek/CC%20L1%20Technik%20Rust26%20MHull.mp4" TargetMode="External"/><Relationship Id="rId7" Type="http://schemas.openxmlformats.org/officeDocument/2006/relationships/hyperlink" Target="https://youtu.be/EjAnf6eaAzs" TargetMode="External"/><Relationship Id="rId12" Type="http://schemas.openxmlformats.org/officeDocument/2006/relationships/hyperlink" Target="../../../AppData/AppData/Roaming/Microsoft/Excel/ArchivA/videothek/CC%20Hans_20171116_215825.mp4" TargetMode="External"/><Relationship Id="rId17" Type="http://schemas.openxmlformats.org/officeDocument/2006/relationships/hyperlink" Target="../../../AppData/AppData/Roaming/Microsoft/Excel/ArchivA/videothek/CC%20Rust25%20RKieling.mp4" TargetMode="External"/><Relationship Id="rId25" Type="http://schemas.openxmlformats.org/officeDocument/2006/relationships/hyperlink" Target="../../../AppData/AppData/Roaming/Microsoft/Excel/ArchivA/videothek/CC%20Bianca%20Schmetterling%20Anfang.mov" TargetMode="External"/><Relationship Id="rId33" Type="http://schemas.openxmlformats.org/officeDocument/2006/relationships/printerSettings" Target="../printerSettings/printerSettings5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../../../AppData/AppData/Roaming/Microsoft/Excel/ArchivA/videothek/CC%20Rust25%20Latin%20Feeling%20HNietsche.mp4" TargetMode="External"/><Relationship Id="rId20" Type="http://schemas.openxmlformats.org/officeDocument/2006/relationships/hyperlink" Target="../../../AppData/AppData/Roaming/Microsoft/Excel/ArchivA/videothek/CC%20L1%20A%20Technik%20Rust26%20RFrieling.mp4" TargetMode="External"/><Relationship Id="rId29" Type="http://schemas.openxmlformats.org/officeDocument/2006/relationships/hyperlink" Target="../../../AppData/AppData/Roaming/Microsoft/Excel/ArchivA/videothek/CC%20Bianca%20Schmetterling%20Erweiterung-2.MOV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1" Type="http://schemas.openxmlformats.org/officeDocument/2006/relationships/hyperlink" Target="../../../AppData/AppData/Roaming/Microsoft/Excel/ArchivA/videothek/CC%20HaHa%202015%2004.mp4" TargetMode="External"/><Relationship Id="rId24" Type="http://schemas.openxmlformats.org/officeDocument/2006/relationships/hyperlink" Target="../../../AppData/AppData/Roaming/Microsoft/Excel/ArchivA/videothek/CC%20Bianca%20Der%20H&#252;pfer%20-%20Dame.mp4" TargetMode="External"/><Relationship Id="rId32" Type="http://schemas.openxmlformats.org/officeDocument/2006/relationships/hyperlink" Target="../../../AppData/AppData/Roaming/Microsoft/Excel/ArchivA/videothek/CC%20Ronde%20HipTwistChasse%202014_12.mp4" TargetMode="External"/><Relationship Id="rId5" Type="http://schemas.openxmlformats.org/officeDocument/2006/relationships/hyperlink" Target="https://youtu.be/zganR8RkE4U" TargetMode="External"/><Relationship Id="rId15" Type="http://schemas.openxmlformats.org/officeDocument/2006/relationships/hyperlink" Target="../../../AppData/AppData/Roaming/Microsoft/Excel/ArchivA/videothek/CC%20HaHa.mp4" TargetMode="External"/><Relationship Id="rId23" Type="http://schemas.openxmlformats.org/officeDocument/2006/relationships/hyperlink" Target="../../../AppData/AppData/Roaming/Microsoft/Excel/ArchivA/videothek/CC%20Bianca%20Der%20H&#252;pfer%20-%20Herr.mp4" TargetMode="External"/><Relationship Id="rId28" Type="http://schemas.openxmlformats.org/officeDocument/2006/relationships/hyperlink" Target="../../../AppData/AppData/Roaming/Microsoft/Excel/ArchivA/videothek/CC%20Bianca%20Schmetterling%20Erweiterung-1.MOV" TargetMode="External"/><Relationship Id="rId10" Type="http://schemas.openxmlformats.org/officeDocument/2006/relationships/hyperlink" Target="../../../AppData/AppData/Roaming/Microsoft/Excel/ArchivA/videothek/CC%20Hans%20BackeBackeKuchen.mp4" TargetMode="External"/><Relationship Id="rId19" Type="http://schemas.openxmlformats.org/officeDocument/2006/relationships/hyperlink" Target="https://www.youtube.com/watch?v=HvvXFLg2jSw" TargetMode="External"/><Relationship Id="rId31" Type="http://schemas.openxmlformats.org/officeDocument/2006/relationships/hyperlink" Target="../../../AppData/AppData/Roaming/Microsoft/Excel/ArchivA/videothek/CC%20HaHa%202015%20CrabWalks.mp4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4" Type="http://schemas.openxmlformats.org/officeDocument/2006/relationships/hyperlink" Target="../../../AppData/AppData/Roaming/Microsoft/Excel/ArchivA/videothek/CC_Hans%20CrabWalks%202015.mp4" TargetMode="External"/><Relationship Id="rId22" Type="http://schemas.openxmlformats.org/officeDocument/2006/relationships/hyperlink" Target="../../../AppData/AppData/Roaming/Microsoft/Excel/ArchivA/videothek/CC%20Christoph%20Balzer.mp4" TargetMode="External"/><Relationship Id="rId27" Type="http://schemas.openxmlformats.org/officeDocument/2006/relationships/hyperlink" Target="../../../AppData/AppData/Roaming/Microsoft/Excel/ArchivA/videothek/CC%20Bianca%20Schmetterling%20Dame.MOV" TargetMode="External"/><Relationship Id="rId30" Type="http://schemas.openxmlformats.org/officeDocument/2006/relationships/hyperlink" Target="../../../AppData/AppData/Roaming/Microsoft/Excel/ArchivA/videothek/CC%20Hip%20Action%20in%20Cha%20Cha%20Cha%20_%20Follow%20Along%20Tutorial.mp4" TargetMode="External"/><Relationship Id="rId8" Type="http://schemas.openxmlformats.org/officeDocument/2006/relationships/hyperlink" Target="https://www.youtube.com/watch?v=eTDljBlYSDw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263-pZwIiBg" TargetMode="External"/><Relationship Id="rId13" Type="http://schemas.openxmlformats.org/officeDocument/2006/relationships/hyperlink" Target="ArchivA\videothek\JI%20Hans%201%202015%2004.mp4" TargetMode="External"/><Relationship Id="rId18" Type="http://schemas.openxmlformats.org/officeDocument/2006/relationships/hyperlink" Target="ArchivA\videothek\JI%20Bianca%20Teil%201%20Herr.mp4" TargetMode="External"/><Relationship Id="rId3" Type="http://schemas.openxmlformats.org/officeDocument/2006/relationships/hyperlink" Target="https://www.youtube.com/watch?v=Fl3-xJAcNTM" TargetMode="External"/><Relationship Id="rId21" Type="http://schemas.openxmlformats.org/officeDocument/2006/relationships/hyperlink" Target="ArchivA\videothek\JI%20Traisa%20L1-6.jpeg" TargetMode="External"/><Relationship Id="rId7" Type="http://schemas.openxmlformats.org/officeDocument/2006/relationships/hyperlink" Target="https://www.youtube.com/watch?v=tX-KTlJmwvw" TargetMode="External"/><Relationship Id="rId12" Type="http://schemas.openxmlformats.org/officeDocument/2006/relationships/hyperlink" Target="ArchivA\videothek\JI%20Rust25%20Technik%20RKieling.mp4" TargetMode="External"/><Relationship Id="rId17" Type="http://schemas.openxmlformats.org/officeDocument/2006/relationships/hyperlink" Target="ArchivA\videothek\JI%20Ya%20Box.mp4" TargetMode="External"/><Relationship Id="rId25" Type="http://schemas.openxmlformats.org/officeDocument/2006/relationships/printerSettings" Target="../printerSettings/printerSettings6.bin"/><Relationship Id="rId2" Type="http://schemas.openxmlformats.org/officeDocument/2006/relationships/hyperlink" Target="https://www.youtube.com/watch?v=ai49xGmnc9g" TargetMode="External"/><Relationship Id="rId16" Type="http://schemas.openxmlformats.org/officeDocument/2006/relationships/hyperlink" Target="https://www.youtube.com/watch?v=hnDHf9W3DqU" TargetMode="External"/><Relationship Id="rId20" Type="http://schemas.openxmlformats.org/officeDocument/2006/relationships/hyperlink" Target="ArchivA\videothek\JI%20Bianca%20Teil%201%20mit%20einer%20Alternative%20zu%20KickBallChange.MOV" TargetMode="External"/><Relationship Id="rId1" Type="http://schemas.openxmlformats.org/officeDocument/2006/relationships/hyperlink" Target="https://www.youtube.com/watch?v=pnOwx5yvvpc" TargetMode="External"/><Relationship Id="rId6" Type="http://schemas.openxmlformats.org/officeDocument/2006/relationships/hyperlink" Target="https://www.youtube.com/watch?v=_PqZGqr9Yq4" TargetMode="External"/><Relationship Id="rId11" Type="http://schemas.openxmlformats.org/officeDocument/2006/relationships/hyperlink" Target="ArchivA\videothek\JI%20Mooch%20Alexy.mp4" TargetMode="External"/><Relationship Id="rId24" Type="http://schemas.openxmlformats.org/officeDocument/2006/relationships/hyperlink" Target="https://www.youtube.com/watch?v=Vc3pKSMgBOM&amp;list=PLvlsTAulifcPZptkGBuET_bUKnLYWjI8o" TargetMode="External"/><Relationship Id="rId5" Type="http://schemas.openxmlformats.org/officeDocument/2006/relationships/hyperlink" Target="https://www.youtube.com/watch?v=ePpWGq3DEVs" TargetMode="External"/><Relationship Id="rId15" Type="http://schemas.openxmlformats.org/officeDocument/2006/relationships/hyperlink" Target="https://www.youtube.com/watch?v=7GeJh3x8P38" TargetMode="External"/><Relationship Id="rId23" Type="http://schemas.openxmlformats.org/officeDocument/2006/relationships/hyperlink" Target="https://youtu.be/14wnpEDuJC8" TargetMode="External"/><Relationship Id="rId10" Type="http://schemas.openxmlformats.org/officeDocument/2006/relationships/hyperlink" Target="https://www.youtube.com/watch?v=driRiyoLYlE" TargetMode="External"/><Relationship Id="rId19" Type="http://schemas.openxmlformats.org/officeDocument/2006/relationships/hyperlink" Target="ArchivA\videothek\JI%20Bianca%20Teil%201%20Dame.mp4" TargetMode="External"/><Relationship Id="rId4" Type="http://schemas.openxmlformats.org/officeDocument/2006/relationships/hyperlink" Target="https://youtu.be/cDyDURtS_1k" TargetMode="External"/><Relationship Id="rId9" Type="http://schemas.openxmlformats.org/officeDocument/2006/relationships/hyperlink" Target="https://www.youtube.com/watch?v=BM0_wkT5nMo" TargetMode="External"/><Relationship Id="rId14" Type="http://schemas.openxmlformats.org/officeDocument/2006/relationships/hyperlink" Target="ArchivA\videothek\JI%20Hans%202%202015%2005.mp4" TargetMode="External"/><Relationship Id="rId22" Type="http://schemas.openxmlformats.org/officeDocument/2006/relationships/hyperlink" Target="https://youtu.be/TPm1_QrrjO0?list=TLPQMjIwNzIwMjYSCKIN96JLJw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iHJFWeEASJw" TargetMode="External"/><Relationship Id="rId18" Type="http://schemas.openxmlformats.org/officeDocument/2006/relationships/hyperlink" Target="https://www.youtube.com/watch?v=EaJdUD7AbNw" TargetMode="External"/><Relationship Id="rId26" Type="http://schemas.openxmlformats.org/officeDocument/2006/relationships/hyperlink" Target="ArchivA\videothek\RB%20Hans%202015%20%2008%2024.mp4" TargetMode="External"/><Relationship Id="rId39" Type="http://schemas.openxmlformats.org/officeDocument/2006/relationships/hyperlink" Target="ArchivA\videothek\RB%20Three%20threes%20-%20Rumba.mp4" TargetMode="External"/><Relationship Id="rId21" Type="http://schemas.openxmlformats.org/officeDocument/2006/relationships/hyperlink" Target="https://www.youtube.com/watch?v=wXYSPdTK9Eg" TargetMode="External"/><Relationship Id="rId34" Type="http://schemas.openxmlformats.org/officeDocument/2006/relationships/hyperlink" Target="ArchivA\videothek\RB%20YT%20Three%20Trees%20.mp4" TargetMode="External"/><Relationship Id="rId42" Type="http://schemas.openxmlformats.org/officeDocument/2006/relationships/hyperlink" Target="ArchivA\videothek\RB%20HaHa%20Folge%20mit%20vielen%20HipTwists.mp4" TargetMode="External"/><Relationship Id="rId47" Type="http://schemas.openxmlformats.org/officeDocument/2006/relationships/hyperlink" Target="ArchivA\videothek\RB%20Kristof%20Folge%20vom%2024.6.23.mp4" TargetMode="External"/><Relationship Id="rId50" Type="http://schemas.openxmlformats.org/officeDocument/2006/relationships/hyperlink" Target="ArchivA\videothek\RB%20Traisa%20L1-4.jpeg" TargetMode="External"/><Relationship Id="rId7" Type="http://schemas.openxmlformats.org/officeDocument/2006/relationships/hyperlink" Target="https://www.youtube.com/watch?v=w_2fA-27u0I&amp;list=PLxIl8YU658TtNKd9gmr8eenJjky8nE8yf" TargetMode="External"/><Relationship Id="rId2" Type="http://schemas.openxmlformats.org/officeDocument/2006/relationships/hyperlink" Target="../../../AppData/AppData/Roaming/Microsoft/Excel/Archiv/Archiv/ArchivA/videothek/RB%20Hans%202015%2003%2005.mp4" TargetMode="External"/><Relationship Id="rId16" Type="http://schemas.openxmlformats.org/officeDocument/2006/relationships/hyperlink" Target="https://youtu.be/BOtfBEc3c_c?list=TLPQMjcwNDIwMjbVsnA_9Vk0Qg" TargetMode="External"/><Relationship Id="rId29" Type="http://schemas.openxmlformats.org/officeDocument/2006/relationships/hyperlink" Target="ArchivA\videothek\RB%20Rust25%20ADTV.mp4" TargetMode="External"/><Relationship Id="rId11" Type="http://schemas.openxmlformats.org/officeDocument/2006/relationships/hyperlink" Target="https://www.youtube.com/watch?v=e-Vbt-jY-Gk" TargetMode="External"/><Relationship Id="rId24" Type="http://schemas.openxmlformats.org/officeDocument/2006/relationships/hyperlink" Target="ArchivA\videothek\RB%20Hans%203%20Trees%20vv.mp4" TargetMode="External"/><Relationship Id="rId32" Type="http://schemas.openxmlformats.org/officeDocument/2006/relationships/hyperlink" Target="ArchivA\videothek\RB%20L1%20A%20Technik%20Rust26%20RFrieling.mp4" TargetMode="External"/><Relationship Id="rId37" Type="http://schemas.openxmlformats.org/officeDocument/2006/relationships/hyperlink" Target="ArchivA\videothek\RB%20HaHa%203%20Trees_vl.mp4" TargetMode="External"/><Relationship Id="rId40" Type="http://schemas.openxmlformats.org/officeDocument/2006/relationships/hyperlink" Target="ArchivA\videothek\RB%20HaHa%20Die%20Lange.mp4" TargetMode="External"/><Relationship Id="rId45" Type="http://schemas.openxmlformats.org/officeDocument/2006/relationships/hyperlink" Target="ArchivA\videothek\RB%20Bianca%20Kliffhanger.mp4" TargetMode="External"/><Relationship Id="rId53" Type="http://schemas.openxmlformats.org/officeDocument/2006/relationships/hyperlink" Target="https://youtu.be/rOsA4KU9yGQ" TargetMode="External"/><Relationship Id="rId5" Type="http://schemas.openxmlformats.org/officeDocument/2006/relationships/hyperlink" Target="https://www.youtube.com/watch?v=w_2fA-27u0I&amp;list=PLxIl8YU658TtNKd9gmr8eenJjky8nE8yf" TargetMode="External"/><Relationship Id="rId10" Type="http://schemas.openxmlformats.org/officeDocument/2006/relationships/hyperlink" Target="https://youtu.be/OdzZt2WYuYI" TargetMode="External"/><Relationship Id="rId19" Type="http://schemas.openxmlformats.org/officeDocument/2006/relationships/hyperlink" Target="https://www.youtube.com/watch?v=7qb6TcsEUng" TargetMode="External"/><Relationship Id="rId31" Type="http://schemas.openxmlformats.org/officeDocument/2006/relationships/hyperlink" Target="ArchivA\videothek\RB%20Rust25%20RFrieling.mp4" TargetMode="External"/><Relationship Id="rId44" Type="http://schemas.openxmlformats.org/officeDocument/2006/relationships/hyperlink" Target="ArchivA\videothek\RB%20Kristof%20Training%20am%2024.6.23.mp4" TargetMode="External"/><Relationship Id="rId52" Type="http://schemas.openxmlformats.org/officeDocument/2006/relationships/hyperlink" Target="https://www.youtube.com/watch?v=nZc9e3cMuzs" TargetMode="External"/><Relationship Id="rId4" Type="http://schemas.openxmlformats.org/officeDocument/2006/relationships/hyperlink" Target="../../../AppData/AppData/Roaming/Microsoft/Excel/Archiv/Archiv/ArchivA/videothek/RB%20HaHa%20Advanced%20Hiptwist.mp4" TargetMode="External"/><Relationship Id="rId9" Type="http://schemas.openxmlformats.org/officeDocument/2006/relationships/hyperlink" Target="https://youtu.be/T38K8kvQgiw" TargetMode="External"/><Relationship Id="rId14" Type="http://schemas.openxmlformats.org/officeDocument/2006/relationships/hyperlink" Target="https://www.youtube.com/watch?v=AHz_DogC-o0" TargetMode="External"/><Relationship Id="rId22" Type="http://schemas.openxmlformats.org/officeDocument/2006/relationships/hyperlink" Target="https://www.youtube.com/watch?v=gDkI1yrh83Y" TargetMode="External"/><Relationship Id="rId27" Type="http://schemas.openxmlformats.org/officeDocument/2006/relationships/hyperlink" Target="ArchivA\videothek\RB%20Hans%20Advanced%20Hiptwist.mp4" TargetMode="External"/><Relationship Id="rId30" Type="http://schemas.openxmlformats.org/officeDocument/2006/relationships/hyperlink" Target="ArchivA\videothek\RB%20Rust25%20Latin%20Feeling%20HNietsche.mp4" TargetMode="External"/><Relationship Id="rId35" Type="http://schemas.openxmlformats.org/officeDocument/2006/relationships/hyperlink" Target="ArchivA\videothek\RB%20ImgBallroom%20Three%20Trees.mp4" TargetMode="External"/><Relationship Id="rId43" Type="http://schemas.openxmlformats.org/officeDocument/2006/relationships/hyperlink" Target="ArchivA\videothek\RB%20HaHa%20Verfolgung.mp4" TargetMode="External"/><Relationship Id="rId48" Type="http://schemas.openxmlformats.org/officeDocument/2006/relationships/hyperlink" Target="ArchivA\videothek\RB%20Yael%20Spaziergang.mp4" TargetMode="External"/><Relationship Id="rId8" Type="http://schemas.openxmlformats.org/officeDocument/2006/relationships/hyperlink" Target="https://youtu.be/5P_lQsgfAtg" TargetMode="External"/><Relationship Id="rId51" Type="http://schemas.openxmlformats.org/officeDocument/2006/relationships/hyperlink" Target="https://www.youtube.com/watch?v=nZc9e3cMuzs" TargetMode="External"/><Relationship Id="rId3" Type="http://schemas.openxmlformats.org/officeDocument/2006/relationships/hyperlink" Target="../../../AppData/AppData/Roaming/Microsoft/Excel/Archiv/Archiv/ArchivA/videothek/RB%20HaHa%20Advanced%20Sliding%20Door.mp4" TargetMode="External"/><Relationship Id="rId12" Type="http://schemas.openxmlformats.org/officeDocument/2006/relationships/hyperlink" Target="https://www.youtube.com/shorts/szDZu6EjBAM" TargetMode="External"/><Relationship Id="rId17" Type="http://schemas.openxmlformats.org/officeDocument/2006/relationships/hyperlink" Target="https://youtu.be/7EGhxEiRG3A" TargetMode="External"/><Relationship Id="rId25" Type="http://schemas.openxmlformats.org/officeDocument/2006/relationships/hyperlink" Target="ArchivA\videothek\RB%20Hans%203%20Trees%20vl.mp4" TargetMode="External"/><Relationship Id="rId33" Type="http://schemas.openxmlformats.org/officeDocument/2006/relationships/hyperlink" Target="ArchivA\videothek\RB%20L1%20B%20Technik%20Rust26%20RFrieling.mp4" TargetMode="External"/><Relationship Id="rId38" Type="http://schemas.openxmlformats.org/officeDocument/2006/relationships/hyperlink" Target="ArchivA\videothek\RB%20HaHa%203%20Trees_vv.mp4" TargetMode="External"/><Relationship Id="rId46" Type="http://schemas.openxmlformats.org/officeDocument/2006/relationships/hyperlink" Target="ArchivA\videothek\RB%20Krist&#243;f%20Handtuch.mp4" TargetMode="External"/><Relationship Id="rId20" Type="http://schemas.openxmlformats.org/officeDocument/2006/relationships/hyperlink" Target="https://www.youtube.com/watch?v=h0DLafiAp4Y" TargetMode="External"/><Relationship Id="rId41" Type="http://schemas.openxmlformats.org/officeDocument/2006/relationships/hyperlink" Target="ArchivA\videothek\RB%20HaHa%20Einfache%20Folge.mp4" TargetMode="External"/><Relationship Id="rId54" Type="http://schemas.openxmlformats.org/officeDocument/2006/relationships/printerSettings" Target="../printerSettings/printerSettings7.bin"/><Relationship Id="rId1" Type="http://schemas.openxmlformats.org/officeDocument/2006/relationships/hyperlink" Target="../../../AppData/AppData/Roaming/Microsoft/Excel/Archiv/Archiv/ArchivA/videothek/RB%20Hans%203%20Trees%20vh.wmv" TargetMode="External"/><Relationship Id="rId6" Type="http://schemas.openxmlformats.org/officeDocument/2006/relationships/hyperlink" Target="https://www.youtube.com/watch?v=TqsohTiEXi4" TargetMode="External"/><Relationship Id="rId15" Type="http://schemas.openxmlformats.org/officeDocument/2006/relationships/hyperlink" Target="https://youtu.be/x_6Ss1S6lKA" TargetMode="External"/><Relationship Id="rId23" Type="http://schemas.openxmlformats.org/officeDocument/2006/relationships/hyperlink" Target="ArchivA\videothek\RB%20Hans%20%202014-09.mp4" TargetMode="External"/><Relationship Id="rId28" Type="http://schemas.openxmlformats.org/officeDocument/2006/relationships/hyperlink" Target="ArchivA\videothek\RB%20Hans%20Advanced%20SlidingDoor.mp4" TargetMode="External"/><Relationship Id="rId36" Type="http://schemas.openxmlformats.org/officeDocument/2006/relationships/hyperlink" Target="ArchivA\videothek\RB%20HaHa%203%20Trees_vh.wmv" TargetMode="External"/><Relationship Id="rId49" Type="http://schemas.openxmlformats.org/officeDocument/2006/relationships/hyperlink" Target="ArchivA\videothek\RB%20Yael%20Handtuch%20und%20Sweetheart.mp4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B%20Ya%20Criss%20Cross.mp4" TargetMode="External"/><Relationship Id="rId13" Type="http://schemas.openxmlformats.org/officeDocument/2006/relationships/hyperlink" Target="ArchivA\videothek\SB%20Hans%20Cris%20Cros%202015%20%2002%2026.wmv" TargetMode="External"/><Relationship Id="rId18" Type="http://schemas.openxmlformats.org/officeDocument/2006/relationships/hyperlink" Target="ArchivA\videothek\SB%20Bianca%202%208er%20Pakete%20Dame.mp4" TargetMode="External"/><Relationship Id="rId3" Type="http://schemas.openxmlformats.org/officeDocument/2006/relationships/hyperlink" Target="https://www.youtube.com/watch?v=QEcSJ8OIBgA" TargetMode="External"/><Relationship Id="rId21" Type="http://schemas.openxmlformats.org/officeDocument/2006/relationships/hyperlink" Target="ArchivA\videothek\SB%20Krist&#243;f%20WS%20Feb25.mp4" TargetMode="External"/><Relationship Id="rId7" Type="http://schemas.openxmlformats.org/officeDocument/2006/relationships/hyperlink" Target="ArchivA\videothek\SB%20Schattenpromenaden.mp4" TargetMode="External"/><Relationship Id="rId12" Type="http://schemas.openxmlformats.org/officeDocument/2006/relationships/hyperlink" Target="ArchivA\videothek\SB%20L2%20Rust26%20MHull.mp4" TargetMode="External"/><Relationship Id="rId17" Type="http://schemas.openxmlformats.org/officeDocument/2006/relationships/hyperlink" Target="ArchivA\videothek\SB%20Bianca%202%208er%20Pakete%20Herr.mp4" TargetMode="External"/><Relationship Id="rId2" Type="http://schemas.openxmlformats.org/officeDocument/2006/relationships/hyperlink" Target="https://www.youtube.com/watch?v=ny_M7Knj-Gk" TargetMode="External"/><Relationship Id="rId16" Type="http://schemas.openxmlformats.org/officeDocument/2006/relationships/hyperlink" Target="ArchivA\videothek\SB%20Bianca%208er%20Pakete.MOV" TargetMode="External"/><Relationship Id="rId20" Type="http://schemas.openxmlformats.org/officeDocument/2006/relationships/hyperlink" Target="ArchivA\videothek\SB%20Bianca%20SambaLocks.mp4" TargetMode="External"/><Relationship Id="rId1" Type="http://schemas.openxmlformats.org/officeDocument/2006/relationships/hyperlink" Target="https://www.youtube.com/watch?v=gjfJ_4Zsvn8" TargetMode="External"/><Relationship Id="rId6" Type="http://schemas.openxmlformats.org/officeDocument/2006/relationships/hyperlink" Target="ArchivA\videothek\SB%20Rust25%20RKieling%20.mp4" TargetMode="External"/><Relationship Id="rId11" Type="http://schemas.openxmlformats.org/officeDocument/2006/relationships/hyperlink" Target="ArchivA\videothek\SB%20L1-2%20Technik%20Rust26%20MHull.mp4" TargetMode="External"/><Relationship Id="rId5" Type="http://schemas.openxmlformats.org/officeDocument/2006/relationships/hyperlink" Target="ArchivA\videothek\SB%20Rust25%20Latin%20Feeling%20HNietsche%20II.mp4" TargetMode="External"/><Relationship Id="rId15" Type="http://schemas.openxmlformats.org/officeDocument/2006/relationships/hyperlink" Target="ArchivA\videothek\SB%20Hans%20viel%20drehen.wmv" TargetMode="External"/><Relationship Id="rId23" Type="http://schemas.openxmlformats.org/officeDocument/2006/relationships/printerSettings" Target="../printerSettings/printerSettings8.bin"/><Relationship Id="rId10" Type="http://schemas.openxmlformats.org/officeDocument/2006/relationships/hyperlink" Target="ArchivA\videothek\SB%20L1-2%20B%20Rust26%20FSlemties.mp4" TargetMode="External"/><Relationship Id="rId19" Type="http://schemas.openxmlformats.org/officeDocument/2006/relationships/hyperlink" Target="ArchivA\videothek\SB%20Bianca%208er%20Pakte%20Takt.mp4" TargetMode="External"/><Relationship Id="rId4" Type="http://schemas.openxmlformats.org/officeDocument/2006/relationships/hyperlink" Target="ArchivA\videothek\SB%20Rust25%20Latin%20Feeling%20HNietsche%20I.mp4" TargetMode="External"/><Relationship Id="rId9" Type="http://schemas.openxmlformats.org/officeDocument/2006/relationships/hyperlink" Target="ArchivA\videothek\SB%20L1-2%20A%20Rust26%20FSlemties.mp4" TargetMode="External"/><Relationship Id="rId14" Type="http://schemas.openxmlformats.org/officeDocument/2006/relationships/hyperlink" Target="ArchivA\videothek\SB%20Hans%20Kontra%20Botafogo.mp4" TargetMode="External"/><Relationship Id="rId22" Type="http://schemas.openxmlformats.org/officeDocument/2006/relationships/hyperlink" Target="ArchivA\videothek\SB%20Traisa%20L1-4.jpeg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yTG1OuyUGFs" TargetMode="External"/><Relationship Id="rId13" Type="http://schemas.openxmlformats.org/officeDocument/2006/relationships/hyperlink" Target="../../../AppData/AppData/Roaming/Microsoft/Excel/ArchivA/videothek/DF%20L1-2%20A%20Rust26.mp4" TargetMode="External"/><Relationship Id="rId18" Type="http://schemas.openxmlformats.org/officeDocument/2006/relationships/hyperlink" Target="../../../AppData/AppData/Roaming/Microsoft/Excel/ArchivA/videothek/DF%20TrCBrsp%20Folge%202.docx" TargetMode="External"/><Relationship Id="rId26" Type="http://schemas.openxmlformats.org/officeDocument/2006/relationships/printerSettings" Target="../printerSettings/printerSettings9.bin"/><Relationship Id="rId3" Type="http://schemas.openxmlformats.org/officeDocument/2006/relationships/hyperlink" Target="https://youtu.be/fR5DSLVLjRg" TargetMode="External"/><Relationship Id="rId21" Type="http://schemas.openxmlformats.org/officeDocument/2006/relationships/hyperlink" Target="../../../AppData/AppData/Roaming/Microsoft/Excel/ArchivA/videothek/DF%20TrCBrsp%20Folge%203.docx" TargetMode="External"/><Relationship Id="rId7" Type="http://schemas.openxmlformats.org/officeDocument/2006/relationships/hyperlink" Target="https://youtu.be/bltEvvt1YAs" TargetMode="External"/><Relationship Id="rId12" Type="http://schemas.openxmlformats.org/officeDocument/2006/relationships/hyperlink" Target="../../../AppData/AppData/Roaming/Microsoft/Excel/ArchivA/videothek/DF%20Rust25%20.mp4" TargetMode="External"/><Relationship Id="rId17" Type="http://schemas.openxmlformats.org/officeDocument/2006/relationships/hyperlink" Target="../../../AppData/AppData/Roaming/Microsoft/Excel/ArchivA/videothek/DF%20TrCBrsp%20Folge%202.mp4" TargetMode="External"/><Relationship Id="rId25" Type="http://schemas.openxmlformats.org/officeDocument/2006/relationships/hyperlink" Target="https://www.youtube.com/watch?v=OybRrYvA1qw" TargetMode="External"/><Relationship Id="rId2" Type="http://schemas.openxmlformats.org/officeDocument/2006/relationships/hyperlink" Target="https://www.youtube.com/watch?v=OybRrYvA1qw" TargetMode="External"/><Relationship Id="rId16" Type="http://schemas.openxmlformats.org/officeDocument/2006/relationships/hyperlink" Target="../../../AppData/AppData/Roaming/Microsoft/Excel/ArchivA/videothek/DF%20TrCBrsp%20Folge%201.docx" TargetMode="External"/><Relationship Id="rId20" Type="http://schemas.openxmlformats.org/officeDocument/2006/relationships/hyperlink" Target="../../../AppData/AppData/Roaming/Microsoft/Excel/ArchivA/videothek/DF%20TrCBrsp%20Folge%203%20erkl&#228;rt.mp4" TargetMode="External"/><Relationship Id="rId1" Type="http://schemas.openxmlformats.org/officeDocument/2006/relationships/hyperlink" Target="https://www.youtube.com/watch?v=JZfHG73Zkp0" TargetMode="External"/><Relationship Id="rId6" Type="http://schemas.openxmlformats.org/officeDocument/2006/relationships/hyperlink" Target="../../../AppData/AppData/Roaming/Microsoft/Excel/ArchivA/videothek/DF%20Krist&#243;f%20Workshop%20am%2028.3.26.mp4" TargetMode="External"/><Relationship Id="rId11" Type="http://schemas.openxmlformats.org/officeDocument/2006/relationships/hyperlink" Target="https://www.youtube.com/watch?v=9QnDJIGy3TY" TargetMode="External"/><Relationship Id="rId24" Type="http://schemas.openxmlformats.org/officeDocument/2006/relationships/hyperlink" Target="../../../AppData/AppData/Roaming/Microsoft/Excel/ArchivA/videothek/DF%20Krist&#243;f%20Basic%20Figuren.pdf" TargetMode="External"/><Relationship Id="rId5" Type="http://schemas.openxmlformats.org/officeDocument/2006/relationships/hyperlink" Target="https://www.youtube.com/watch?v=hyv8-p6GAd0" TargetMode="External"/><Relationship Id="rId15" Type="http://schemas.openxmlformats.org/officeDocument/2006/relationships/hyperlink" Target="../../../AppData/AppData/Roaming/Microsoft/Excel/ArchivA/videothek/DF%20TrCBrsp%20Folge%201.mp4" TargetMode="External"/><Relationship Id="rId23" Type="http://schemas.openxmlformats.org/officeDocument/2006/relationships/hyperlink" Target="../../../AppData/AppData/Roaming/Microsoft/Excel/ArchivA/videothek/DF%20Krist&#243;f%20Workshop.mp4" TargetMode="External"/><Relationship Id="rId10" Type="http://schemas.openxmlformats.org/officeDocument/2006/relationships/hyperlink" Target="https://www.youtube.com/watch?v=hyv8-p6GAd0" TargetMode="External"/><Relationship Id="rId19" Type="http://schemas.openxmlformats.org/officeDocument/2006/relationships/hyperlink" Target="../../../AppData/AppData/Roaming/Microsoft/Excel/ArchivA/videothek/DF%20TrCBrsp%20Folge%203%20durchgetanzt.mp4" TargetMode="External"/><Relationship Id="rId4" Type="http://schemas.openxmlformats.org/officeDocument/2006/relationships/hyperlink" Target="https://www.youtube.com/watch?v=4c_QrBTuiSc" TargetMode="External"/><Relationship Id="rId9" Type="http://schemas.openxmlformats.org/officeDocument/2006/relationships/hyperlink" Target="https://youtu.be/fvrous6VhLM" TargetMode="External"/><Relationship Id="rId14" Type="http://schemas.openxmlformats.org/officeDocument/2006/relationships/hyperlink" Target="../../../AppData/AppData/Roaming/Microsoft/Excel/ArchivA/videothek/DF%20L1-2%20B%20%20Rust26.mp4" TargetMode="External"/><Relationship Id="rId22" Type="http://schemas.openxmlformats.org/officeDocument/2006/relationships/hyperlink" Target="../../../AppData/AppData/Roaming/Microsoft/Excel/ArchivA/videothek/DF%20Krist&#243;f%20Workshop%2024.6.23.mp4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QS%20HaHa%20Quick%20Running%20Turnes.mp4" TargetMode="External"/><Relationship Id="rId18" Type="http://schemas.openxmlformats.org/officeDocument/2006/relationships/hyperlink" Target="ArchivA\videothek\QS%20Bianca%20StepHop%20Dame%20mit%20Musik.mp4" TargetMode="External"/><Relationship Id="rId26" Type="http://schemas.openxmlformats.org/officeDocument/2006/relationships/hyperlink" Target="ArchivA\videothek\QS%20Tippsy%202.mp4" TargetMode="External"/><Relationship Id="rId3" Type="http://schemas.openxmlformats.org/officeDocument/2006/relationships/hyperlink" Target="https://www.youtube.com/watch?v=gL_TI9z1ENY" TargetMode="External"/><Relationship Id="rId21" Type="http://schemas.openxmlformats.org/officeDocument/2006/relationships/hyperlink" Target="ArchivA\videothek\QS%20Bianca%20StepHop%20Herr%20mit%20Musik.mp4" TargetMode="External"/><Relationship Id="rId34" Type="http://schemas.openxmlformats.org/officeDocument/2006/relationships/hyperlink" Target="ArchivA\videothek\QS%20Traisa%20L1-6.jpeg" TargetMode="External"/><Relationship Id="rId7" Type="http://schemas.openxmlformats.org/officeDocument/2006/relationships/hyperlink" Target="ArchivA\videothek\QS%20L1-2%20Technik%20Rust25%20RKieling.mp4" TargetMode="External"/><Relationship Id="rId12" Type="http://schemas.openxmlformats.org/officeDocument/2006/relationships/hyperlink" Target="ArchivA\videothek\QS%20HaHa%20Fishschwanz%20lang%20und%20kurz.mp4" TargetMode="External"/><Relationship Id="rId17" Type="http://schemas.openxmlformats.org/officeDocument/2006/relationships/hyperlink" Target="ArchivA\videothek\QS%20Bianca%20StepHop%20Dame%202.mp4" TargetMode="External"/><Relationship Id="rId25" Type="http://schemas.openxmlformats.org/officeDocument/2006/relationships/hyperlink" Target="ArchivA\videothek\QS%20Bianca%20FourQuickRun.MOV" TargetMode="External"/><Relationship Id="rId33" Type="http://schemas.openxmlformats.org/officeDocument/2006/relationships/hyperlink" Target="ArchivA\videothek\QS%20Krist&#243;f%20Workshop%202026.mp4" TargetMode="External"/><Relationship Id="rId2" Type="http://schemas.openxmlformats.org/officeDocument/2006/relationships/hyperlink" Target="https://www.youtube.com/watch?v=iHAdTYyLV0A" TargetMode="External"/><Relationship Id="rId16" Type="http://schemas.openxmlformats.org/officeDocument/2006/relationships/hyperlink" Target="ArchivA\videothek\QS%20Bianca%20StepHop%20Dame%201.mp4" TargetMode="External"/><Relationship Id="rId20" Type="http://schemas.openxmlformats.org/officeDocument/2006/relationships/hyperlink" Target="ArchivA\videothek\QS%20Bianca%20StepHop%20Herr%202.mp4" TargetMode="External"/><Relationship Id="rId29" Type="http://schemas.openxmlformats.org/officeDocument/2006/relationships/hyperlink" Target="ArchivA\videothek\QS%20Egils%20Bronze%20Level%20Routine.mp4" TargetMode="External"/><Relationship Id="rId1" Type="http://schemas.openxmlformats.org/officeDocument/2006/relationships/hyperlink" Target="https://www.youtube.com/watch?v=iI78Izgx98w" TargetMode="External"/><Relationship Id="rId6" Type="http://schemas.openxmlformats.org/officeDocument/2006/relationships/hyperlink" Target="ArchivA\videothek\QS%20Ya%20Doppeltes%20Lottchen%20Teil%201.mp4" TargetMode="External"/><Relationship Id="rId11" Type="http://schemas.openxmlformats.org/officeDocument/2006/relationships/hyperlink" Target="ArchivA\videothek\QS%20HaHa%20Basisfolge.mp4" TargetMode="External"/><Relationship Id="rId24" Type="http://schemas.openxmlformats.org/officeDocument/2006/relationships/hyperlink" Target="ArchivA\videothek\QS%20Bianca%20SIT%20Herr.mp4" TargetMode="External"/><Relationship Id="rId32" Type="http://schemas.openxmlformats.org/officeDocument/2006/relationships/hyperlink" Target="ArchivA\videothek\QS%20Krist&#243;f%20InOutStepHopLAchse%202.mp4" TargetMode="External"/><Relationship Id="rId5" Type="http://schemas.openxmlformats.org/officeDocument/2006/relationships/hyperlink" Target="https://www.youtube.com/watch?v=2kHTddRkqc4" TargetMode="External"/><Relationship Id="rId15" Type="http://schemas.openxmlformats.org/officeDocument/2006/relationships/hyperlink" Target="ArchivA\videothek\QS%20HaHa%20V6%202015%2004.mp4" TargetMode="External"/><Relationship Id="rId23" Type="http://schemas.openxmlformats.org/officeDocument/2006/relationships/hyperlink" Target="ArchivA\videothek\QS%20Bianca%20SIT%20Dame.mp4" TargetMode="External"/><Relationship Id="rId28" Type="http://schemas.openxmlformats.org/officeDocument/2006/relationships/hyperlink" Target="ArchivA\videothek\QS%20Tipsy.mp4" TargetMode="External"/><Relationship Id="rId10" Type="http://schemas.openxmlformats.org/officeDocument/2006/relationships/hyperlink" Target="ArchivA\videothek\QS%20HaHa%20Fishschwanz%20lang%20und%20kurz.mp4" TargetMode="External"/><Relationship Id="rId19" Type="http://schemas.openxmlformats.org/officeDocument/2006/relationships/hyperlink" Target="ArchivA\videothek\QS%20Bianca%20StepHop%20Herr%201.mp4" TargetMode="External"/><Relationship Id="rId31" Type="http://schemas.openxmlformats.org/officeDocument/2006/relationships/hyperlink" Target="ArchivA\videothek\QS%20Krist&#243;f%20InOutStepHopLAchse%201.mp4" TargetMode="External"/><Relationship Id="rId4" Type="http://schemas.openxmlformats.org/officeDocument/2006/relationships/hyperlink" Target="https://www.youtube.com/watch?v=VdNLw1Y7D9k" TargetMode="External"/><Relationship Id="rId9" Type="http://schemas.openxmlformats.org/officeDocument/2006/relationships/hyperlink" Target="ArchivA\videothek\QS%20Fishtail.mp4" TargetMode="External"/><Relationship Id="rId14" Type="http://schemas.openxmlformats.org/officeDocument/2006/relationships/hyperlink" Target="ArchivA\videothek\QS%20HaHa%20Running%20Promenade.mp4" TargetMode="External"/><Relationship Id="rId22" Type="http://schemas.openxmlformats.org/officeDocument/2006/relationships/hyperlink" Target="ArchivA\videothek\QS%20Bianca%20StepHop.xlsx" TargetMode="External"/><Relationship Id="rId27" Type="http://schemas.openxmlformats.org/officeDocument/2006/relationships/hyperlink" Target="ArchivA\videothek\QS%20Tippsy%203.mp4" TargetMode="External"/><Relationship Id="rId30" Type="http://schemas.openxmlformats.org/officeDocument/2006/relationships/hyperlink" Target="ArchivA\videothek\QS%20Egils%20Silver%20Level%20Routine.mp4" TargetMode="External"/><Relationship Id="rId35" Type="http://schemas.openxmlformats.org/officeDocument/2006/relationships/printerSettings" Target="../printerSettings/printerSettings10.bin"/><Relationship Id="rId8" Type="http://schemas.openxmlformats.org/officeDocument/2006/relationships/hyperlink" Target="ArchivA\videothek\QS%20Fishtail%20Egils.mp4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F%20L1%20A%20Rust26%20MHull.mp4" TargetMode="External"/><Relationship Id="rId13" Type="http://schemas.openxmlformats.org/officeDocument/2006/relationships/hyperlink" Target="ArchivA\videothek\SF%20Krist&#243;f%20Workshop%20am%2028.3.26.mp4" TargetMode="External"/><Relationship Id="rId18" Type="http://schemas.openxmlformats.org/officeDocument/2006/relationships/hyperlink" Target="ArchivA\videothek\SF%20Bianca%20Rechtsdr_offenerImp_offeneRd_geschlossenerImp_Federende%20Dame.MOV" TargetMode="External"/><Relationship Id="rId26" Type="http://schemas.openxmlformats.org/officeDocument/2006/relationships/hyperlink" Target="ArchivA\videothek\SF%20Traisa%20L1-L5.jpeg" TargetMode="External"/><Relationship Id="rId3" Type="http://schemas.openxmlformats.org/officeDocument/2006/relationships/hyperlink" Target="ArchivA\videothek\SF%20Rust25%20RKieling%20Dame-Herr.mp4" TargetMode="External"/><Relationship Id="rId21" Type="http://schemas.openxmlformats.org/officeDocument/2006/relationships/hyperlink" Target="ArchivA\videothek\SF%20Hans%20Slowfox%202014_12.mp4" TargetMode="External"/><Relationship Id="rId7" Type="http://schemas.openxmlformats.org/officeDocument/2006/relationships/hyperlink" Target="ArchivA\videothek\SF%20Rust25%20Technik.mp4" TargetMode="External"/><Relationship Id="rId12" Type="http://schemas.openxmlformats.org/officeDocument/2006/relationships/hyperlink" Target="ArchivA\videothek\SF%20L1-1%20Rust26%20RFrieling%20Notitz.jpg" TargetMode="External"/><Relationship Id="rId17" Type="http://schemas.openxmlformats.org/officeDocument/2006/relationships/hyperlink" Target="ArchivA\videothek\SF%20Bianca%20Rechtsdr_offenerImp_offeneRd_geschlossenerImp_Federende%20%20Herr.MOV" TargetMode="External"/><Relationship Id="rId25" Type="http://schemas.openxmlformats.org/officeDocument/2006/relationships/hyperlink" Target="ArchivA\videothek\SF%20Top%20Spin%20in%20Foxtrot%20-%20Slowfox%20Routine.mp4" TargetMode="External"/><Relationship Id="rId2" Type="http://schemas.openxmlformats.org/officeDocument/2006/relationships/hyperlink" Target="ArchivA\videothek\SF%20Rust25%20ADTV.mp4" TargetMode="External"/><Relationship Id="rId16" Type="http://schemas.openxmlformats.org/officeDocument/2006/relationships/hyperlink" Target="ArchivA\videothek\SF%20Bianca%20OverSway%20mit%20Achsendrehungen%20Herr.MOV" TargetMode="External"/><Relationship Id="rId20" Type="http://schemas.openxmlformats.org/officeDocument/2006/relationships/hyperlink" Target="ArchivA\videothek\SF%20Hans%20Slow1%2018-04-12.mp4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ArchivA\videothek\SF%20Rust25%20Technik%20Intro.mp4" TargetMode="External"/><Relationship Id="rId11" Type="http://schemas.openxmlformats.org/officeDocument/2006/relationships/hyperlink" Target="ArchivA\videothek\SF%20L1-2%20Rust26%20RFrieling.mp4" TargetMode="External"/><Relationship Id="rId24" Type="http://schemas.openxmlformats.org/officeDocument/2006/relationships/hyperlink" Target="ArchivA\videothek\SF%20Kristof%20WS%20Feb25.mp4" TargetMode="External"/><Relationship Id="rId5" Type="http://schemas.openxmlformats.org/officeDocument/2006/relationships/hyperlink" Target="ArchivA\videothek\SF%20Rust25%20RKieling%20II.mp4" TargetMode="External"/><Relationship Id="rId15" Type="http://schemas.openxmlformats.org/officeDocument/2006/relationships/hyperlink" Target="ArchivA\videothek\SF%20Bianca%20OverSway%20mit%20Achsendrehungen%20Dame.MOV" TargetMode="External"/><Relationship Id="rId23" Type="http://schemas.openxmlformats.org/officeDocument/2006/relationships/hyperlink" Target="ArchivA\videothek\SF%20Hans%20SlowFox%202015%2005.mp4" TargetMode="External"/><Relationship Id="rId28" Type="http://schemas.openxmlformats.org/officeDocument/2006/relationships/printerSettings" Target="../printerSettings/printerSettings11.bin"/><Relationship Id="rId10" Type="http://schemas.openxmlformats.org/officeDocument/2006/relationships/hyperlink" Target="ArchivA\videothek\SF%20L1%20C%20Rust26%20MHull.mp4" TargetMode="External"/><Relationship Id="rId19" Type="http://schemas.openxmlformats.org/officeDocument/2006/relationships/hyperlink" Target="ArchivA\videothek\SF%20Hans%2018-04-12.mp4" TargetMode="External"/><Relationship Id="rId4" Type="http://schemas.openxmlformats.org/officeDocument/2006/relationships/hyperlink" Target="ArchivA\videothek\SF%20Rust25%20RKieling.mp4" TargetMode="External"/><Relationship Id="rId9" Type="http://schemas.openxmlformats.org/officeDocument/2006/relationships/hyperlink" Target="ArchivA\videothek\SF%20L1%20B%20Rust26%20MHull.mp4" TargetMode="External"/><Relationship Id="rId14" Type="http://schemas.openxmlformats.org/officeDocument/2006/relationships/hyperlink" Target="ArchivA\videothek\SF%20Basic%20Variations%20_%20Figure%20names%20and%20Timing.mp4" TargetMode="External"/><Relationship Id="rId22" Type="http://schemas.openxmlformats.org/officeDocument/2006/relationships/hyperlink" Target="ArchivA\videothek\SF%20Hans%20SlowFox%202015%2002%2012.mp4" TargetMode="External"/><Relationship Id="rId27" Type="http://schemas.openxmlformats.org/officeDocument/2006/relationships/hyperlink" Target="ArchivA\videothek\SF%20Traisa%20L6.jpeg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SW%20L2%20A%20Rust26%20ADTV.mp4" TargetMode="External"/><Relationship Id="rId18" Type="http://schemas.openxmlformats.org/officeDocument/2006/relationships/hyperlink" Target="ArchivA\videothek\SW%20HaHa%20Walzer%202014_11_mit%20OutsideSpin_TurningLockR%20B.wmv" TargetMode="External"/><Relationship Id="rId26" Type="http://schemas.openxmlformats.org/officeDocument/2006/relationships/hyperlink" Target="ArchivA\videothek\SW%20KLM%20%20Tanzwochenende%202006.mp4" TargetMode="External"/><Relationship Id="rId39" Type="http://schemas.openxmlformats.org/officeDocument/2006/relationships/hyperlink" Target="ArchivA\videothek\SW%20Traisa%201.jpeg" TargetMode="External"/><Relationship Id="rId21" Type="http://schemas.openxmlformats.org/officeDocument/2006/relationships/hyperlink" Target="ArchivA\videothek\SW%20Bianca%20Oversway.MOV" TargetMode="External"/><Relationship Id="rId34" Type="http://schemas.openxmlformats.org/officeDocument/2006/relationships/hyperlink" Target="ArchivA\videothek\SW%20%20Underarm%20Turn%20With%20a%20Partner%20for%20a%20Waltz.mp4" TargetMode="External"/><Relationship Id="rId42" Type="http://schemas.openxmlformats.org/officeDocument/2006/relationships/hyperlink" Target="https://youtu.be/DvZX34gGzYk" TargetMode="External"/><Relationship Id="rId7" Type="http://schemas.openxmlformats.org/officeDocument/2006/relationships/hyperlink" Target="https://youtu.be/SFZnF86v0Lg" TargetMode="External"/><Relationship Id="rId2" Type="http://schemas.openxmlformats.org/officeDocument/2006/relationships/hyperlink" Target="../../../AppData/Roaming/Microsoft/Excel/ArchivA/videothek/SW%20English%20Waltz%20Lesson_%20Open%20Right%20Turn%20(Konstantin).mp4" TargetMode="External"/><Relationship Id="rId16" Type="http://schemas.openxmlformats.org/officeDocument/2006/relationships/hyperlink" Target="ArchivA\videothek\SW%20HaHa%20LD%20Cort&#233;%20OutsideSpin%20TwistTurn.AVI" TargetMode="External"/><Relationship Id="rId29" Type="http://schemas.openxmlformats.org/officeDocument/2006/relationships/hyperlink" Target="ArchivA\videothek\SW%20Backcheck%20Z&#246;gerwechsel.mp4" TargetMode="External"/><Relationship Id="rId1" Type="http://schemas.openxmlformats.org/officeDocument/2006/relationships/hyperlink" Target="../../../AppData/Roaming/Microsoft/Excel/ArchivA/videothek/SW%20HaHa%20Walzer%20langsam%202015%2008.wmv" TargetMode="External"/><Relationship Id="rId6" Type="http://schemas.openxmlformats.org/officeDocument/2006/relationships/hyperlink" Target="https://www.youtube.com/watch?v=OiMRm3qTPcg" TargetMode="External"/><Relationship Id="rId11" Type="http://schemas.openxmlformats.org/officeDocument/2006/relationships/hyperlink" Target="https://www.youtube.com/watch?v=R7KchmqEyOw" TargetMode="External"/><Relationship Id="rId24" Type="http://schemas.openxmlformats.org/officeDocument/2006/relationships/hyperlink" Target="ArchivA\videothek\SW%20Bianca%20Sterbender%20Schwan%20-%20Herr.mp4" TargetMode="External"/><Relationship Id="rId32" Type="http://schemas.openxmlformats.org/officeDocument/2006/relationships/hyperlink" Target="ArchivA\videothek\SW%20Open%20Natural%20&amp;%20Outside%20Spin%20-%20Slow%20Waltz.mp4" TargetMode="External"/><Relationship Id="rId37" Type="http://schemas.openxmlformats.org/officeDocument/2006/relationships/hyperlink" Target="ArchivA\videothek\SW%20Kristof%20Rd%20Z&#246;gWe%20Chas%20Ronde%20&#220;bg%20I.mp4" TargetMode="External"/><Relationship Id="rId40" Type="http://schemas.openxmlformats.org/officeDocument/2006/relationships/hyperlink" Target="ArchivA\videothek\SW%20Traisa%202.jpeg" TargetMode="External"/><Relationship Id="rId45" Type="http://schemas.openxmlformats.org/officeDocument/2006/relationships/hyperlink" Target="https://youtu.be/khXBK1WsoUQ?list=PLpYfMsxoGjsLYZlRO6D3Wk_Ufj5F_7h4L" TargetMode="External"/><Relationship Id="rId5" Type="http://schemas.openxmlformats.org/officeDocument/2006/relationships/hyperlink" Target="https://www.youtube.com/watch?v=UfrYPVu9ez0" TargetMode="External"/><Relationship Id="rId15" Type="http://schemas.openxmlformats.org/officeDocument/2006/relationships/hyperlink" Target="https://www.youtube.com/watch?v=4yQb4sT8KkE" TargetMode="External"/><Relationship Id="rId23" Type="http://schemas.openxmlformats.org/officeDocument/2006/relationships/hyperlink" Target="ArchivA\videothek\SW%20Bianca%20Sterbender%20Schwan%20-%20Dame.mp4" TargetMode="External"/><Relationship Id="rId28" Type="http://schemas.openxmlformats.org/officeDocument/2006/relationships/hyperlink" Target="ArchivA\videothek\SW%20Backcheck%20Outside%20Change.mp4" TargetMode="External"/><Relationship Id="rId36" Type="http://schemas.openxmlformats.org/officeDocument/2006/relationships/hyperlink" Target="ArchivA\videothek\SW%20Kristof%20Rd%20Z&#246;gWe%20Chas%20Ronde%20Endlauf%20II.mp4" TargetMode="External"/><Relationship Id="rId10" Type="http://schemas.openxmlformats.org/officeDocument/2006/relationships/hyperlink" Target="https://www.youtube.com/watch?v=R7KchmqEyOw" TargetMode="External"/><Relationship Id="rId19" Type="http://schemas.openxmlformats.org/officeDocument/2006/relationships/hyperlink" Target="ArchivA\videothek\SW%20HaHa%20Walzer%202014_11_mit%20OutsideSpin_TurningLockR.wmv" TargetMode="External"/><Relationship Id="rId31" Type="http://schemas.openxmlformats.org/officeDocument/2006/relationships/hyperlink" Target="ArchivA\videothek\SW%20Oversway.mp4" TargetMode="External"/><Relationship Id="rId44" Type="http://schemas.openxmlformats.org/officeDocument/2006/relationships/hyperlink" Target="https://www.youtube.com/watch?v=OiMRm3qTPcg" TargetMode="External"/><Relationship Id="rId4" Type="http://schemas.openxmlformats.org/officeDocument/2006/relationships/hyperlink" Target="https://www.youtube.com/watch?v=3qGrNlCZkmQ" TargetMode="External"/><Relationship Id="rId9" Type="http://schemas.openxmlformats.org/officeDocument/2006/relationships/hyperlink" Target="https://www.youtube.com/watch?v=76Ej_yILcAI" TargetMode="External"/><Relationship Id="rId14" Type="http://schemas.openxmlformats.org/officeDocument/2006/relationships/hyperlink" Target="ArchivA\videothek\SW%20L2%20B%20Rust26%20ADTV.mp4" TargetMode="External"/><Relationship Id="rId22" Type="http://schemas.openxmlformats.org/officeDocument/2006/relationships/hyperlink" Target="https://youtu.be/HBuEVydkzIw" TargetMode="External"/><Relationship Id="rId27" Type="http://schemas.openxmlformats.org/officeDocument/2006/relationships/hyperlink" Target="ArchivA\videothek\SW%20Backcheck%20Endlauf.mp4" TargetMode="External"/><Relationship Id="rId30" Type="http://schemas.openxmlformats.org/officeDocument/2006/relationships/hyperlink" Target="ArchivA\videothek\SW%20Krist&#243;f%20Stern%20Basictraining%20Krist&#243;f.mp4" TargetMode="External"/><Relationship Id="rId35" Type="http://schemas.openxmlformats.org/officeDocument/2006/relationships/hyperlink" Target="ArchivA\videothek\SW%20Kristof%20Rd%20Z&#246;gWe%20Chas%20Ronde%20Endlauf%20I.mp4" TargetMode="External"/><Relationship Id="rId43" Type="http://schemas.openxmlformats.org/officeDocument/2006/relationships/hyperlink" Target="https://youtu.be/I5LG9NX5jyM" TargetMode="External"/><Relationship Id="rId8" Type="http://schemas.openxmlformats.org/officeDocument/2006/relationships/hyperlink" Target="https://www.youtube.com/watch?v=76Ej_yILcAI" TargetMode="External"/><Relationship Id="rId3" Type="http://schemas.openxmlformats.org/officeDocument/2006/relationships/hyperlink" Target="../../../AppData/Roaming/Microsoft/Excel/ArchivA/videothek/SW%20Backcheck%20Lockstep.mp4" TargetMode="External"/><Relationship Id="rId12" Type="http://schemas.openxmlformats.org/officeDocument/2006/relationships/hyperlink" Target="ArchivA\videothek\SW%20Rust25%20MHull%20.mp4" TargetMode="External"/><Relationship Id="rId17" Type="http://schemas.openxmlformats.org/officeDocument/2006/relationships/hyperlink" Target="ArchivA\videothek\SW%20HaHa%20Slow%20Waltz%202015%2005.wmv" TargetMode="External"/><Relationship Id="rId25" Type="http://schemas.openxmlformats.org/officeDocument/2006/relationships/hyperlink" Target="ArchivA\videothek\SW%20Bianca%20Windm&#252;hle.mp4" TargetMode="External"/><Relationship Id="rId33" Type="http://schemas.openxmlformats.org/officeDocument/2006/relationships/hyperlink" Target="ArchivA\videothek\SW%20Slow%20Waltz%20Basic%20_%20Szymon%20Kalinowski%20&amp;%20Grazyna%20Grabicka%20_%20Figure%20names,%20counting,%20music.mp4" TargetMode="External"/><Relationship Id="rId38" Type="http://schemas.openxmlformats.org/officeDocument/2006/relationships/hyperlink" Target="ArchivA\videothek\SW%20Kristof%20Rd%20Z&#246;gWe%20Chas%20Ronde%20&#220;bg%20II.mp4" TargetMode="External"/><Relationship Id="rId46" Type="http://schemas.openxmlformats.org/officeDocument/2006/relationships/printerSettings" Target="../printerSettings/printerSettings12.bin"/><Relationship Id="rId20" Type="http://schemas.openxmlformats.org/officeDocument/2006/relationships/hyperlink" Target="ArchivA\videothek\SW%20Bianca%20Au&#223;enseitlicher%20Wechsel%203%20Beispiele.mp4" TargetMode="External"/><Relationship Id="rId41" Type="http://schemas.openxmlformats.org/officeDocument/2006/relationships/hyperlink" Target="ArchivA\videothek\SW%20Traisa%202.jpe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S7DxQ9alK44" TargetMode="External"/><Relationship Id="rId13" Type="http://schemas.openxmlformats.org/officeDocument/2006/relationships/hyperlink" Target="ArchivA\videothek\TG%20Rust25%20ADTV.mp4" TargetMode="External"/><Relationship Id="rId18" Type="http://schemas.openxmlformats.org/officeDocument/2006/relationships/hyperlink" Target="ArchivA\videothek\TG%20L1-2%20B%20Rust26%20RFrieling%20Notitz.jpg" TargetMode="External"/><Relationship Id="rId3" Type="http://schemas.openxmlformats.org/officeDocument/2006/relationships/hyperlink" Target="https://www.youtube.com/watch?v=XJCntxh9fpc%20%20%20%20%20%20%20ab%20Minute%202:08" TargetMode="External"/><Relationship Id="rId21" Type="http://schemas.openxmlformats.org/officeDocument/2006/relationships/hyperlink" Target="https://www.youtube.com/watch?v=JDGm7iUmLoE" TargetMode="External"/><Relationship Id="rId7" Type="http://schemas.openxmlformats.org/officeDocument/2006/relationships/hyperlink" Target="https://www.youtube.com/watch?v=Tw7zJY0_MMM" TargetMode="External"/><Relationship Id="rId12" Type="http://schemas.openxmlformats.org/officeDocument/2006/relationships/hyperlink" Target="https://www.youtube.com/watch?v=WpgcXLElWPo" TargetMode="External"/><Relationship Id="rId17" Type="http://schemas.openxmlformats.org/officeDocument/2006/relationships/hyperlink" Target="ArchivA\videothek\TG%20L1-2%20B%20Rust26%20Frieling.mp4" TargetMode="External"/><Relationship Id="rId2" Type="http://schemas.openxmlformats.org/officeDocument/2006/relationships/hyperlink" Target="https://www.youtube.com/watch?v=vt0fuTzPdXM" TargetMode="External"/><Relationship Id="rId16" Type="http://schemas.openxmlformats.org/officeDocument/2006/relationships/hyperlink" Target="ArchivA\videothek\TG%20L1-2%20A%20Rust26%20RFrieling.mp4" TargetMode="External"/><Relationship Id="rId20" Type="http://schemas.openxmlformats.org/officeDocument/2006/relationships/hyperlink" Target="ArchivA\videothek\TG%20Hans%20Wiener%20Walzer%20LinksDrehung.AVI" TargetMode="External"/><Relationship Id="rId1" Type="http://schemas.openxmlformats.org/officeDocument/2006/relationships/hyperlink" Target="https://www.youtube.com/watch?v=gQrHNRC-S7U" TargetMode="External"/><Relationship Id="rId6" Type="http://schemas.openxmlformats.org/officeDocument/2006/relationships/hyperlink" Target="https://www.youtube.com/watch?v=QA2GeuRZmqg" TargetMode="External"/><Relationship Id="rId11" Type="http://schemas.openxmlformats.org/officeDocument/2006/relationships/hyperlink" Target="https://www.youtube.com/watch?v=NyBPjhCQnT4" TargetMode="External"/><Relationship Id="rId24" Type="http://schemas.openxmlformats.org/officeDocument/2006/relationships/printerSettings" Target="../printerSettings/printerSettings13.bin"/><Relationship Id="rId5" Type="http://schemas.openxmlformats.org/officeDocument/2006/relationships/hyperlink" Target="https://youtu.be/jMaUADztGAc" TargetMode="External"/><Relationship Id="rId15" Type="http://schemas.openxmlformats.org/officeDocument/2006/relationships/hyperlink" Target="ArchivA\videothek\TG%205Step%20Rust25%20EnglMan.mp4" TargetMode="External"/><Relationship Id="rId23" Type="http://schemas.openxmlformats.org/officeDocument/2006/relationships/hyperlink" Target="https://youtu.be/ryot0Ma5aeo" TargetMode="External"/><Relationship Id="rId10" Type="http://schemas.openxmlformats.org/officeDocument/2006/relationships/hyperlink" Target="https://youtu.be/tJ1JNTtnXRM" TargetMode="External"/><Relationship Id="rId19" Type="http://schemas.openxmlformats.org/officeDocument/2006/relationships/hyperlink" Target="ArchivA\videothek\TG%20Krist&#243;f%20Workshop%20am%2028.3.26.mp4" TargetMode="External"/><Relationship Id="rId4" Type="http://schemas.openxmlformats.org/officeDocument/2006/relationships/hyperlink" Target="https://www.youtube.com/watch?v=iVIoZhapxfs" TargetMode="External"/><Relationship Id="rId9" Type="http://schemas.openxmlformats.org/officeDocument/2006/relationships/hyperlink" Target="https://www.youtube.com/watch?v=xRP2J55aVPQ" TargetMode="External"/><Relationship Id="rId14" Type="http://schemas.openxmlformats.org/officeDocument/2006/relationships/hyperlink" Target="ArchivA\videothek\TG%20Rust25%20AKiefer.mp4" TargetMode="External"/><Relationship Id="rId22" Type="http://schemas.openxmlformats.org/officeDocument/2006/relationships/hyperlink" Target="https://youtu.be/jMaUADztGAc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LVV-37vDL1s" TargetMode="External"/><Relationship Id="rId3" Type="http://schemas.openxmlformats.org/officeDocument/2006/relationships/hyperlink" Target="https://www.youtube.com/watch?v=fH__CSFSjKQ" TargetMode="External"/><Relationship Id="rId7" Type="http://schemas.openxmlformats.org/officeDocument/2006/relationships/hyperlink" Target="../../../AppData/AppData/Roaming/Microsoft/Excel/Archiv/Archiv/videothek/WW%20L2-3%20Rust26%20RFrieling.mp4" TargetMode="External"/><Relationship Id="rId2" Type="http://schemas.openxmlformats.org/officeDocument/2006/relationships/hyperlink" Target="https://youtu.be/uaxLFh0acRs" TargetMode="External"/><Relationship Id="rId1" Type="http://schemas.openxmlformats.org/officeDocument/2006/relationships/hyperlink" Target="https://youtu.be/3wcxbZjdGGA" TargetMode="External"/><Relationship Id="rId6" Type="http://schemas.openxmlformats.org/officeDocument/2006/relationships/hyperlink" Target="../../../AppData/AppData/Roaming/Microsoft/Excel/Archiv/Archiv/videothek/WW%20L1-2%20Pendelfiguren%20Rust26%20ADTV.mp4" TargetMode="External"/><Relationship Id="rId5" Type="http://schemas.openxmlformats.org/officeDocument/2006/relationships/hyperlink" Target="https://www.youtube.com/watch?v=NDenZ1rH6GU" TargetMode="External"/><Relationship Id="rId10" Type="http://schemas.openxmlformats.org/officeDocument/2006/relationships/printerSettings" Target="../printerSettings/printerSettings14.bin"/><Relationship Id="rId4" Type="http://schemas.openxmlformats.org/officeDocument/2006/relationships/hyperlink" Target="https://www.youtube.com/watch?v=NDenZ1rH6GU" TargetMode="External"/><Relationship Id="rId9" Type="http://schemas.openxmlformats.org/officeDocument/2006/relationships/hyperlink" Target="https://youtu.be/neQgSidvfwE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S%20SW%20Learn%20to%20Waltz%20Dance%20-%20The%20Walkaround%20Turn1.mp4" TargetMode="External"/><Relationship Id="rId2" Type="http://schemas.openxmlformats.org/officeDocument/2006/relationships/hyperlink" Target="../../../AppData/AppData/Roaming/Microsoft/Excel/Archiv/Archiv/ArchivA/videothek/AS%20SW%20L2%20Rust26.mp4" TargetMode="External"/><Relationship Id="rId1" Type="http://schemas.openxmlformats.org/officeDocument/2006/relationships/hyperlink" Target="../../../AppData/AppData/Roaming/Microsoft/Excel/Archiv/Archiv/ArchivA/videothek/AS%20SW%20Demo%20L4%20Rust26.mp4" TargetMode="External"/><Relationship Id="rId5" Type="http://schemas.openxmlformats.org/officeDocument/2006/relationships/hyperlink" Target="../../../AppData/AppData/Roaming/Microsoft/Excel/Archiv/Archiv/ArchivA/videothek/AS%20SW%20Learn%20to%20dance%20Waltz%20Butterfly%20Fallaway%20Spin.mp4" TargetMode="External"/><Relationship Id="rId4" Type="http://schemas.openxmlformats.org/officeDocument/2006/relationships/hyperlink" Target="../../../AppData/AppData/Roaming/Microsoft/Excel/Archiv/Archiv/ArchivA/videothek/AS%20SW%20Learn%20to%20dance%20Waltz%20Butterfly%20Fallaway%20Spin.mp4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S%20A+F%2020181220_215339.mp4" TargetMode="External"/><Relationship Id="rId13" Type="http://schemas.openxmlformats.org/officeDocument/2006/relationships/hyperlink" Target="../../../AppData/AppData/Roaming/Microsoft/Excel/Archiv/Archiv/ArchivA/videothek/SS%20A+F%2020190331_151000.mp4" TargetMode="External"/><Relationship Id="rId18" Type="http://schemas.openxmlformats.org/officeDocument/2006/relationships/hyperlink" Target="../../../AppData/AppData/Roaming/Microsoft/Excel/Archiv/Archiv/ArchivA/videothek/SS%20A+F%2020190331_151207.mp4" TargetMode="External"/><Relationship Id="rId3" Type="http://schemas.openxmlformats.org/officeDocument/2006/relationships/hyperlink" Target="../../../AppData/AppData/Roaming/Microsoft/Excel/Archiv/Archiv/ArchivA/videothek/SS%20L1%20B%20Rust26%20RFasiello.mp4" TargetMode="External"/><Relationship Id="rId21" Type="http://schemas.openxmlformats.org/officeDocument/2006/relationships/hyperlink" Target="../../../AppData/AppData/Roaming/Microsoft/Excel/Archiv/Archiv/ArchivA/videothek/SS%20A+F%20IMG_2529.MOV" TargetMode="External"/><Relationship Id="rId7" Type="http://schemas.openxmlformats.org/officeDocument/2006/relationships/hyperlink" Target="../../../AppData/AppData/Roaming/Microsoft/Excel/Archiv/Archiv/ArchivA/videothek/SS%20A+F%2020181220_215152.mp4" TargetMode="External"/><Relationship Id="rId12" Type="http://schemas.openxmlformats.org/officeDocument/2006/relationships/hyperlink" Target="../../../AppData/AppData/Roaming/Microsoft/Excel/Archiv/Archiv/ArchivA/videothek/SS%20A+F%2020190331_145707.mp4" TargetMode="External"/><Relationship Id="rId17" Type="http://schemas.openxmlformats.org/officeDocument/2006/relationships/hyperlink" Target="../../../AppData/AppData/Roaming/Microsoft/Excel/Archiv/Archiv/ArchivA/videothek/SS%20A+F%2020190331_151157.mp4" TargetMode="External"/><Relationship Id="rId25" Type="http://schemas.openxmlformats.org/officeDocument/2006/relationships/hyperlink" Target="../../../AppData/AppData/Roaming/Microsoft/Excel/Archiv/Archiv/ArchivA/videothek/SS%20A+F%20Salsa-Andrea&amp;Frank%20IV.mp4" TargetMode="External"/><Relationship Id="rId2" Type="http://schemas.openxmlformats.org/officeDocument/2006/relationships/hyperlink" Target="../../../AppData/AppData/Roaming/Microsoft/Excel/Archiv/Archiv/ArchivA/videothek/SS%20L1%20A%20Rust26%20RFasiello.mp4" TargetMode="External"/><Relationship Id="rId16" Type="http://schemas.openxmlformats.org/officeDocument/2006/relationships/hyperlink" Target="../../../AppData/AppData/Roaming/Microsoft/Excel/Archiv/Archiv/ArchivA/videothek/SS%20A+F%2020190331_151105.mp4" TargetMode="External"/><Relationship Id="rId20" Type="http://schemas.openxmlformats.org/officeDocument/2006/relationships/hyperlink" Target="../../../AppData/AppData/Roaming/Microsoft/Excel/Archiv/Archiv/ArchivA/videothek/SS%20A+F%2020190331_151250.mp4" TargetMode="External"/><Relationship Id="rId1" Type="http://schemas.openxmlformats.org/officeDocument/2006/relationships/hyperlink" Target="../../../AppData/AppData/Roaming/Microsoft/Excel/Archiv/Archiv/ArchivA/videothek/SS%20A+F%20Salsa-Andrea&amp;Frank%20V.mp4" TargetMode="External"/><Relationship Id="rId6" Type="http://schemas.openxmlformats.org/officeDocument/2006/relationships/hyperlink" Target="../../../AppData/AppData/Roaming/Microsoft/Excel/Archiv/Archiv/ArchivA/videothek/SS%20A+F%2020180628_213137.mp4" TargetMode="External"/><Relationship Id="rId11" Type="http://schemas.openxmlformats.org/officeDocument/2006/relationships/hyperlink" Target="../../../AppData/AppData/Roaming/Microsoft/Excel/Archiv/Archiv/ArchivA/videothek/SS%20A+F%2020190331_145646.mp4" TargetMode="External"/><Relationship Id="rId24" Type="http://schemas.openxmlformats.org/officeDocument/2006/relationships/hyperlink" Target="../../../AppData/AppData/Roaming/Microsoft/Excel/Archiv/Archiv/ArchivA/videothek/SS%20A+F%20Salsa-Andrea&amp;Frank%20III.mp4" TargetMode="External"/><Relationship Id="rId5" Type="http://schemas.openxmlformats.org/officeDocument/2006/relationships/hyperlink" Target="../../../AppData/AppData/Roaming/Microsoft/Excel/Archiv/Archiv/ArchivA/videothek/SS%20A+F%20180914TanzenSalsa.MOV" TargetMode="External"/><Relationship Id="rId15" Type="http://schemas.openxmlformats.org/officeDocument/2006/relationships/hyperlink" Target="../../../AppData/AppData/Roaming/Microsoft/Excel/Archiv/Archiv/ArchivA/videothek/SS%20A+F%2020190331_151045.mp4" TargetMode="External"/><Relationship Id="rId23" Type="http://schemas.openxmlformats.org/officeDocument/2006/relationships/hyperlink" Target="../../../AppData/AppData/Roaming/Microsoft/Excel/Archiv/Archiv/ArchivA/videothek/SS%20A+F%20Salsa-Andrea&amp;Frank%20II.mp4" TargetMode="External"/><Relationship Id="rId10" Type="http://schemas.openxmlformats.org/officeDocument/2006/relationships/hyperlink" Target="../../../AppData/AppData/Roaming/Microsoft/Excel/Archiv/Archiv/ArchivA/videothek/SS%20A+F%2020190330_170545.mp4" TargetMode="External"/><Relationship Id="rId19" Type="http://schemas.openxmlformats.org/officeDocument/2006/relationships/hyperlink" Target="../../../AppData/AppData/Roaming/Microsoft/Excel/Archiv/Archiv/ArchivA/videothek/SS%20A+F%2020190331_151231.mp4" TargetMode="External"/><Relationship Id="rId4" Type="http://schemas.openxmlformats.org/officeDocument/2006/relationships/hyperlink" Target="../../../AppData/AppData/Roaming/Microsoft/Excel/Archiv/Archiv/ArchivA/videothek/SS%20L1-2%20Rust26%20ADTV.mp4" TargetMode="External"/><Relationship Id="rId9" Type="http://schemas.openxmlformats.org/officeDocument/2006/relationships/hyperlink" Target="../../../AppData/AppData/Roaming/Microsoft/Excel/Archiv/Archiv/ArchivA/videothek/SS%20A+F%202019-08-15.mp4" TargetMode="External"/><Relationship Id="rId14" Type="http://schemas.openxmlformats.org/officeDocument/2006/relationships/hyperlink" Target="../../../AppData/AppData/Roaming/Microsoft/Excel/Archiv/Archiv/ArchivA/videothek/SS%20A+F%2020190331_151010.mp4" TargetMode="External"/><Relationship Id="rId22" Type="http://schemas.openxmlformats.org/officeDocument/2006/relationships/hyperlink" Target="../../../AppData/AppData/Roaming/Microsoft/Excel/Archiv/Archiv/ArchivA/videothek/SS%20A+F%20Salsa-Andrea&amp;Frank%20I.mp4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LAT%20Armbewegung_4.mp4" TargetMode="External"/><Relationship Id="rId13" Type="http://schemas.openxmlformats.org/officeDocument/2006/relationships/hyperlink" Target="ArchivA\videothek\LAT%20Drehtechnik%203.mp4" TargetMode="External"/><Relationship Id="rId18" Type="http://schemas.openxmlformats.org/officeDocument/2006/relationships/hyperlink" Target="ArchivA\videothek\LAT%20Dreh&#252;bung%20Nr%205.mp4" TargetMode="External"/><Relationship Id="rId26" Type="http://schemas.openxmlformats.org/officeDocument/2006/relationships/printerSettings" Target="../printerSettings/printerSettings15.bin"/><Relationship Id="rId3" Type="http://schemas.openxmlformats.org/officeDocument/2006/relationships/hyperlink" Target="ArchivA\videothek\LAT%203%20Chucharacha%20H&#252;ftbewegung.mp4" TargetMode="External"/><Relationship Id="rId21" Type="http://schemas.openxmlformats.org/officeDocument/2006/relationships/hyperlink" Target="ArchivA\videothek\LAT%20Langsamer%20Walzer%20Swing%20and%20Shape.mp4" TargetMode="External"/><Relationship Id="rId7" Type="http://schemas.openxmlformats.org/officeDocument/2006/relationships/hyperlink" Target="ArchivA\videothek\LAT%20Armbewegung%204.mp4" TargetMode="External"/><Relationship Id="rId12" Type="http://schemas.openxmlformats.org/officeDocument/2006/relationships/hyperlink" Target="ArchivA\videothek\LAT%20Drehtechnik%202.mp4" TargetMode="External"/><Relationship Id="rId17" Type="http://schemas.openxmlformats.org/officeDocument/2006/relationships/hyperlink" Target="ArchivA\videothek\LAT%20Dreh&#252;bung%20Nr%204.mp4" TargetMode="External"/><Relationship Id="rId25" Type="http://schemas.openxmlformats.org/officeDocument/2006/relationships/hyperlink" Target="ArchivA\videothek\LAT%20Samba%20Basic%20&amp;%20Bounce.mp4" TargetMode="External"/><Relationship Id="rId2" Type="http://schemas.openxmlformats.org/officeDocument/2006/relationships/hyperlink" Target="ArchivA\videothek\LAT%202%20Chucharacha%20Timing.mp4" TargetMode="External"/><Relationship Id="rId16" Type="http://schemas.openxmlformats.org/officeDocument/2006/relationships/hyperlink" Target="ArchivA\videothek\LAT%20Dreh&#252;bung%20Nr%203.mp4" TargetMode="External"/><Relationship Id="rId20" Type="http://schemas.openxmlformats.org/officeDocument/2006/relationships/hyperlink" Target="ArchivA\videothek\LAT%20Jive%20Grundtechnik.mp4" TargetMode="External"/><Relationship Id="rId1" Type="http://schemas.openxmlformats.org/officeDocument/2006/relationships/hyperlink" Target="ArchivA\videothek\LAT%201%20Chucharacha%20Fu&#223;technik.mp4" TargetMode="External"/><Relationship Id="rId6" Type="http://schemas.openxmlformats.org/officeDocument/2006/relationships/hyperlink" Target="ArchivA\videothek\LAT%20Armbewegung%203.mp4" TargetMode="External"/><Relationship Id="rId11" Type="http://schemas.openxmlformats.org/officeDocument/2006/relationships/hyperlink" Target="ArchivA\videothek\LAT%20Drehtechnik%201.mp4" TargetMode="External"/><Relationship Id="rId24" Type="http://schemas.openxmlformats.org/officeDocument/2006/relationships/hyperlink" Target="ArchivA\videothek\LAT%20SAM%20Voltas,%20Botafogo.mp4" TargetMode="External"/><Relationship Id="rId5" Type="http://schemas.openxmlformats.org/officeDocument/2006/relationships/hyperlink" Target="ArchivA\videothek\LAT%20Armbewegung%202.mp4" TargetMode="External"/><Relationship Id="rId15" Type="http://schemas.openxmlformats.org/officeDocument/2006/relationships/hyperlink" Target="ArchivA\videothek\LAT%20Dreh&#252;bung%20Nr%202.mp4" TargetMode="External"/><Relationship Id="rId23" Type="http://schemas.openxmlformats.org/officeDocument/2006/relationships/hyperlink" Target="ArchivA\videothek\LAT%20Rumba%20H&#252;fte.mp4" TargetMode="External"/><Relationship Id="rId10" Type="http://schemas.openxmlformats.org/officeDocument/2006/relationships/hyperlink" Target="ArchivA\videothek\LAT%20ChaCha%20Solo%20(H&#252;ftrotation).mp4" TargetMode="External"/><Relationship Id="rId19" Type="http://schemas.openxmlformats.org/officeDocument/2006/relationships/hyperlink" Target="ArchivA\videothek\LAT%20Dreh&#252;bung%20Nr.6%20Eine%20Folge.mp4" TargetMode="External"/><Relationship Id="rId4" Type="http://schemas.openxmlformats.org/officeDocument/2006/relationships/hyperlink" Target="ArchivA\videothek\LAT%20Armbewegung%201.mp4" TargetMode="External"/><Relationship Id="rId9" Type="http://schemas.openxmlformats.org/officeDocument/2006/relationships/hyperlink" Target="ArchivA\videothek\LAT%20ChaCha%20Solo%20(Footwork).mp4" TargetMode="External"/><Relationship Id="rId14" Type="http://schemas.openxmlformats.org/officeDocument/2006/relationships/hyperlink" Target="ArchivA\videothek\LAT%20Dreh&#252;bung%20Nr%201.mp4" TargetMode="External"/><Relationship Id="rId22" Type="http://schemas.openxmlformats.org/officeDocument/2006/relationships/hyperlink" Target="ArchivA\videothek\LAT%20Latein%20Fu&#223;technik.mp4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MatteoDelGaone" TargetMode="External"/><Relationship Id="rId2" Type="http://schemas.openxmlformats.org/officeDocument/2006/relationships/hyperlink" Target="ArchivA\videothek\STD%20Tango%20Flick%20action.mp4" TargetMode="External"/><Relationship Id="rId1" Type="http://schemas.openxmlformats.org/officeDocument/2006/relationships/hyperlink" Target="ArchivA\videothek\STD%20Fersendrehung.mp4" TargetMode="External"/><Relationship Id="rId5" Type="http://schemas.openxmlformats.org/officeDocument/2006/relationships/hyperlink" Target="https://youtube.com/playlist?list=PLpYfMsxoGjsLYZlRO6D3Wk_Ufj5F_7h4L&amp;si=nbt2BzvPdkOCj7EJ" TargetMode="External"/><Relationship Id="rId4" Type="http://schemas.openxmlformats.org/officeDocument/2006/relationships/hyperlink" Target="https://www.youtube.com/@jtballro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LL%20Gehirn-Gymnastik%203%20-%20YouTube.mp4" TargetMode="External"/><Relationship Id="rId2" Type="http://schemas.openxmlformats.org/officeDocument/2006/relationships/hyperlink" Target="../../../AppData/AppData/Roaming/Microsoft/Excel/Archiv/Archiv/ArchivA/videothek/ALL%20Gehirn-Gymnastik%202%20YouTube.mp4" TargetMode="External"/><Relationship Id="rId1" Type="http://schemas.openxmlformats.org/officeDocument/2006/relationships/hyperlink" Target="../../../AppData/AppData/Roaming/Microsoft/Excel/Archiv/Archiv/ArchivA/videothek/ALL%20Gehirn-Gymnastik%201%20YouTube.mp4" TargetMode="External"/><Relationship Id="rId4" Type="http://schemas.openxmlformats.org/officeDocument/2006/relationships/hyperlink" Target="../../../AppData/AppData/Roaming/Microsoft/Excel/Archiv/Archiv/ArchivA/videothek/ALL%20Tanzmusik.mp4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C13AE-0C88-40F2-AAFF-DF55625FF2DB}">
  <sheetPr codeName="Tabelle31"/>
  <dimension ref="A1:D79"/>
  <sheetViews>
    <sheetView tabSelected="1" workbookViewId="0">
      <selection activeCell="B3" sqref="B3"/>
    </sheetView>
  </sheetViews>
  <sheetFormatPr baseColWidth="10" defaultRowHeight="14.4"/>
  <cols>
    <col min="1" max="1" width="4.77734375" customWidth="1"/>
    <col min="2" max="2" width="30.77734375" customWidth="1"/>
    <col min="3" max="3" width="12.77734375" customWidth="1"/>
    <col min="4" max="4" width="40.77734375" customWidth="1"/>
  </cols>
  <sheetData>
    <row r="1" spans="1:4" ht="25.5" customHeight="1">
      <c r="A1" s="487" t="s">
        <v>699</v>
      </c>
    </row>
    <row r="2" spans="1:4" ht="25.5" customHeight="1">
      <c r="A2" s="488" t="s">
        <v>1074</v>
      </c>
      <c r="B2" s="489" t="s">
        <v>1074</v>
      </c>
    </row>
    <row r="3" spans="1:4" ht="25.5" customHeight="1">
      <c r="A3" s="482" t="s">
        <v>668</v>
      </c>
    </row>
    <row r="4" spans="1:4" ht="25.5" customHeight="1">
      <c r="A4" s="484" t="s">
        <v>695</v>
      </c>
      <c r="B4" s="483" t="s">
        <v>66</v>
      </c>
      <c r="C4" s="485" t="s">
        <v>667</v>
      </c>
      <c r="D4" s="486"/>
    </row>
    <row r="5" spans="1:4" ht="25.5" customHeight="1">
      <c r="A5" s="484" t="s">
        <v>695</v>
      </c>
      <c r="B5" s="483" t="s">
        <v>11</v>
      </c>
      <c r="C5" s="485" t="s">
        <v>667</v>
      </c>
      <c r="D5" s="486"/>
    </row>
    <row r="6" spans="1:4" ht="25.5" customHeight="1">
      <c r="A6" s="484" t="s">
        <v>695</v>
      </c>
      <c r="B6" s="483" t="s">
        <v>7</v>
      </c>
      <c r="C6" s="485" t="s">
        <v>667</v>
      </c>
      <c r="D6" s="486"/>
    </row>
    <row r="7" spans="1:4" ht="25.5" customHeight="1">
      <c r="A7" s="484" t="s">
        <v>695</v>
      </c>
      <c r="B7" s="483" t="s">
        <v>31</v>
      </c>
      <c r="C7" s="485" t="s">
        <v>667</v>
      </c>
      <c r="D7" s="486"/>
    </row>
    <row r="8" spans="1:4" ht="25.5" customHeight="1">
      <c r="A8" s="484" t="s">
        <v>695</v>
      </c>
      <c r="B8" s="483" t="s">
        <v>89</v>
      </c>
      <c r="C8" s="485" t="s">
        <v>667</v>
      </c>
      <c r="D8" s="486" t="s">
        <v>582</v>
      </c>
    </row>
    <row r="9" spans="1:4" ht="25.5" customHeight="1">
      <c r="A9" s="484" t="s">
        <v>695</v>
      </c>
      <c r="B9" s="483" t="s">
        <v>42</v>
      </c>
      <c r="C9" s="485" t="s">
        <v>667</v>
      </c>
      <c r="D9" s="486"/>
    </row>
    <row r="10" spans="1:4" ht="25.5" customHeight="1">
      <c r="A10" s="484" t="s">
        <v>695</v>
      </c>
      <c r="B10" s="483" t="s">
        <v>210</v>
      </c>
      <c r="C10" s="485" t="s">
        <v>667</v>
      </c>
      <c r="D10" s="486" t="s">
        <v>630</v>
      </c>
    </row>
    <row r="11" spans="1:4" ht="25.5" customHeight="1">
      <c r="A11" s="484" t="s">
        <v>695</v>
      </c>
      <c r="B11" s="483" t="s">
        <v>30</v>
      </c>
      <c r="C11" s="485" t="s">
        <v>667</v>
      </c>
      <c r="D11" s="486"/>
    </row>
    <row r="12" spans="1:4" ht="25.5" customHeight="1"/>
    <row r="13" spans="1:4" ht="25.5" customHeight="1">
      <c r="A13" s="482" t="s">
        <v>670</v>
      </c>
    </row>
    <row r="14" spans="1:4" ht="25.5" customHeight="1">
      <c r="A14" s="484" t="s">
        <v>693</v>
      </c>
      <c r="B14" s="483" t="s">
        <v>0</v>
      </c>
      <c r="C14" s="485" t="s">
        <v>667</v>
      </c>
      <c r="D14" s="486" t="s">
        <v>801</v>
      </c>
    </row>
    <row r="15" spans="1:4" ht="25.5" customHeight="1">
      <c r="A15" s="484" t="s">
        <v>693</v>
      </c>
      <c r="B15" s="483" t="s">
        <v>26</v>
      </c>
      <c r="C15" s="485" t="s">
        <v>667</v>
      </c>
      <c r="D15" s="486"/>
    </row>
    <row r="16" spans="1:4" ht="25.5" customHeight="1">
      <c r="A16" s="484" t="s">
        <v>693</v>
      </c>
      <c r="B16" s="483" t="s">
        <v>5</v>
      </c>
      <c r="C16" s="485" t="s">
        <v>667</v>
      </c>
      <c r="D16" s="486" t="s">
        <v>217</v>
      </c>
    </row>
    <row r="17" spans="1:4" ht="25.5" customHeight="1">
      <c r="A17" s="484" t="s">
        <v>693</v>
      </c>
      <c r="B17" s="483" t="s">
        <v>67</v>
      </c>
      <c r="C17" s="485" t="s">
        <v>667</v>
      </c>
      <c r="D17" s="486" t="s">
        <v>793</v>
      </c>
    </row>
    <row r="18" spans="1:4" ht="25.5" customHeight="1"/>
    <row r="19" spans="1:4" ht="25.5" customHeight="1">
      <c r="A19" s="482" t="s">
        <v>669</v>
      </c>
    </row>
    <row r="20" spans="1:4" ht="25.5" customHeight="1">
      <c r="A20" s="484" t="s">
        <v>692</v>
      </c>
      <c r="B20" s="483" t="s">
        <v>0</v>
      </c>
      <c r="C20" s="485" t="s">
        <v>667</v>
      </c>
      <c r="D20" s="486"/>
    </row>
    <row r="21" spans="1:4" ht="25.5" customHeight="1">
      <c r="A21" s="484" t="s">
        <v>692</v>
      </c>
      <c r="B21" s="483" t="s">
        <v>22</v>
      </c>
      <c r="C21" s="485" t="s">
        <v>667</v>
      </c>
      <c r="D21" s="486"/>
    </row>
    <row r="22" spans="1:4" ht="25.5" customHeight="1">
      <c r="A22" s="484" t="s">
        <v>692</v>
      </c>
      <c r="B22" s="483" t="s">
        <v>8</v>
      </c>
      <c r="C22" s="485" t="s">
        <v>667</v>
      </c>
      <c r="D22" s="486"/>
    </row>
    <row r="23" spans="1:4" ht="25.5" customHeight="1">
      <c r="A23" s="484" t="s">
        <v>692</v>
      </c>
      <c r="B23" s="483" t="s">
        <v>890</v>
      </c>
      <c r="C23" s="485" t="s">
        <v>667</v>
      </c>
      <c r="D23" s="486" t="s">
        <v>895</v>
      </c>
    </row>
    <row r="24" spans="1:4" ht="25.5" customHeight="1">
      <c r="A24" s="484" t="s">
        <v>692</v>
      </c>
      <c r="B24" s="483" t="s">
        <v>7</v>
      </c>
      <c r="C24" s="485" t="s">
        <v>667</v>
      </c>
      <c r="D24" s="486"/>
    </row>
    <row r="25" spans="1:4" ht="25.5" customHeight="1">
      <c r="A25" s="484" t="s">
        <v>692</v>
      </c>
      <c r="B25" s="483" t="s">
        <v>628</v>
      </c>
      <c r="C25" s="485" t="s">
        <v>667</v>
      </c>
      <c r="D25" s="486"/>
    </row>
    <row r="26" spans="1:4" ht="25.5" customHeight="1">
      <c r="A26" s="484" t="s">
        <v>692</v>
      </c>
      <c r="B26" s="483" t="s">
        <v>6</v>
      </c>
      <c r="C26" s="485" t="s">
        <v>667</v>
      </c>
      <c r="D26" s="486"/>
    </row>
    <row r="27" spans="1:4" ht="25.5" customHeight="1">
      <c r="A27" s="484" t="s">
        <v>692</v>
      </c>
      <c r="B27" s="483" t="s">
        <v>618</v>
      </c>
      <c r="C27" s="485" t="s">
        <v>667</v>
      </c>
      <c r="D27" s="486" t="s">
        <v>105</v>
      </c>
    </row>
    <row r="28" spans="1:4" ht="25.5" customHeight="1">
      <c r="A28" s="484" t="s">
        <v>692</v>
      </c>
      <c r="B28" s="483" t="s">
        <v>661</v>
      </c>
      <c r="C28" s="485" t="s">
        <v>667</v>
      </c>
      <c r="D28" s="486"/>
    </row>
    <row r="29" spans="1:4" ht="25.5" customHeight="1">
      <c r="A29" s="484" t="s">
        <v>692</v>
      </c>
      <c r="B29" s="483" t="s">
        <v>37</v>
      </c>
      <c r="C29" s="485" t="s">
        <v>667</v>
      </c>
      <c r="D29" s="486" t="s">
        <v>626</v>
      </c>
    </row>
    <row r="30" spans="1:4" ht="25.5" customHeight="1">
      <c r="A30" s="484" t="s">
        <v>692</v>
      </c>
      <c r="B30" s="483" t="s">
        <v>980</v>
      </c>
      <c r="C30" s="485" t="s">
        <v>667</v>
      </c>
      <c r="D30" s="486"/>
    </row>
    <row r="31" spans="1:4" ht="25.5" customHeight="1">
      <c r="A31" s="484" t="s">
        <v>692</v>
      </c>
      <c r="B31" s="483" t="s">
        <v>620</v>
      </c>
      <c r="C31" s="485" t="s">
        <v>667</v>
      </c>
      <c r="D31" s="486" t="s">
        <v>623</v>
      </c>
    </row>
    <row r="32" spans="1:4" ht="25.5" customHeight="1"/>
    <row r="33" spans="1:4" ht="25.5" customHeight="1">
      <c r="A33" s="482" t="s">
        <v>671</v>
      </c>
    </row>
    <row r="34" spans="1:4" ht="25.5" customHeight="1">
      <c r="A34" s="484" t="s">
        <v>698</v>
      </c>
      <c r="B34" s="483" t="s">
        <v>0</v>
      </c>
      <c r="C34" s="485" t="s">
        <v>667</v>
      </c>
      <c r="D34" s="486"/>
    </row>
    <row r="35" spans="1:4" ht="25.5" customHeight="1">
      <c r="A35" s="484" t="s">
        <v>698</v>
      </c>
      <c r="B35" s="483" t="s">
        <v>13</v>
      </c>
      <c r="C35" s="485" t="s">
        <v>667</v>
      </c>
      <c r="D35" s="486"/>
    </row>
    <row r="36" spans="1:4" ht="25.5" customHeight="1">
      <c r="A36" s="484" t="s">
        <v>698</v>
      </c>
      <c r="B36" s="483" t="s">
        <v>655</v>
      </c>
      <c r="C36" s="485" t="s">
        <v>667</v>
      </c>
      <c r="D36" s="486"/>
    </row>
    <row r="37" spans="1:4" ht="25.5" customHeight="1"/>
    <row r="38" spans="1:4" ht="25.5" customHeight="1">
      <c r="A38" s="482" t="s">
        <v>1073</v>
      </c>
    </row>
    <row r="39" spans="1:4" ht="25.5" customHeight="1">
      <c r="A39" s="484" t="s">
        <v>690</v>
      </c>
      <c r="B39" s="483" t="s">
        <v>0</v>
      </c>
      <c r="C39" s="485" t="s">
        <v>667</v>
      </c>
      <c r="D39" s="486"/>
    </row>
    <row r="40" spans="1:4" ht="25.5" customHeight="1">
      <c r="A40" s="484" t="s">
        <v>690</v>
      </c>
      <c r="B40" s="483" t="s">
        <v>34</v>
      </c>
      <c r="C40" s="485" t="s">
        <v>667</v>
      </c>
      <c r="D40" s="486"/>
    </row>
    <row r="41" spans="1:4" ht="25.5" customHeight="1">
      <c r="A41" s="484" t="s">
        <v>690</v>
      </c>
      <c r="B41" s="483" t="s">
        <v>1</v>
      </c>
      <c r="C41" s="485" t="s">
        <v>667</v>
      </c>
      <c r="D41" s="486"/>
    </row>
    <row r="42" spans="1:4" ht="25.5" customHeight="1">
      <c r="A42" s="484" t="s">
        <v>690</v>
      </c>
      <c r="B42" s="483" t="s">
        <v>39</v>
      </c>
      <c r="C42" s="485" t="s">
        <v>667</v>
      </c>
      <c r="D42" s="486"/>
    </row>
    <row r="43" spans="1:4" ht="25.5" customHeight="1">
      <c r="A43" s="484" t="s">
        <v>690</v>
      </c>
      <c r="B43" s="483" t="s">
        <v>40</v>
      </c>
      <c r="C43" s="485" t="s">
        <v>667</v>
      </c>
      <c r="D43" s="486"/>
    </row>
    <row r="44" spans="1:4" ht="25.5" customHeight="1">
      <c r="A44" s="484" t="s">
        <v>690</v>
      </c>
      <c r="B44" s="483" t="s">
        <v>717</v>
      </c>
      <c r="C44" s="485" t="s">
        <v>667</v>
      </c>
      <c r="D44" s="486" t="s">
        <v>603</v>
      </c>
    </row>
    <row r="45" spans="1:4" ht="25.5" customHeight="1">
      <c r="A45" s="484" t="s">
        <v>690</v>
      </c>
      <c r="B45" s="483" t="s">
        <v>5</v>
      </c>
      <c r="C45" s="485" t="s">
        <v>667</v>
      </c>
      <c r="D45" s="486"/>
    </row>
    <row r="46" spans="1:4" ht="25.5" customHeight="1">
      <c r="A46" s="484" t="s">
        <v>690</v>
      </c>
      <c r="B46" s="483" t="s">
        <v>35</v>
      </c>
      <c r="C46" s="485" t="s">
        <v>667</v>
      </c>
      <c r="D46" s="486"/>
    </row>
    <row r="47" spans="1:4" ht="25.5" customHeight="1">
      <c r="A47" s="484" t="s">
        <v>690</v>
      </c>
      <c r="B47" s="483" t="s">
        <v>727</v>
      </c>
      <c r="C47" s="485" t="s">
        <v>667</v>
      </c>
      <c r="D47" s="486"/>
    </row>
    <row r="48" spans="1:4" ht="25.5" customHeight="1"/>
    <row r="49" spans="1:4" ht="25.5" customHeight="1">
      <c r="A49" s="482" t="s">
        <v>675</v>
      </c>
    </row>
    <row r="50" spans="1:4" ht="25.5" customHeight="1">
      <c r="A50" s="484" t="s">
        <v>694</v>
      </c>
      <c r="B50" s="483" t="s">
        <v>10</v>
      </c>
      <c r="C50" s="485" t="s">
        <v>667</v>
      </c>
      <c r="D50" s="486" t="s">
        <v>62</v>
      </c>
    </row>
    <row r="51" spans="1:4" ht="25.5" customHeight="1">
      <c r="A51" s="484" t="s">
        <v>694</v>
      </c>
      <c r="B51" s="483" t="s">
        <v>25</v>
      </c>
      <c r="C51" s="485" t="s">
        <v>667</v>
      </c>
      <c r="D51" s="486"/>
    </row>
    <row r="52" spans="1:4" ht="25.5" customHeight="1">
      <c r="A52" s="484" t="s">
        <v>694</v>
      </c>
      <c r="B52" s="483" t="s">
        <v>12</v>
      </c>
      <c r="C52" s="485" t="s">
        <v>667</v>
      </c>
      <c r="D52" s="486"/>
    </row>
    <row r="53" spans="1:4" ht="25.5" customHeight="1">
      <c r="A53" s="484" t="s">
        <v>694</v>
      </c>
      <c r="B53" s="483" t="s">
        <v>20</v>
      </c>
      <c r="C53" s="485" t="s">
        <v>667</v>
      </c>
      <c r="D53" s="486"/>
    </row>
    <row r="54" spans="1:4" ht="25.5" customHeight="1"/>
    <row r="55" spans="1:4" ht="25.5" customHeight="1">
      <c r="A55" s="482" t="s">
        <v>676</v>
      </c>
    </row>
    <row r="56" spans="1:4" ht="25.5" customHeight="1"/>
    <row r="57" spans="1:4" ht="25.5" customHeight="1">
      <c r="A57" s="482" t="s">
        <v>673</v>
      </c>
    </row>
    <row r="58" spans="1:4" ht="25.5" customHeight="1">
      <c r="A58" s="484" t="s">
        <v>696</v>
      </c>
      <c r="B58" s="483" t="s">
        <v>38</v>
      </c>
      <c r="C58" s="485" t="s">
        <v>667</v>
      </c>
      <c r="D58" s="486"/>
    </row>
    <row r="59" spans="1:4" ht="25.5" customHeight="1">
      <c r="A59" s="484" t="s">
        <v>696</v>
      </c>
      <c r="B59" s="483" t="s">
        <v>44</v>
      </c>
      <c r="C59" s="485" t="s">
        <v>667</v>
      </c>
      <c r="D59" s="486"/>
    </row>
    <row r="60" spans="1:4" ht="25.5" customHeight="1">
      <c r="A60" s="484" t="s">
        <v>696</v>
      </c>
      <c r="B60" s="483" t="s">
        <v>24</v>
      </c>
      <c r="C60" s="485" t="s">
        <v>667</v>
      </c>
      <c r="D60" s="486" t="s">
        <v>887</v>
      </c>
    </row>
    <row r="61" spans="1:4" ht="25.5" customHeight="1">
      <c r="A61" s="484" t="s">
        <v>696</v>
      </c>
      <c r="B61" s="483" t="s">
        <v>45</v>
      </c>
      <c r="C61" s="485" t="s">
        <v>667</v>
      </c>
      <c r="D61" s="486"/>
    </row>
    <row r="62" spans="1:4" ht="25.5" customHeight="1">
      <c r="A62" s="484" t="s">
        <v>696</v>
      </c>
      <c r="B62" s="483" t="s">
        <v>4</v>
      </c>
      <c r="C62" s="485" t="s">
        <v>667</v>
      </c>
      <c r="D62" s="486"/>
    </row>
    <row r="63" spans="1:4" ht="25.5" customHeight="1">
      <c r="A63" s="484" t="s">
        <v>696</v>
      </c>
      <c r="B63" s="483" t="s">
        <v>32</v>
      </c>
      <c r="C63" s="485" t="s">
        <v>667</v>
      </c>
      <c r="D63" s="486"/>
    </row>
    <row r="64" spans="1:4" ht="25.5" customHeight="1">
      <c r="A64" s="484" t="s">
        <v>696</v>
      </c>
      <c r="B64" s="483" t="s">
        <v>138</v>
      </c>
      <c r="C64" s="485" t="s">
        <v>667</v>
      </c>
      <c r="D64" s="486"/>
    </row>
    <row r="65" spans="1:4" ht="25.5" customHeight="1">
      <c r="A65" s="484" t="s">
        <v>696</v>
      </c>
      <c r="B65" s="483" t="s">
        <v>47</v>
      </c>
      <c r="C65" s="485" t="s">
        <v>667</v>
      </c>
      <c r="D65" s="486"/>
    </row>
    <row r="66" spans="1:4" ht="25.5" customHeight="1">
      <c r="A66" s="484" t="s">
        <v>696</v>
      </c>
      <c r="B66" s="483" t="s">
        <v>748</v>
      </c>
      <c r="C66" s="485" t="s">
        <v>667</v>
      </c>
      <c r="D66" s="486"/>
    </row>
    <row r="67" spans="1:4" ht="25.5" customHeight="1"/>
    <row r="68" spans="1:4" ht="25.5" customHeight="1">
      <c r="A68" s="482" t="s">
        <v>674</v>
      </c>
    </row>
    <row r="69" spans="1:4" ht="25.5" customHeight="1">
      <c r="A69" s="484" t="s">
        <v>691</v>
      </c>
      <c r="B69" s="483" t="s">
        <v>685</v>
      </c>
      <c r="C69" s="485" t="s">
        <v>667</v>
      </c>
      <c r="D69" s="486"/>
    </row>
    <row r="70" spans="1:4" ht="25.5" customHeight="1">
      <c r="A70" s="484" t="s">
        <v>691</v>
      </c>
      <c r="B70" s="483" t="s">
        <v>3</v>
      </c>
      <c r="C70" s="485" t="s">
        <v>667</v>
      </c>
      <c r="D70" s="486"/>
    </row>
    <row r="71" spans="1:4" ht="25.5" customHeight="1">
      <c r="A71" s="484" t="s">
        <v>691</v>
      </c>
      <c r="B71" s="483" t="s">
        <v>902</v>
      </c>
      <c r="C71" s="485" t="s">
        <v>667</v>
      </c>
      <c r="D71" s="486" t="s">
        <v>908</v>
      </c>
    </row>
    <row r="72" spans="1:4" ht="25.5" customHeight="1">
      <c r="A72" s="484" t="s">
        <v>691</v>
      </c>
      <c r="B72" s="483" t="s">
        <v>41</v>
      </c>
      <c r="C72" s="485" t="s">
        <v>667</v>
      </c>
      <c r="D72" s="486"/>
    </row>
    <row r="73" spans="1:4" ht="25.5" customHeight="1">
      <c r="A73" s="484" t="s">
        <v>691</v>
      </c>
      <c r="B73" s="483" t="s">
        <v>21</v>
      </c>
      <c r="C73" s="485" t="s">
        <v>667</v>
      </c>
      <c r="D73" s="486" t="s">
        <v>863</v>
      </c>
    </row>
    <row r="74" spans="1:4" ht="25.5" customHeight="1">
      <c r="A74" s="484" t="s">
        <v>691</v>
      </c>
      <c r="B74" s="483" t="s">
        <v>700</v>
      </c>
      <c r="C74" s="485" t="s">
        <v>667</v>
      </c>
      <c r="D74" s="486"/>
    </row>
    <row r="75" spans="1:4" ht="25.5" customHeight="1"/>
    <row r="76" spans="1:4" ht="25.5" customHeight="1">
      <c r="A76" s="482" t="s">
        <v>677</v>
      </c>
    </row>
    <row r="77" spans="1:4" ht="25.5" customHeight="1">
      <c r="A77" s="484" t="s">
        <v>697</v>
      </c>
      <c r="B77" s="483" t="s">
        <v>19</v>
      </c>
      <c r="C77" s="485" t="s">
        <v>667</v>
      </c>
      <c r="D77" s="486" t="s">
        <v>141</v>
      </c>
    </row>
    <row r="78" spans="1:4" ht="25.5" customHeight="1">
      <c r="A78" s="484" t="s">
        <v>697</v>
      </c>
      <c r="B78" s="483" t="s">
        <v>18</v>
      </c>
      <c r="C78" s="485" t="s">
        <v>667</v>
      </c>
      <c r="D78" s="486"/>
    </row>
    <row r="79" spans="1:4" ht="25.5" customHeight="1">
      <c r="A79" s="484" t="s">
        <v>697</v>
      </c>
      <c r="B79" s="483" t="s">
        <v>17</v>
      </c>
      <c r="C79" s="485" t="s">
        <v>667</v>
      </c>
      <c r="D79" s="486"/>
    </row>
  </sheetData>
  <hyperlinks>
    <hyperlink ref="C4" r:id="rId1" location="fpstate=ive&amp;vld=cid:b55a173d,vid:xNx16-QIJ_A,st:3" xr:uid="{2DBA3AD0-8E02-4939-A37F-9B3A56C6BBCE}"/>
    <hyperlink ref="C5" r:id="rId2" location="fpstate=ive&amp;vld=cid:b55a173d,vid:xNx16-QIJ_A,st:0" xr:uid="{E41AD291-45CE-4F8B-9FDE-DFD3FBF47ABD}"/>
    <hyperlink ref="C6" r:id="rId3" xr:uid="{066A0D12-E38C-45C6-8190-A6D4DDF8476A}"/>
    <hyperlink ref="C7" r:id="rId4" xr:uid="{CBF40F8B-F1F6-46BC-9602-D2C2EEB4D427}"/>
    <hyperlink ref="C8" r:id="rId5" xr:uid="{B06A3A32-E737-4064-BACD-0E0F77D36053}"/>
    <hyperlink ref="C9" r:id="rId6" xr:uid="{F2EED981-03D2-42E9-8FA4-E241D784B2D5}"/>
    <hyperlink ref="C10" r:id="rId7" xr:uid="{7895487A-0750-4AF4-B716-53D2D91B292E}"/>
    <hyperlink ref="C11" r:id="rId8" xr:uid="{B3F911FE-0999-4074-9E98-2CF376E968FE}"/>
    <hyperlink ref="C14" r:id="rId9" xr:uid="{FC554712-D701-42EC-AAE6-C5FB1E9FF07F}"/>
    <hyperlink ref="C15" r:id="rId10" xr:uid="{2AA0C6C1-77AB-4E4F-B3F5-FFB00C2603EF}"/>
    <hyperlink ref="C16" r:id="rId11" xr:uid="{71A5246A-1452-4624-84DA-933995E810B1}"/>
    <hyperlink ref="C17" r:id="rId12" xr:uid="{D2748A30-EB44-4760-9B04-6698BB48C59D}"/>
    <hyperlink ref="C20" r:id="rId13" xr:uid="{FF5DF7F8-9EA6-42C3-B536-46C5E7082DFF}"/>
    <hyperlink ref="C21" r:id="rId14" xr:uid="{040D007F-3A24-4241-8671-C33884EC708C}"/>
    <hyperlink ref="C22" r:id="rId15" xr:uid="{E3A96730-6FDD-4BB7-B10C-0FD7FA021596}"/>
    <hyperlink ref="C23" r:id="rId16" xr:uid="{5B8CEF15-3AB8-4C6F-861B-BAE9A26E1654}"/>
    <hyperlink ref="C24" r:id="rId17" xr:uid="{844EF212-D849-4E07-AF0C-B8FDC0D86B32}"/>
    <hyperlink ref="C25" r:id="rId18" xr:uid="{C49DD543-FEB1-4183-87EF-EFDC814554C3}"/>
    <hyperlink ref="C26" r:id="rId19" xr:uid="{CD683F6B-6208-4594-BD2C-0FE22BC35BA0}"/>
    <hyperlink ref="C27" display="Zum Video" xr:uid="{EE3F9ED3-76A0-4D5A-9B13-CF445985AED2}"/>
    <hyperlink ref="C28" r:id="rId20" xr:uid="{AEAFDC2B-AFE7-4FC0-A19C-2E7D60D0175F}"/>
    <hyperlink ref="C29" r:id="rId21" xr:uid="{078F621C-478E-490A-B6FF-2746B0E56B4F}"/>
    <hyperlink ref="C30" r:id="rId22" xr:uid="{62094A0A-DE1D-4C77-B050-27E9E94E9FD9}"/>
    <hyperlink ref="C31" r:id="rId23" xr:uid="{AF39BD28-EAAD-4EE8-B8DE-3EE9298216DE}"/>
    <hyperlink ref="C34" r:id="rId24" xr:uid="{7ED32A44-1E8D-4C34-8CAB-AFBC6B0C7AF9}"/>
    <hyperlink ref="C35" r:id="rId25" xr:uid="{6E7BE9EB-965C-43A7-BA1E-F93BBFBAC4CF}"/>
    <hyperlink ref="C36" display="Zum Video" xr:uid="{82DDFF1E-33BB-4B40-BA7A-A7234009FED6}"/>
    <hyperlink ref="C39" r:id="rId26" xr:uid="{0935CB84-65D7-434D-9305-A10840EEB46C}"/>
    <hyperlink ref="C40" r:id="rId27" xr:uid="{AD77EDFF-9709-495E-B6B6-DBED1CAC4394}"/>
    <hyperlink ref="C41" r:id="rId28" xr:uid="{0E7B4F61-13D1-4502-9AEF-01322F530350}"/>
    <hyperlink ref="C42" r:id="rId29" xr:uid="{33625BA4-6312-42FA-B693-DC189B9ED41B}"/>
    <hyperlink ref="C43" r:id="rId30" xr:uid="{2E846ABE-8EE0-49B8-B92F-02468D49667A}"/>
    <hyperlink ref="C44" r:id="rId31" xr:uid="{0C243042-3C31-4BB4-B52E-77EFAF7EC696}"/>
    <hyperlink ref="C45" r:id="rId32" xr:uid="{839DCD63-FF56-4288-9103-5B0CDF846555}"/>
    <hyperlink ref="C46" r:id="rId33" xr:uid="{B57632CF-001B-4AFD-94A0-925106C478B9}"/>
    <hyperlink ref="C47" r:id="rId34" xr:uid="{0DDA9D64-8D21-4B43-B48E-302B4CCD2AC0}"/>
    <hyperlink ref="C50" r:id="rId35" xr:uid="{90DCE1AE-480F-4133-8863-B766DE7B6A01}"/>
    <hyperlink ref="C51" r:id="rId36" xr:uid="{52418678-F32A-438D-A900-EA5D58722504}"/>
    <hyperlink ref="C52" r:id="rId37" xr:uid="{DCCDE037-482F-48AB-B69E-4205A407FFC1}"/>
    <hyperlink ref="C53" r:id="rId38" xr:uid="{94212FD1-3C0B-4EDA-B7E3-BB6F9C6442A2}"/>
    <hyperlink ref="C58" r:id="rId39" xr:uid="{BBD68A9F-1B6D-4BEE-861C-6321555699CD}"/>
    <hyperlink ref="C59" r:id="rId40" xr:uid="{F7298349-C0D9-40F0-8EF3-86B561441496}"/>
    <hyperlink ref="C60" r:id="rId41" xr:uid="{079237AA-E81E-445B-A76B-DC49835EE206}"/>
    <hyperlink ref="C61" r:id="rId42" xr:uid="{3E99C5C4-3FD5-4E2E-9EED-343199B300C9}"/>
    <hyperlink ref="C62" r:id="rId43" xr:uid="{391F9D0E-BADF-4A7B-A77D-86DEEC8A33B3}"/>
    <hyperlink ref="C63" r:id="rId44" xr:uid="{66C80060-2B1E-47BA-931A-4BC77CF15D75}"/>
    <hyperlink ref="C64" r:id="rId45" xr:uid="{6BD32C60-BE15-49EA-A606-BB7E43AE208D}"/>
    <hyperlink ref="C65" display="Zum Video" xr:uid="{1CA4D2C6-3D0B-4441-B40E-F55BC8027363}"/>
    <hyperlink ref="C66" display="Zum Video" xr:uid="{14FA1459-0EC7-4CDB-9CA9-71F221857EF5}"/>
    <hyperlink ref="C69" r:id="rId46" xr:uid="{3EAB2A09-69C8-4ABA-A2F3-728A44E630EB}"/>
    <hyperlink ref="C70" r:id="rId47" xr:uid="{B6F3D6E3-586D-407C-A96B-0878F108E72C}"/>
    <hyperlink ref="C71" r:id="rId48" xr:uid="{96FA5011-EA9B-4604-94CF-D13D01266D7C}"/>
    <hyperlink ref="C72" r:id="rId49" xr:uid="{21F713E5-A81C-416B-9ECF-FF41CFDEA381}"/>
    <hyperlink ref="C73" r:id="rId50" xr:uid="{6D8D533F-6ADF-425F-AF47-A9EC40C72EFB}"/>
    <hyperlink ref="C74" r:id="rId51" xr:uid="{4FB7E5FD-A8F1-4887-A6E0-5FBD903634CD}"/>
    <hyperlink ref="C77" r:id="rId52" xr:uid="{41A97242-C2FF-4A74-BA05-FB6AA55EAF0B}"/>
    <hyperlink ref="C78" r:id="rId53" xr:uid="{05733234-4E4C-4809-8F9F-D3E55A10D6F0}"/>
    <hyperlink ref="C79" r:id="rId54" xr:uid="{2E8F50C7-2B11-48B7-8C11-04B3C0DA32CB}"/>
  </hyperlinks>
  <pageMargins left="0.39370078740157477" right="0.39370078740157477" top="0.78740157480314954" bottom="0.78740157480314954" header="0.3" footer="0.3"/>
  <pageSetup paperSize="9" orientation="portrait" horizontalDpi="0" verticalDpi="0" r:id="rId5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3CA0-8D8D-48A4-9DAE-97783006917C}">
  <sheetPr codeName="Tabelle26">
    <pageSetUpPr fitToPage="1"/>
  </sheetPr>
  <dimension ref="A1:D318"/>
  <sheetViews>
    <sheetView zoomScaleNormal="100" zoomScaleSheetLayoutView="112" workbookViewId="0">
      <selection activeCell="C9" sqref="C9"/>
    </sheetView>
  </sheetViews>
  <sheetFormatPr baseColWidth="10" defaultColWidth="11.44140625" defaultRowHeight="24.9" customHeight="1"/>
  <cols>
    <col min="1" max="1" width="4.6640625" style="261" customWidth="1"/>
    <col min="2" max="2" width="30.6640625" style="262" customWidth="1"/>
    <col min="3" max="3" width="12.6640625" style="262" customWidth="1"/>
    <col min="4" max="5" width="40.6640625" style="262" customWidth="1"/>
    <col min="6" max="6" width="4.6640625" style="262" customWidth="1"/>
    <col min="7" max="7" width="30.6640625" style="262" customWidth="1"/>
    <col min="8" max="8" width="12.6640625" style="262" customWidth="1"/>
    <col min="9" max="9" width="40.6640625" style="262" customWidth="1"/>
    <col min="10" max="16384" width="11.44140625" style="262"/>
  </cols>
  <sheetData>
    <row r="1" spans="1:4" s="299" customFormat="1" ht="20.399999999999999">
      <c r="A1" s="298" t="s">
        <v>699</v>
      </c>
      <c r="D1" s="298" t="s">
        <v>888</v>
      </c>
    </row>
    <row r="2" spans="1:4" s="299" customFormat="1" ht="19.95" customHeight="1">
      <c r="A2" s="300"/>
    </row>
    <row r="3" spans="1:4" s="299" customFormat="1" ht="30" customHeight="1">
      <c r="A3" s="296" t="s">
        <v>668</v>
      </c>
    </row>
    <row r="4" spans="1:4" ht="25.2" customHeight="1">
      <c r="A4" s="265" t="s">
        <v>695</v>
      </c>
      <c r="B4" s="264" t="s">
        <v>66</v>
      </c>
      <c r="C4" s="263" t="s">
        <v>667</v>
      </c>
      <c r="D4" s="264"/>
    </row>
    <row r="5" spans="1:4" ht="25.2" customHeight="1">
      <c r="A5" s="265" t="s">
        <v>695</v>
      </c>
      <c r="B5" s="264"/>
      <c r="C5" s="263" t="s">
        <v>667</v>
      </c>
      <c r="D5" s="264"/>
    </row>
    <row r="6" spans="1:4" ht="25.2" customHeight="1">
      <c r="A6" s="265" t="s">
        <v>695</v>
      </c>
      <c r="B6" s="264" t="s">
        <v>11</v>
      </c>
      <c r="C6" s="263" t="s">
        <v>667</v>
      </c>
      <c r="D6" s="264"/>
    </row>
    <row r="7" spans="1:4" ht="25.2" customHeight="1">
      <c r="A7" s="265" t="s">
        <v>695</v>
      </c>
      <c r="B7" s="264" t="s">
        <v>7</v>
      </c>
      <c r="C7" s="263" t="s">
        <v>667</v>
      </c>
      <c r="D7" s="264"/>
    </row>
    <row r="8" spans="1:4" s="299" customFormat="1" ht="25.2" customHeight="1">
      <c r="A8" s="265" t="s">
        <v>695</v>
      </c>
      <c r="B8" s="264" t="s">
        <v>31</v>
      </c>
      <c r="C8" s="263" t="s">
        <v>667</v>
      </c>
      <c r="D8" s="264" t="s">
        <v>580</v>
      </c>
    </row>
    <row r="9" spans="1:4" s="299" customFormat="1" ht="25.2" customHeight="1">
      <c r="A9" s="289" t="s">
        <v>695</v>
      </c>
      <c r="B9" s="264" t="s">
        <v>89</v>
      </c>
      <c r="C9" s="481" t="s">
        <v>667</v>
      </c>
      <c r="D9" s="264"/>
    </row>
    <row r="10" spans="1:4" ht="25.2" customHeight="1">
      <c r="A10" s="265" t="s">
        <v>695</v>
      </c>
      <c r="B10" s="264" t="s">
        <v>42</v>
      </c>
      <c r="C10" s="263" t="s">
        <v>667</v>
      </c>
      <c r="D10" s="264"/>
    </row>
    <row r="11" spans="1:4" ht="25.2" customHeight="1">
      <c r="A11" s="265" t="s">
        <v>695</v>
      </c>
      <c r="B11" s="264" t="s">
        <v>210</v>
      </c>
      <c r="C11" s="263" t="s">
        <v>667</v>
      </c>
      <c r="D11" s="264" t="s">
        <v>629</v>
      </c>
    </row>
    <row r="12" spans="1:4" ht="25.2" customHeight="1">
      <c r="A12" s="265" t="s">
        <v>695</v>
      </c>
      <c r="B12" s="264" t="s">
        <v>30</v>
      </c>
      <c r="C12" s="263" t="s">
        <v>667</v>
      </c>
      <c r="D12" s="264"/>
    </row>
    <row r="13" spans="1:4" s="299" customFormat="1" ht="25.2" customHeight="1">
      <c r="A13" s="303"/>
      <c r="B13" s="301"/>
      <c r="C13" s="302"/>
      <c r="D13" s="301"/>
    </row>
    <row r="14" spans="1:4" s="299" customFormat="1" ht="30" customHeight="1">
      <c r="A14" s="297" t="s">
        <v>669</v>
      </c>
      <c r="B14" s="301"/>
      <c r="C14" s="302"/>
      <c r="D14" s="301"/>
    </row>
    <row r="15" spans="1:4" ht="25.2" customHeight="1">
      <c r="A15" s="265" t="s">
        <v>692</v>
      </c>
      <c r="B15" s="264" t="s">
        <v>0</v>
      </c>
      <c r="C15" s="263" t="s">
        <v>667</v>
      </c>
      <c r="D15" s="264" t="s">
        <v>29</v>
      </c>
    </row>
    <row r="16" spans="1:4" s="299" customFormat="1" ht="25.2" customHeight="1">
      <c r="A16" s="265" t="s">
        <v>692</v>
      </c>
      <c r="B16" s="264" t="s">
        <v>22</v>
      </c>
      <c r="C16" s="263" t="s">
        <v>667</v>
      </c>
      <c r="D16" s="264" t="s">
        <v>9</v>
      </c>
    </row>
    <row r="17" spans="1:4" s="299" customFormat="1" ht="25.2" customHeight="1">
      <c r="A17" s="289" t="s">
        <v>692</v>
      </c>
      <c r="B17" s="264" t="s">
        <v>8</v>
      </c>
      <c r="C17" s="263" t="s">
        <v>667</v>
      </c>
      <c r="D17" s="264"/>
    </row>
    <row r="18" spans="1:4" ht="25.2" customHeight="1">
      <c r="A18" s="265" t="s">
        <v>692</v>
      </c>
      <c r="B18" s="264" t="s">
        <v>890</v>
      </c>
      <c r="C18" s="263" t="s">
        <v>720</v>
      </c>
      <c r="D18" s="264"/>
    </row>
    <row r="19" spans="1:4" s="299" customFormat="1" ht="25.2" customHeight="1">
      <c r="A19" s="265" t="s">
        <v>692</v>
      </c>
      <c r="B19" s="264"/>
      <c r="C19" s="263" t="s">
        <v>720</v>
      </c>
      <c r="D19" s="264" t="s">
        <v>893</v>
      </c>
    </row>
    <row r="20" spans="1:4" s="299" customFormat="1" ht="30" customHeight="1">
      <c r="A20" s="289" t="s">
        <v>692</v>
      </c>
      <c r="B20" s="264"/>
      <c r="C20" s="263" t="s">
        <v>720</v>
      </c>
      <c r="D20" s="264" t="s">
        <v>895</v>
      </c>
    </row>
    <row r="21" spans="1:4" s="299" customFormat="1" ht="25.2" customHeight="1">
      <c r="A21" s="289" t="s">
        <v>692</v>
      </c>
      <c r="B21" s="264" t="s">
        <v>7</v>
      </c>
      <c r="C21" s="263" t="s">
        <v>667</v>
      </c>
      <c r="D21" s="264"/>
    </row>
    <row r="22" spans="1:4" s="299" customFormat="1" ht="25.2" customHeight="1">
      <c r="A22" s="289" t="s">
        <v>692</v>
      </c>
      <c r="B22" s="264" t="s">
        <v>628</v>
      </c>
      <c r="C22" s="263" t="s">
        <v>667</v>
      </c>
      <c r="D22" s="264"/>
    </row>
    <row r="23" spans="1:4" s="299" customFormat="1" ht="25.2" customHeight="1">
      <c r="A23" s="289" t="s">
        <v>692</v>
      </c>
      <c r="B23" s="264" t="s">
        <v>6</v>
      </c>
      <c r="C23" s="263" t="s">
        <v>667</v>
      </c>
      <c r="D23" s="264"/>
    </row>
    <row r="24" spans="1:4" s="299" customFormat="1" ht="25.2" customHeight="1">
      <c r="A24" s="289" t="s">
        <v>692</v>
      </c>
      <c r="B24" s="264" t="s">
        <v>618</v>
      </c>
      <c r="C24" s="263" t="s">
        <v>667</v>
      </c>
      <c r="D24" s="264" t="s">
        <v>619</v>
      </c>
    </row>
    <row r="25" spans="1:4" s="299" customFormat="1" ht="25.2" customHeight="1">
      <c r="A25" s="289" t="s">
        <v>692</v>
      </c>
      <c r="B25" s="264" t="s">
        <v>661</v>
      </c>
      <c r="C25" s="263" t="s">
        <v>667</v>
      </c>
      <c r="D25" s="264" t="s">
        <v>16</v>
      </c>
    </row>
    <row r="26" spans="1:4" s="299" customFormat="1" ht="25.2" customHeight="1">
      <c r="A26" s="265" t="s">
        <v>692</v>
      </c>
      <c r="B26" s="264"/>
      <c r="C26" s="263" t="s">
        <v>667</v>
      </c>
      <c r="D26" s="264" t="s">
        <v>666</v>
      </c>
    </row>
    <row r="27" spans="1:4" s="299" customFormat="1" ht="30" customHeight="1">
      <c r="A27" s="289" t="s">
        <v>692</v>
      </c>
      <c r="B27" s="264"/>
      <c r="C27" s="263" t="s">
        <v>667</v>
      </c>
      <c r="D27" s="264"/>
    </row>
    <row r="28" spans="1:4" ht="25.2" customHeight="1">
      <c r="A28" s="265" t="s">
        <v>692</v>
      </c>
      <c r="B28" s="264" t="s">
        <v>37</v>
      </c>
      <c r="C28" s="263" t="s">
        <v>667</v>
      </c>
      <c r="D28" s="264"/>
    </row>
    <row r="29" spans="1:4" s="299" customFormat="1" ht="25.2" customHeight="1">
      <c r="A29" s="265" t="s">
        <v>692</v>
      </c>
      <c r="B29" s="264"/>
      <c r="C29" s="263" t="s">
        <v>667</v>
      </c>
      <c r="D29" s="264" t="s">
        <v>626</v>
      </c>
    </row>
    <row r="30" spans="1:4" s="299" customFormat="1" ht="25.2" customHeight="1">
      <c r="A30" s="289" t="s">
        <v>692</v>
      </c>
      <c r="B30" s="264" t="s">
        <v>620</v>
      </c>
      <c r="C30" s="263" t="s">
        <v>667</v>
      </c>
      <c r="D30" s="264"/>
    </row>
    <row r="31" spans="1:4" s="299" customFormat="1" ht="25.2" customHeight="1">
      <c r="A31" s="265" t="s">
        <v>692</v>
      </c>
      <c r="B31" s="264"/>
      <c r="C31" s="263" t="s">
        <v>667</v>
      </c>
      <c r="D31" s="264" t="s">
        <v>623</v>
      </c>
    </row>
    <row r="32" spans="1:4" s="299" customFormat="1" ht="25.2" customHeight="1">
      <c r="A32" s="410"/>
      <c r="B32" s="301"/>
      <c r="C32" s="302"/>
      <c r="D32" s="301"/>
    </row>
    <row r="33" spans="1:4" s="299" customFormat="1" ht="30" customHeight="1">
      <c r="A33" s="297" t="s">
        <v>670</v>
      </c>
      <c r="B33" s="301"/>
      <c r="C33" s="302"/>
      <c r="D33" s="301"/>
    </row>
    <row r="34" spans="1:4" ht="25.2" customHeight="1">
      <c r="A34" s="265" t="s">
        <v>693</v>
      </c>
      <c r="B34" s="264" t="s">
        <v>0</v>
      </c>
      <c r="C34" s="263" t="s">
        <v>667</v>
      </c>
      <c r="D34" s="264"/>
    </row>
    <row r="35" spans="1:4" s="299" customFormat="1" ht="25.2" customHeight="1">
      <c r="A35" s="265" t="s">
        <v>693</v>
      </c>
      <c r="B35" s="264"/>
      <c r="C35" s="263" t="s">
        <v>720</v>
      </c>
      <c r="D35" s="264"/>
    </row>
    <row r="36" spans="1:4" s="299" customFormat="1" ht="25.2" customHeight="1">
      <c r="A36" s="289" t="s">
        <v>693</v>
      </c>
      <c r="B36" s="264" t="s">
        <v>26</v>
      </c>
      <c r="C36" s="263" t="s">
        <v>667</v>
      </c>
      <c r="D36" s="264"/>
    </row>
    <row r="37" spans="1:4" s="299" customFormat="1" ht="25.2" customHeight="1">
      <c r="A37" s="265" t="s">
        <v>693</v>
      </c>
      <c r="B37" s="264" t="s">
        <v>5</v>
      </c>
      <c r="C37" s="263" t="s">
        <v>667</v>
      </c>
      <c r="D37" s="264"/>
    </row>
    <row r="38" spans="1:4" s="299" customFormat="1" ht="25.2" customHeight="1">
      <c r="A38" s="289" t="s">
        <v>693</v>
      </c>
      <c r="B38" s="264"/>
      <c r="C38" s="263" t="s">
        <v>667</v>
      </c>
      <c r="D38" s="264" t="s">
        <v>214</v>
      </c>
    </row>
    <row r="39" spans="1:4" s="299" customFormat="1" ht="25.2" customHeight="1">
      <c r="A39" s="289" t="s">
        <v>693</v>
      </c>
      <c r="B39" s="264"/>
      <c r="C39" s="263" t="s">
        <v>667</v>
      </c>
      <c r="D39" s="264" t="s">
        <v>215</v>
      </c>
    </row>
    <row r="40" spans="1:4" s="299" customFormat="1" ht="25.2" customHeight="1">
      <c r="A40" s="265" t="s">
        <v>693</v>
      </c>
      <c r="B40" s="264"/>
      <c r="C40" s="263" t="s">
        <v>667</v>
      </c>
      <c r="D40" s="264" t="s">
        <v>217</v>
      </c>
    </row>
    <row r="41" spans="1:4" s="299" customFormat="1" ht="25.2" customHeight="1">
      <c r="A41" s="289" t="s">
        <v>693</v>
      </c>
      <c r="B41" s="264" t="s">
        <v>67</v>
      </c>
      <c r="C41" s="263" t="s">
        <v>667</v>
      </c>
      <c r="D41" s="264"/>
    </row>
    <row r="42" spans="1:4" s="299" customFormat="1" ht="13.8">
      <c r="A42" s="265" t="s">
        <v>693</v>
      </c>
      <c r="B42" s="264"/>
      <c r="C42" s="263" t="s">
        <v>667</v>
      </c>
      <c r="D42" s="264" t="s">
        <v>793</v>
      </c>
    </row>
    <row r="43" spans="1:4" s="299" customFormat="1" ht="25.2" customHeight="1">
      <c r="A43" s="410"/>
      <c r="B43" s="301"/>
      <c r="C43" s="302"/>
      <c r="D43" s="301"/>
    </row>
    <row r="44" spans="1:4" s="299" customFormat="1" ht="30" customHeight="1">
      <c r="A44" s="297" t="s">
        <v>671</v>
      </c>
      <c r="B44" s="301"/>
      <c r="C44" s="302"/>
      <c r="D44" s="301"/>
    </row>
    <row r="45" spans="1:4" s="299" customFormat="1" ht="25.2" customHeight="1">
      <c r="A45" s="265" t="s">
        <v>698</v>
      </c>
      <c r="B45" s="264" t="s">
        <v>0</v>
      </c>
      <c r="C45" s="263" t="s">
        <v>667</v>
      </c>
      <c r="D45" s="264"/>
    </row>
    <row r="46" spans="1:4" s="299" customFormat="1" ht="25.2" customHeight="1">
      <c r="A46" s="289" t="s">
        <v>698</v>
      </c>
      <c r="B46" s="264" t="s">
        <v>13</v>
      </c>
      <c r="C46" s="263" t="s">
        <v>667</v>
      </c>
      <c r="D46" s="264"/>
    </row>
    <row r="47" spans="1:4" s="299" customFormat="1" ht="25.2" customHeight="1">
      <c r="A47" s="265" t="s">
        <v>698</v>
      </c>
      <c r="B47" s="264" t="s">
        <v>655</v>
      </c>
      <c r="C47" s="263" t="s">
        <v>720</v>
      </c>
      <c r="D47" s="264" t="s">
        <v>656</v>
      </c>
    </row>
    <row r="48" spans="1:4" s="299" customFormat="1" ht="25.2" customHeight="1">
      <c r="A48" s="410"/>
      <c r="B48" s="301"/>
      <c r="C48" s="302"/>
      <c r="D48" s="301"/>
    </row>
    <row r="49" spans="1:4" s="299" customFormat="1" ht="30" customHeight="1">
      <c r="A49" s="297" t="s">
        <v>672</v>
      </c>
      <c r="B49" s="301"/>
      <c r="C49" s="302"/>
      <c r="D49" s="301"/>
    </row>
    <row r="50" spans="1:4" s="299" customFormat="1" ht="25.2" customHeight="1">
      <c r="A50" s="289" t="s">
        <v>690</v>
      </c>
      <c r="B50" s="264" t="s">
        <v>0</v>
      </c>
      <c r="C50" s="263" t="s">
        <v>667</v>
      </c>
      <c r="D50" s="264" t="s">
        <v>33</v>
      </c>
    </row>
    <row r="51" spans="1:4" s="299" customFormat="1" ht="25.2" customHeight="1">
      <c r="A51" s="289" t="s">
        <v>690</v>
      </c>
      <c r="B51" s="264" t="s">
        <v>34</v>
      </c>
      <c r="C51" s="263" t="s">
        <v>667</v>
      </c>
      <c r="D51" s="264"/>
    </row>
    <row r="52" spans="1:4" s="299" customFormat="1" ht="25.2" customHeight="1">
      <c r="A52" s="265" t="s">
        <v>690</v>
      </c>
      <c r="B52" s="264" t="s">
        <v>1</v>
      </c>
      <c r="C52" s="263" t="s">
        <v>667</v>
      </c>
      <c r="D52" s="264"/>
    </row>
    <row r="53" spans="1:4" s="299" customFormat="1" ht="25.2" customHeight="1">
      <c r="A53" s="289" t="s">
        <v>690</v>
      </c>
      <c r="B53" s="264" t="s">
        <v>39</v>
      </c>
      <c r="C53" s="263" t="s">
        <v>667</v>
      </c>
      <c r="D53" s="264"/>
    </row>
    <row r="54" spans="1:4" s="299" customFormat="1" ht="25.2" customHeight="1">
      <c r="A54" s="289" t="s">
        <v>690</v>
      </c>
      <c r="B54" s="264" t="s">
        <v>40</v>
      </c>
      <c r="C54" s="263" t="s">
        <v>667</v>
      </c>
      <c r="D54" s="264"/>
    </row>
    <row r="55" spans="1:4" s="299" customFormat="1" ht="27.6">
      <c r="A55" s="265" t="s">
        <v>690</v>
      </c>
      <c r="B55" s="264" t="s">
        <v>717</v>
      </c>
      <c r="C55" s="263" t="s">
        <v>667</v>
      </c>
      <c r="D55" s="264" t="s">
        <v>598</v>
      </c>
    </row>
    <row r="56" spans="1:4" s="299" customFormat="1" ht="30" customHeight="1">
      <c r="A56" s="289" t="s">
        <v>690</v>
      </c>
      <c r="B56" s="264"/>
      <c r="C56" s="263" t="s">
        <v>667</v>
      </c>
      <c r="D56" s="264" t="s">
        <v>599</v>
      </c>
    </row>
    <row r="57" spans="1:4" s="299" customFormat="1" ht="25.2" customHeight="1">
      <c r="A57" s="265" t="s">
        <v>690</v>
      </c>
      <c r="B57" s="264"/>
      <c r="C57" s="263" t="s">
        <v>667</v>
      </c>
      <c r="D57" s="264" t="s">
        <v>718</v>
      </c>
    </row>
    <row r="58" spans="1:4" s="299" customFormat="1" ht="25.2" customHeight="1">
      <c r="A58" s="289" t="s">
        <v>690</v>
      </c>
      <c r="B58" s="264"/>
      <c r="C58" s="263" t="s">
        <v>667</v>
      </c>
      <c r="D58" s="264" t="s">
        <v>600</v>
      </c>
    </row>
    <row r="59" spans="1:4" s="299" customFormat="1" ht="25.2" customHeight="1">
      <c r="A59" s="289" t="s">
        <v>690</v>
      </c>
      <c r="B59" s="264"/>
      <c r="C59" s="263" t="s">
        <v>667</v>
      </c>
      <c r="D59" s="264" t="s">
        <v>603</v>
      </c>
    </row>
    <row r="60" spans="1:4" s="299" customFormat="1" ht="25.2" customHeight="1">
      <c r="A60" s="265" t="s">
        <v>690</v>
      </c>
      <c r="B60" s="264" t="s">
        <v>5</v>
      </c>
      <c r="C60" s="263" t="s">
        <v>667</v>
      </c>
      <c r="D60" s="264" t="s">
        <v>36</v>
      </c>
    </row>
    <row r="61" spans="1:4" s="299" customFormat="1" ht="25.2" customHeight="1">
      <c r="A61" s="289" t="s">
        <v>690</v>
      </c>
      <c r="B61" s="264" t="s">
        <v>35</v>
      </c>
      <c r="C61" s="263" t="s">
        <v>667</v>
      </c>
      <c r="D61" s="264"/>
    </row>
    <row r="62" spans="1:4" ht="25.2" customHeight="1">
      <c r="A62" s="265" t="s">
        <v>690</v>
      </c>
      <c r="B62" s="264" t="s">
        <v>727</v>
      </c>
      <c r="C62" s="263" t="s">
        <v>720</v>
      </c>
      <c r="D62" s="264" t="s">
        <v>725</v>
      </c>
    </row>
    <row r="63" spans="1:4" s="299" customFormat="1" ht="25.2" customHeight="1">
      <c r="A63" s="303"/>
      <c r="B63" s="301"/>
      <c r="C63" s="302"/>
      <c r="D63" s="301"/>
    </row>
    <row r="64" spans="1:4" s="299" customFormat="1" ht="30" customHeight="1">
      <c r="A64" s="297" t="s">
        <v>673</v>
      </c>
      <c r="B64" s="301"/>
      <c r="C64" s="302"/>
      <c r="D64" s="301"/>
    </row>
    <row r="65" spans="1:4" ht="25.2" customHeight="1">
      <c r="A65" s="265" t="s">
        <v>696</v>
      </c>
      <c r="B65" s="264" t="s">
        <v>38</v>
      </c>
      <c r="C65" s="263" t="s">
        <v>667</v>
      </c>
      <c r="D65" s="264"/>
    </row>
    <row r="66" spans="1:4" ht="25.2" customHeight="1">
      <c r="A66" s="265" t="s">
        <v>696</v>
      </c>
      <c r="B66" s="264" t="s">
        <v>44</v>
      </c>
      <c r="C66" s="263" t="s">
        <v>667</v>
      </c>
      <c r="D66" s="264"/>
    </row>
    <row r="67" spans="1:4" ht="25.2" customHeight="1">
      <c r="A67" s="265" t="s">
        <v>696</v>
      </c>
      <c r="B67" s="264" t="s">
        <v>24</v>
      </c>
      <c r="C67" s="263" t="s">
        <v>667</v>
      </c>
      <c r="D67" s="264"/>
    </row>
    <row r="68" spans="1:4" s="299" customFormat="1" ht="27.6">
      <c r="A68" s="265" t="s">
        <v>696</v>
      </c>
      <c r="B68" s="264"/>
      <c r="C68" s="263" t="s">
        <v>667</v>
      </c>
      <c r="D68" s="264" t="s">
        <v>887</v>
      </c>
    </row>
    <row r="69" spans="1:4" s="299" customFormat="1" ht="27.6">
      <c r="A69" s="289" t="s">
        <v>696</v>
      </c>
      <c r="B69" s="264" t="s">
        <v>45</v>
      </c>
      <c r="C69" s="263" t="s">
        <v>667</v>
      </c>
      <c r="D69" s="264"/>
    </row>
    <row r="70" spans="1:4" s="299" customFormat="1" ht="25.2" customHeight="1">
      <c r="A70" s="289" t="s">
        <v>696</v>
      </c>
      <c r="B70" s="264" t="s">
        <v>4</v>
      </c>
      <c r="C70" s="263" t="s">
        <v>667</v>
      </c>
      <c r="D70" s="264"/>
    </row>
    <row r="71" spans="1:4" s="299" customFormat="1" ht="27.6">
      <c r="A71" s="265" t="s">
        <v>696</v>
      </c>
      <c r="B71" s="264" t="s">
        <v>32</v>
      </c>
      <c r="C71" s="263" t="s">
        <v>667</v>
      </c>
      <c r="D71" s="264"/>
    </row>
    <row r="72" spans="1:4" s="299" customFormat="1" ht="25.2" customHeight="1">
      <c r="A72" s="289" t="s">
        <v>696</v>
      </c>
      <c r="B72" s="264" t="s">
        <v>138</v>
      </c>
      <c r="C72" s="263" t="s">
        <v>667</v>
      </c>
      <c r="D72" s="264"/>
    </row>
    <row r="73" spans="1:4" s="299" customFormat="1" ht="25.2" customHeight="1">
      <c r="A73" s="289" t="s">
        <v>696</v>
      </c>
      <c r="B73" s="264" t="s">
        <v>47</v>
      </c>
      <c r="C73" s="263" t="s">
        <v>720</v>
      </c>
      <c r="D73" s="264" t="s">
        <v>886</v>
      </c>
    </row>
    <row r="74" spans="1:4" ht="25.2" customHeight="1">
      <c r="A74" s="265" t="s">
        <v>696</v>
      </c>
      <c r="B74" s="264" t="s">
        <v>748</v>
      </c>
      <c r="C74" s="263" t="s">
        <v>720</v>
      </c>
      <c r="D74" s="264" t="s">
        <v>885</v>
      </c>
    </row>
    <row r="75" spans="1:4" s="299" customFormat="1" ht="25.2" customHeight="1">
      <c r="A75" s="303"/>
      <c r="B75" s="301"/>
      <c r="C75" s="302"/>
      <c r="D75" s="301"/>
    </row>
    <row r="76" spans="1:4" s="299" customFormat="1" ht="30" customHeight="1">
      <c r="A76" s="297" t="s">
        <v>674</v>
      </c>
      <c r="B76" s="301"/>
      <c r="C76" s="302"/>
      <c r="D76" s="301"/>
    </row>
    <row r="77" spans="1:4" ht="25.2" customHeight="1">
      <c r="A77" s="265" t="s">
        <v>691</v>
      </c>
      <c r="B77" s="264" t="s">
        <v>685</v>
      </c>
      <c r="C77" s="263" t="s">
        <v>667</v>
      </c>
      <c r="D77" s="264"/>
    </row>
    <row r="78" spans="1:4" ht="25.2" customHeight="1">
      <c r="A78" s="265" t="s">
        <v>691</v>
      </c>
      <c r="B78" s="264"/>
      <c r="C78" s="263" t="s">
        <v>667</v>
      </c>
      <c r="D78" s="264"/>
    </row>
    <row r="79" spans="1:4" s="299" customFormat="1" ht="25.2" customHeight="1">
      <c r="A79" s="265" t="s">
        <v>691</v>
      </c>
      <c r="B79" s="264" t="s">
        <v>3</v>
      </c>
      <c r="C79" s="263" t="s">
        <v>667</v>
      </c>
      <c r="D79" s="264"/>
    </row>
    <row r="80" spans="1:4" s="299" customFormat="1" ht="25.2" customHeight="1">
      <c r="A80" s="289" t="s">
        <v>691</v>
      </c>
      <c r="B80" s="264" t="s">
        <v>2</v>
      </c>
      <c r="C80" s="263" t="s">
        <v>667</v>
      </c>
      <c r="D80" s="264" t="s">
        <v>9</v>
      </c>
    </row>
    <row r="81" spans="1:4" s="299" customFormat="1" ht="30" customHeight="1">
      <c r="A81" s="289" t="s">
        <v>691</v>
      </c>
      <c r="B81" s="264"/>
      <c r="C81" s="263" t="s">
        <v>720</v>
      </c>
      <c r="D81" s="264" t="s">
        <v>883</v>
      </c>
    </row>
    <row r="82" spans="1:4" ht="25.2" customHeight="1">
      <c r="A82" s="265" t="s">
        <v>691</v>
      </c>
      <c r="B82" s="264" t="s">
        <v>41</v>
      </c>
      <c r="C82" s="263" t="s">
        <v>667</v>
      </c>
      <c r="D82" s="264"/>
    </row>
    <row r="83" spans="1:4" ht="25.2" customHeight="1">
      <c r="A83" s="265" t="s">
        <v>691</v>
      </c>
      <c r="B83" s="264" t="s">
        <v>21</v>
      </c>
      <c r="C83" s="263" t="s">
        <v>667</v>
      </c>
      <c r="D83" s="264"/>
    </row>
    <row r="84" spans="1:4" s="299" customFormat="1" ht="25.2" customHeight="1">
      <c r="A84" s="265" t="s">
        <v>691</v>
      </c>
      <c r="B84" s="264"/>
      <c r="C84" s="263" t="s">
        <v>667</v>
      </c>
      <c r="D84" s="264" t="s">
        <v>860</v>
      </c>
    </row>
    <row r="85" spans="1:4" s="299" customFormat="1" ht="25.2" customHeight="1">
      <c r="A85" s="289" t="s">
        <v>691</v>
      </c>
      <c r="B85" s="264" t="s">
        <v>700</v>
      </c>
      <c r="C85" s="263" t="s">
        <v>667</v>
      </c>
      <c r="D85" s="264" t="s">
        <v>212</v>
      </c>
    </row>
    <row r="86" spans="1:4" s="299" customFormat="1" ht="25.2" customHeight="1">
      <c r="A86" s="265" t="s">
        <v>691</v>
      </c>
      <c r="B86" s="264"/>
      <c r="C86" s="263" t="s">
        <v>667</v>
      </c>
      <c r="D86" s="264"/>
    </row>
    <row r="87" spans="1:4" s="299" customFormat="1" ht="25.2" customHeight="1">
      <c r="A87" s="410"/>
      <c r="B87" s="301"/>
      <c r="C87" s="302"/>
      <c r="D87" s="301"/>
    </row>
    <row r="88" spans="1:4" s="299" customFormat="1" ht="30" customHeight="1">
      <c r="A88" s="297" t="s">
        <v>675</v>
      </c>
      <c r="B88" s="301"/>
      <c r="C88" s="302"/>
      <c r="D88" s="301"/>
    </row>
    <row r="89" spans="1:4" s="299" customFormat="1" ht="25.2" customHeight="1">
      <c r="A89" s="289" t="s">
        <v>694</v>
      </c>
      <c r="B89" s="264" t="s">
        <v>10</v>
      </c>
      <c r="C89" s="263" t="s">
        <v>667</v>
      </c>
      <c r="D89" s="264" t="s">
        <v>9</v>
      </c>
    </row>
    <row r="90" spans="1:4" s="299" customFormat="1" ht="25.2" customHeight="1">
      <c r="A90" s="289" t="s">
        <v>694</v>
      </c>
      <c r="B90" s="264" t="s">
        <v>25</v>
      </c>
      <c r="C90" s="263" t="s">
        <v>667</v>
      </c>
      <c r="D90" s="264" t="s">
        <v>16</v>
      </c>
    </row>
    <row r="91" spans="1:4" s="299" customFormat="1" ht="25.2" customHeight="1">
      <c r="A91" s="265" t="s">
        <v>694</v>
      </c>
      <c r="B91" s="264" t="s">
        <v>12</v>
      </c>
      <c r="C91" s="263" t="s">
        <v>667</v>
      </c>
      <c r="D91" s="264"/>
    </row>
    <row r="92" spans="1:4" s="299" customFormat="1" ht="25.2" customHeight="1">
      <c r="A92" s="289" t="s">
        <v>694</v>
      </c>
      <c r="B92" s="264" t="s">
        <v>20</v>
      </c>
      <c r="C92" s="263" t="s">
        <v>667</v>
      </c>
      <c r="D92" s="264"/>
    </row>
    <row r="93" spans="1:4" s="299" customFormat="1" ht="25.2" customHeight="1">
      <c r="A93" s="265" t="s">
        <v>694</v>
      </c>
      <c r="B93" s="264"/>
      <c r="C93" s="263" t="s">
        <v>667</v>
      </c>
      <c r="D93" s="264"/>
    </row>
    <row r="94" spans="1:4" s="299" customFormat="1" ht="30" customHeight="1">
      <c r="A94" s="409"/>
    </row>
    <row r="95" spans="1:4" s="299" customFormat="1" ht="30" customHeight="1">
      <c r="A95" s="297" t="s">
        <v>676</v>
      </c>
      <c r="B95" s="301"/>
      <c r="C95" s="302"/>
      <c r="D95" s="301"/>
    </row>
    <row r="96" spans="1:4" s="299" customFormat="1" ht="25.2" customHeight="1">
      <c r="A96" s="303"/>
      <c r="B96" s="301"/>
      <c r="C96" s="302"/>
      <c r="D96" s="301"/>
    </row>
    <row r="97" spans="1:4" s="299" customFormat="1" ht="30" customHeight="1">
      <c r="A97" s="297" t="s">
        <v>677</v>
      </c>
      <c r="B97" s="301"/>
      <c r="C97" s="302"/>
      <c r="D97" s="301"/>
    </row>
    <row r="98" spans="1:4" ht="25.2" customHeight="1">
      <c r="A98" s="265" t="s">
        <v>697</v>
      </c>
      <c r="B98" s="264" t="s">
        <v>19</v>
      </c>
      <c r="C98" s="263" t="s">
        <v>667</v>
      </c>
      <c r="D98" s="264" t="s">
        <v>28</v>
      </c>
    </row>
    <row r="99" spans="1:4" ht="25.2" customHeight="1">
      <c r="A99" s="265" t="s">
        <v>697</v>
      </c>
      <c r="B99" s="264" t="s">
        <v>18</v>
      </c>
      <c r="C99" s="263" t="s">
        <v>667</v>
      </c>
      <c r="D99" s="264"/>
    </row>
    <row r="100" spans="1:4" ht="25.2" customHeight="1">
      <c r="A100" s="265" t="s">
        <v>697</v>
      </c>
      <c r="B100" s="264" t="s">
        <v>17</v>
      </c>
      <c r="C100" s="263" t="s">
        <v>667</v>
      </c>
      <c r="D100" s="264"/>
    </row>
    <row r="101" spans="1:4" ht="25.2" customHeight="1"/>
    <row r="102" spans="1:4" ht="20.100000000000001" customHeight="1"/>
    <row r="103" spans="1:4" ht="30" customHeight="1"/>
    <row r="104" spans="1:4" ht="36.6" customHeight="1"/>
    <row r="105" spans="1:4" ht="19.95" customHeight="1"/>
    <row r="106" spans="1:4" ht="30" customHeight="1"/>
    <row r="107" spans="1:4" ht="36.6" customHeight="1"/>
    <row r="108" spans="1:4" ht="19.95" customHeight="1"/>
    <row r="109" spans="1:4" ht="30" customHeight="1"/>
    <row r="110" spans="1:4" ht="36.6" customHeight="1"/>
    <row r="111" spans="1:4" ht="19.95" customHeight="1"/>
    <row r="112" spans="1:4" ht="13.8"/>
    <row r="113" ht="38.1" customHeight="1"/>
    <row r="114" ht="19.95" customHeight="1"/>
    <row r="115" ht="19.95" customHeight="1"/>
    <row r="116" ht="36.6" customHeight="1"/>
    <row r="117" ht="36.6" customHeight="1"/>
    <row r="118" ht="36.6" customHeight="1"/>
    <row r="119" ht="53.1" customHeight="1"/>
    <row r="120" ht="19.95" customHeight="1"/>
    <row r="121" ht="19.95" customHeight="1"/>
    <row r="122" ht="36.6" customHeight="1"/>
    <row r="123" ht="19.95" customHeight="1"/>
    <row r="124" ht="19.95" customHeight="1"/>
    <row r="125" ht="13.8"/>
    <row r="126" ht="30" customHeight="1"/>
    <row r="127" ht="19.95" customHeight="1"/>
    <row r="128" ht="36.6" customHeight="1"/>
    <row r="129" ht="19.95" customHeight="1"/>
    <row r="130" ht="13.8"/>
    <row r="131" ht="36.6" customHeight="1"/>
    <row r="132" ht="19.95" customHeight="1"/>
    <row r="133" ht="19.95" customHeight="1"/>
    <row r="134" ht="36.6" customHeight="1"/>
    <row r="135" ht="19.95" customHeight="1"/>
    <row r="136" ht="19.95" customHeight="1"/>
    <row r="137" ht="38.1" customHeight="1"/>
    <row r="138" ht="19.95" customHeight="1"/>
    <row r="139" ht="19.95" customHeight="1"/>
    <row r="140" ht="38.1" customHeight="1"/>
    <row r="141" ht="19.95" customHeight="1"/>
    <row r="142" ht="19.95" customHeight="1"/>
    <row r="143" ht="38.1" customHeight="1"/>
    <row r="144" ht="19.95" customHeight="1"/>
    <row r="145" ht="19.95" customHeight="1"/>
    <row r="146" ht="36.6" customHeight="1"/>
    <row r="147" ht="19.95" customHeight="1"/>
    <row r="148" ht="19.95" customHeight="1"/>
    <row r="149" ht="113.1" customHeight="1"/>
    <row r="150" ht="19.95" customHeight="1"/>
    <row r="151" ht="19.95" customHeight="1"/>
    <row r="152" ht="83.1" customHeight="1"/>
    <row r="153" ht="19.95" customHeight="1"/>
    <row r="154" ht="19.95" customHeight="1"/>
    <row r="155" ht="19.95" customHeight="1"/>
    <row r="156" ht="30" customHeight="1"/>
    <row r="157" ht="13.8"/>
    <row r="158" ht="36.6" customHeight="1"/>
    <row r="159" ht="19.95" customHeight="1"/>
    <row r="160" ht="13.8"/>
    <row r="161" ht="36.6" customHeight="1"/>
    <row r="162" ht="36.6" customHeight="1"/>
    <row r="163" ht="13.8"/>
    <row r="164" ht="19.95" customHeight="1"/>
    <row r="165" ht="36.6" customHeight="1"/>
    <row r="166" ht="19.95" customHeight="1"/>
    <row r="167" ht="19.95" customHeight="1"/>
    <row r="168" ht="36.6" customHeight="1"/>
    <row r="169" ht="19.95" customHeight="1"/>
    <row r="170" ht="13.8"/>
    <row r="171" ht="36.6" customHeight="1"/>
    <row r="172" ht="13.8"/>
    <row r="173" ht="13.8"/>
    <row r="174" ht="36.6" customHeight="1"/>
    <row r="175" ht="38.1" customHeight="1"/>
    <row r="176" ht="19.95" customHeight="1"/>
    <row r="177" ht="19.95" customHeight="1"/>
    <row r="178" ht="36.6" customHeight="1"/>
    <row r="179" ht="19.95" customHeight="1"/>
    <row r="180" ht="30" customHeight="1"/>
    <row r="181" ht="19.95" customHeight="1"/>
    <row r="182" ht="36.6" customHeight="1"/>
    <row r="183" ht="19.95" customHeight="1"/>
    <row r="184" ht="19.95" customHeight="1"/>
    <row r="185" ht="36.6" customHeight="1"/>
    <row r="186" ht="19.95" customHeight="1"/>
    <row r="187" ht="19.95" customHeight="1"/>
    <row r="188" ht="36.6" customHeight="1"/>
    <row r="189" ht="19.95" customHeight="1"/>
    <row r="190" ht="19.95" customHeight="1"/>
    <row r="191" ht="36.6" customHeight="1"/>
    <row r="192" ht="19.95" customHeight="1"/>
    <row r="193" ht="19.95" customHeight="1"/>
    <row r="194" ht="36.6" customHeight="1"/>
    <row r="195" ht="19.95" customHeight="1"/>
    <row r="196" ht="30" customHeight="1"/>
    <row r="197" ht="19.95" customHeight="1"/>
    <row r="198" ht="19.95" customHeight="1"/>
    <row r="199" ht="30" customHeight="1"/>
    <row r="200" ht="19.95" customHeight="1"/>
    <row r="201" ht="38.1" customHeight="1"/>
    <row r="202" ht="19.95" customHeight="1"/>
    <row r="203" ht="19.95" customHeight="1"/>
    <row r="204" ht="36.6" customHeight="1"/>
    <row r="205" ht="19.95" customHeight="1"/>
    <row r="206" ht="19.95" customHeight="1"/>
    <row r="207" ht="36.6" customHeight="1"/>
    <row r="208" ht="19.95" customHeight="1"/>
    <row r="209" ht="19.95" customHeight="1"/>
    <row r="210" ht="19.95" customHeight="1"/>
    <row r="211" ht="30" customHeight="1"/>
    <row r="212" ht="19.95" customHeight="1"/>
    <row r="213" ht="19.95" customHeight="1"/>
    <row r="214" ht="30" customHeight="1"/>
    <row r="215" ht="19.95" customHeight="1"/>
    <row r="216" ht="19.95" customHeight="1"/>
    <row r="217" ht="30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3.8"/>
    <row r="238" ht="13.8"/>
    <row r="239" ht="13.8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3.8"/>
    <row r="255" ht="19.95" customHeight="1"/>
    <row r="256" ht="13.8"/>
    <row r="257" ht="19.95" customHeight="1"/>
    <row r="258" ht="19.95" customHeight="1"/>
    <row r="259" ht="19.95" customHeight="1"/>
    <row r="260" ht="19.95" customHeight="1"/>
    <row r="261" ht="13.8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  <row r="283" ht="19.95" customHeight="1"/>
    <row r="284" ht="19.95" customHeight="1"/>
    <row r="285" ht="19.95" customHeight="1"/>
    <row r="286" ht="19.95" customHeight="1"/>
    <row r="287" ht="19.95" customHeight="1"/>
    <row r="288" ht="19.95" customHeight="1"/>
    <row r="289" ht="13.8"/>
    <row r="290" ht="19.95" customHeight="1"/>
    <row r="291" ht="19.95" customHeight="1"/>
    <row r="292" ht="19.95" customHeight="1"/>
    <row r="293" ht="19.95" customHeight="1"/>
    <row r="294" ht="19.95" customHeight="1"/>
    <row r="295" ht="19.95" customHeight="1"/>
    <row r="296" ht="19.95" customHeight="1"/>
    <row r="297" ht="19.95" customHeight="1"/>
    <row r="298" ht="19.95" customHeight="1"/>
    <row r="299" ht="19.95" customHeight="1"/>
    <row r="300" ht="19.95" customHeight="1"/>
    <row r="301" ht="19.95" customHeight="1"/>
    <row r="302" ht="19.95" customHeight="1"/>
    <row r="303" ht="19.95" customHeight="1"/>
    <row r="304" ht="19.95" customHeight="1"/>
    <row r="305" ht="19.95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</sheetData>
  <hyperlinks>
    <hyperlink ref="C4" r:id="rId1" xr:uid="{B64AD7AF-FD01-44F4-A220-7544D9357101}"/>
    <hyperlink ref="C5" r:id="rId2" xr:uid="{E0D5CFD4-C9D8-4E22-817F-7CC7654BBCCC}"/>
    <hyperlink ref="C6" r:id="rId3" xr:uid="{79E1DCEE-1460-40A5-9B77-154E3FA45887}"/>
    <hyperlink ref="C7" r:id="rId4" xr:uid="{2BCE76C8-DEEE-4AE5-B24D-EB4580D5044B}"/>
    <hyperlink ref="C8" r:id="rId5" xr:uid="{B40DF32A-FB67-4ADB-8160-14DB7E8057B1}"/>
    <hyperlink ref="C9" r:id="rId6" xr:uid="{0429C0F6-CAFA-4ED2-9116-9CC75FCD219C}"/>
    <hyperlink ref="C10" r:id="rId7" xr:uid="{F8516FE0-A6AE-4AD9-9580-BF74568399B5}"/>
    <hyperlink ref="C11" r:id="rId8" xr:uid="{73426757-E53D-4B73-A0DC-C513A2EB31BA}"/>
    <hyperlink ref="C12" r:id="rId9" xr:uid="{C6F23F3E-7C9E-4998-947D-883D3385D86D}"/>
    <hyperlink ref="C15" r:id="rId10" xr:uid="{20FA4594-2ABC-4563-A853-C7CE0842A59E}"/>
    <hyperlink ref="C16" r:id="rId11" xr:uid="{D5B6D5DF-D367-40BC-BD14-63138032BD1E}"/>
    <hyperlink ref="C17" r:id="rId12" xr:uid="{BFA2A3BA-F435-4D3F-B6BE-4FABDF05FFC6}"/>
    <hyperlink ref="C21" r:id="rId13" xr:uid="{951A932A-214D-4827-BDA7-8E1486F29269}"/>
    <hyperlink ref="C22" r:id="rId14" xr:uid="{DCEF0030-78A8-45EA-9E8D-76AA91FFE8D4}"/>
    <hyperlink ref="C23" r:id="rId15" xr:uid="{17EECF76-C456-4145-9104-49CF5E57E30D}"/>
    <hyperlink ref="C24" r:id="rId16" xr:uid="{D88F5161-7AFC-47A1-9CAA-043255251B36}"/>
    <hyperlink ref="C25" r:id="rId17" xr:uid="{5575D03E-A760-4D7C-B006-D46EC7ADBA04}"/>
    <hyperlink ref="C26" r:id="rId18" xr:uid="{565B35A2-033A-4C3F-9A50-3245D73B828C}"/>
    <hyperlink ref="C27" r:id="rId19" xr:uid="{01CEC5C7-CAE0-486C-967C-898596FD037F}"/>
    <hyperlink ref="C28" r:id="rId20" xr:uid="{AB8E8531-10AB-42A1-8BF1-68E161951AD5}"/>
    <hyperlink ref="C29" r:id="rId21" xr:uid="{B02B02D7-A96A-4CA7-A834-2E653E27F2A0}"/>
    <hyperlink ref="C30" r:id="rId22" xr:uid="{DA54A597-0C8D-4352-98A6-0391DE16895D}"/>
    <hyperlink ref="C31" r:id="rId23" xr:uid="{69B81F20-1B61-46F3-B4D5-8418C5112998}"/>
    <hyperlink ref="C34" r:id="rId24" xr:uid="{811EFC4D-6DCF-4C11-A365-63698FCB5EEB}"/>
    <hyperlink ref="C36" r:id="rId25" xr:uid="{DAD537C3-6BEC-41AD-A9E0-91A9C193A6EC}"/>
    <hyperlink ref="C37" r:id="rId26" xr:uid="{27683D5E-14A8-4481-90A2-FD65DEAB15AC}"/>
    <hyperlink ref="C38" r:id="rId27" xr:uid="{FBE264AD-26ED-494F-8026-E41218870A8A}"/>
    <hyperlink ref="C39" r:id="rId28" xr:uid="{A6646504-755A-432D-AB24-BB971818643A}"/>
    <hyperlink ref="C40" r:id="rId29" xr:uid="{E8BA3F2E-DFE1-48A5-BC32-7642AC6B5035}"/>
    <hyperlink ref="C41" r:id="rId30" xr:uid="{6ADE8400-9BBF-4276-B5CB-EC661B8ADAB0}"/>
    <hyperlink ref="C42" r:id="rId31" xr:uid="{A4BFFE3B-46E2-4E57-B823-3D217D4D8D8C}"/>
    <hyperlink ref="C45" r:id="rId32" xr:uid="{B178C815-3646-4F27-BF0E-D8BE2CF1A0AD}"/>
    <hyperlink ref="C46" r:id="rId33" xr:uid="{D98E1225-EDDB-4653-AE8B-EDD2B57B68FF}"/>
    <hyperlink ref="C50" r:id="rId34" xr:uid="{E3E22DE6-57F0-4E9D-A189-68A3EB864EDC}"/>
    <hyperlink ref="C51" r:id="rId35" xr:uid="{0A5072C5-A560-44FA-BF8E-EBF026899051}"/>
    <hyperlink ref="C52" r:id="rId36" xr:uid="{A671203B-FE63-4166-A0C6-47DE44068780}"/>
    <hyperlink ref="C53" r:id="rId37" xr:uid="{02723A9D-5993-4AFC-B0DA-479A07491AD7}"/>
    <hyperlink ref="C54" r:id="rId38" xr:uid="{124AD85C-0D9D-456A-A3D1-2BB3F8F05CF5}"/>
    <hyperlink ref="C55" r:id="rId39" xr:uid="{1363F1D9-BA22-4190-A2AA-69A4FDE76D80}"/>
    <hyperlink ref="C56" r:id="rId40" xr:uid="{2AB7292A-E932-499B-AC79-2A3375A9EF62}"/>
    <hyperlink ref="C57" r:id="rId41" xr:uid="{3114920C-434A-418A-9574-68A8BC5743E3}"/>
    <hyperlink ref="C58" r:id="rId42" xr:uid="{0D73A78A-7D36-45B1-9FF2-D019931CC22F}"/>
    <hyperlink ref="C59" r:id="rId43" xr:uid="{45550ED4-0C03-4D98-8B29-47A411947EEE}"/>
    <hyperlink ref="C60" r:id="rId44" xr:uid="{B68D66F2-0B93-4379-AF75-060885B3840C}"/>
    <hyperlink ref="C61" r:id="rId45" xr:uid="{14F256AA-53B9-43EB-A5EC-C589E41314C4}"/>
    <hyperlink ref="C65" r:id="rId46" xr:uid="{D323528E-4EAD-4160-9435-29D7371528E6}"/>
    <hyperlink ref="C66" r:id="rId47" xr:uid="{22339EAF-4F1B-41E2-B9F4-CB1BA0741E54}"/>
    <hyperlink ref="C67" r:id="rId48" xr:uid="{EEB91B47-2AF9-456A-ACFA-9AB1705BDB7D}"/>
    <hyperlink ref="C68" r:id="rId49" xr:uid="{91304EC5-1DD8-4D98-889E-F76BD30EE1F4}"/>
    <hyperlink ref="C69" r:id="rId50" xr:uid="{EF3181EB-CDA8-47D9-AA7F-C5AC4D229670}"/>
    <hyperlink ref="C70" r:id="rId51" xr:uid="{530CB37E-51D3-4C42-BF6C-5AEA9175DAC5}"/>
    <hyperlink ref="C71" r:id="rId52" xr:uid="{EE4DE25E-B53D-438B-BEA2-515F7618E9CC}"/>
    <hyperlink ref="C72" r:id="rId53" xr:uid="{88AB57EA-BAA6-4D23-AF0B-CF5ED8DA1E59}"/>
    <hyperlink ref="C77" r:id="rId54" xr:uid="{0DDBCFAD-636B-4A3D-826F-4A73061AC712}"/>
    <hyperlink ref="C78" r:id="rId55" xr:uid="{361D42C0-F8C9-4CDE-AFB3-36CB2523A10C}"/>
    <hyperlink ref="C79" r:id="rId56" xr:uid="{4B0B19CF-7FD0-4075-AD48-05F4A82D5E0D}"/>
    <hyperlink ref="C80" r:id="rId57" xr:uid="{CB699D1B-A42C-4B9B-801A-581B78D41C1A}"/>
    <hyperlink ref="C82" r:id="rId58" xr:uid="{1BCCB6B4-1781-44F3-B929-33747D8E6DCC}"/>
    <hyperlink ref="C83" r:id="rId59" xr:uid="{0F5494AD-2976-4224-B17D-6DFCF3AC02FD}"/>
    <hyperlink ref="C84" r:id="rId60" xr:uid="{5D6604B8-709D-470C-AA98-62C21634DAEA}"/>
    <hyperlink ref="C85" r:id="rId61" xr:uid="{C29228B3-981B-4878-91E0-3CC06B58D162}"/>
    <hyperlink ref="C86" r:id="rId62" xr:uid="{7DEFE509-3BCE-4890-9699-54FA0341734B}"/>
    <hyperlink ref="C89" r:id="rId63" xr:uid="{B7E92D4B-499F-48C1-9560-B48F5E1FBCFB}"/>
    <hyperlink ref="C90" r:id="rId64" xr:uid="{B938C5C7-8DED-4D10-828D-6B2002CF61B4}"/>
    <hyperlink ref="C91" r:id="rId65" xr:uid="{956F9BA0-9CD6-42CE-BECF-DFC71B0AF266}"/>
    <hyperlink ref="C92" r:id="rId66" xr:uid="{609913C3-926E-4B0A-9E32-5734D762F0E6}"/>
    <hyperlink ref="C93" r:id="rId67" xr:uid="{FC487AEF-5C14-43BB-B8AA-851877032535}"/>
    <hyperlink ref="C98" r:id="rId68" xr:uid="{D170BB20-5D58-42FA-85F8-E6F64AB4748A}"/>
    <hyperlink ref="C99" r:id="rId69" xr:uid="{2038581E-8A19-4159-90B9-B0A283D11280}"/>
    <hyperlink ref="C100" r:id="rId70" xr:uid="{C67786B7-93C9-48BB-B16D-0D1F03BA3AF9}"/>
  </hyperlinks>
  <pageMargins left="0.4724409448818897" right="0.39370078740157477" top="0.4724409448818897" bottom="0.4724409448818897" header="0.3" footer="0.3"/>
  <pageSetup paperSize="9" fitToHeight="0" orientation="portrait" r:id="rId71"/>
  <headerFooter>
    <oddHeader>&amp;H'</oddHeader>
    <oddFooter>&amp;H'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6236-23FF-4787-81B6-E882CF03396D}">
  <sheetPr codeName="Tabelle23"/>
  <dimension ref="D4:G16"/>
  <sheetViews>
    <sheetView workbookViewId="0">
      <selection activeCell="E11" sqref="E11"/>
    </sheetView>
  </sheetViews>
  <sheetFormatPr baseColWidth="10" defaultRowHeight="14.4"/>
  <sheetData>
    <row r="4" spans="4:7">
      <c r="D4" t="s">
        <v>99</v>
      </c>
    </row>
    <row r="5" spans="4:7">
      <c r="E5" t="s">
        <v>1068</v>
      </c>
    </row>
    <row r="6" spans="4:7">
      <c r="F6" t="s">
        <v>1067</v>
      </c>
      <c r="G6" t="s">
        <v>1060</v>
      </c>
    </row>
    <row r="7" spans="4:7">
      <c r="G7" t="s">
        <v>1061</v>
      </c>
    </row>
    <row r="8" spans="4:7">
      <c r="E8" t="s">
        <v>1069</v>
      </c>
    </row>
    <row r="9" spans="4:7">
      <c r="F9" t="s">
        <v>1067</v>
      </c>
      <c r="G9" t="s">
        <v>1062</v>
      </c>
    </row>
    <row r="10" spans="4:7">
      <c r="G10" t="s">
        <v>1062</v>
      </c>
    </row>
    <row r="11" spans="4:7">
      <c r="E11" t="s">
        <v>1063</v>
      </c>
    </row>
    <row r="12" spans="4:7">
      <c r="G12" t="s">
        <v>1064</v>
      </c>
    </row>
    <row r="14" spans="4:7">
      <c r="G14" t="s">
        <v>1065</v>
      </c>
    </row>
    <row r="16" spans="4:7">
      <c r="D16" t="s">
        <v>1066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B7D6-A77A-4B05-AD52-7F174FC08A7F}">
  <sheetPr codeName="Tabelle22"/>
  <dimension ref="A1:J200"/>
  <sheetViews>
    <sheetView view="pageBreakPreview" zoomScale="80" zoomScaleNormal="70" zoomScaleSheetLayoutView="80" workbookViewId="0">
      <selection activeCell="O29" sqref="O29"/>
    </sheetView>
  </sheetViews>
  <sheetFormatPr baseColWidth="10" defaultRowHeight="14.4"/>
  <cols>
    <col min="1" max="1" width="4.6640625" customWidth="1"/>
    <col min="2" max="2" width="22.6640625" style="385" customWidth="1"/>
    <col min="3" max="3" width="4.6640625" customWidth="1"/>
    <col min="4" max="4" width="22.6640625" style="392" customWidth="1"/>
    <col min="5" max="5" width="16.6640625" customWidth="1"/>
    <col min="6" max="6" width="4.6640625" customWidth="1"/>
    <col min="7" max="7" width="22.6640625" style="385" customWidth="1"/>
    <col min="8" max="8" width="4.6640625" customWidth="1"/>
    <col min="9" max="9" width="22.6640625" style="385" customWidth="1"/>
  </cols>
  <sheetData>
    <row r="1" spans="1:10">
      <c r="A1" s="395"/>
      <c r="B1" s="395"/>
      <c r="C1" s="395"/>
      <c r="D1" s="395"/>
      <c r="E1" s="395"/>
      <c r="F1" s="395"/>
      <c r="G1" s="395"/>
      <c r="H1" s="395"/>
      <c r="I1" s="395"/>
      <c r="J1" s="262"/>
    </row>
    <row r="2" spans="1:10">
      <c r="A2" s="395"/>
      <c r="B2" s="395"/>
      <c r="C2" s="395"/>
      <c r="D2" s="395"/>
      <c r="E2" s="395"/>
      <c r="F2" s="395"/>
      <c r="G2" s="395"/>
      <c r="H2" s="395"/>
      <c r="I2" s="395"/>
      <c r="J2" s="262"/>
    </row>
    <row r="3" spans="1:10">
      <c r="A3" s="398" t="s">
        <v>47</v>
      </c>
      <c r="B3" s="395"/>
      <c r="C3" s="398" t="s">
        <v>874</v>
      </c>
      <c r="D3" s="395"/>
      <c r="E3" s="395"/>
      <c r="F3" s="398" t="s">
        <v>768</v>
      </c>
      <c r="G3" s="395"/>
      <c r="H3" s="398" t="s">
        <v>776</v>
      </c>
      <c r="I3" s="395"/>
      <c r="J3" s="262"/>
    </row>
    <row r="4" spans="1:10">
      <c r="A4" s="404" t="s">
        <v>696</v>
      </c>
      <c r="B4" s="399" t="s">
        <v>745</v>
      </c>
      <c r="C4" s="404" t="s">
        <v>696</v>
      </c>
      <c r="D4" s="399" t="s">
        <v>866</v>
      </c>
      <c r="E4" s="395"/>
      <c r="F4" s="404" t="s">
        <v>696</v>
      </c>
      <c r="G4" s="399" t="s">
        <v>12</v>
      </c>
      <c r="H4" s="404" t="s">
        <v>696</v>
      </c>
      <c r="I4" s="399" t="s">
        <v>743</v>
      </c>
      <c r="J4" s="262"/>
    </row>
    <row r="5" spans="1:10">
      <c r="A5" s="404" t="s">
        <v>696</v>
      </c>
      <c r="B5" s="399" t="s">
        <v>746</v>
      </c>
      <c r="C5" s="404" t="s">
        <v>696</v>
      </c>
      <c r="D5" s="399" t="s">
        <v>867</v>
      </c>
      <c r="E5" s="395"/>
      <c r="F5" s="404" t="s">
        <v>696</v>
      </c>
      <c r="G5" s="399" t="s">
        <v>750</v>
      </c>
      <c r="H5" s="404" t="s">
        <v>696</v>
      </c>
      <c r="I5" s="399" t="s">
        <v>12</v>
      </c>
      <c r="J5" s="262"/>
    </row>
    <row r="6" spans="1:10">
      <c r="A6" s="404" t="s">
        <v>696</v>
      </c>
      <c r="B6" s="399" t="s">
        <v>743</v>
      </c>
      <c r="C6" s="404" t="s">
        <v>696</v>
      </c>
      <c r="D6" s="399" t="s">
        <v>868</v>
      </c>
      <c r="E6" s="395"/>
      <c r="F6" s="404" t="s">
        <v>696</v>
      </c>
      <c r="G6" s="399" t="s">
        <v>761</v>
      </c>
      <c r="H6" s="404" t="s">
        <v>696</v>
      </c>
      <c r="I6" s="399" t="s">
        <v>750</v>
      </c>
      <c r="J6" s="262"/>
    </row>
    <row r="7" spans="1:10">
      <c r="A7" s="404" t="s">
        <v>696</v>
      </c>
      <c r="B7" s="399" t="s">
        <v>742</v>
      </c>
      <c r="C7" s="404" t="s">
        <v>696</v>
      </c>
      <c r="D7" s="399" t="s">
        <v>762</v>
      </c>
      <c r="E7" s="395"/>
      <c r="F7" s="404" t="s">
        <v>696</v>
      </c>
      <c r="G7" s="399" t="s">
        <v>770</v>
      </c>
      <c r="H7" s="404" t="s">
        <v>696</v>
      </c>
      <c r="I7" s="399" t="s">
        <v>777</v>
      </c>
      <c r="J7" s="262"/>
    </row>
    <row r="8" spans="1:10">
      <c r="A8" s="404" t="s">
        <v>696</v>
      </c>
      <c r="B8" s="399" t="s">
        <v>743</v>
      </c>
      <c r="C8" s="395"/>
      <c r="D8" s="395"/>
      <c r="E8" s="395"/>
      <c r="F8" s="404" t="s">
        <v>696</v>
      </c>
      <c r="G8" s="399" t="s">
        <v>771</v>
      </c>
      <c r="H8" s="404" t="s">
        <v>696</v>
      </c>
      <c r="I8" s="399" t="s">
        <v>870</v>
      </c>
      <c r="J8" s="262"/>
    </row>
    <row r="9" spans="1:10">
      <c r="A9" s="404" t="s">
        <v>696</v>
      </c>
      <c r="B9" s="399" t="s">
        <v>12</v>
      </c>
      <c r="C9" s="398" t="s">
        <v>756</v>
      </c>
      <c r="D9" s="395"/>
      <c r="E9" s="395"/>
      <c r="F9" s="404" t="s">
        <v>696</v>
      </c>
      <c r="G9" s="399" t="s">
        <v>109</v>
      </c>
      <c r="H9" s="404" t="s">
        <v>696</v>
      </c>
      <c r="I9" s="399" t="s">
        <v>13</v>
      </c>
      <c r="J9" s="262"/>
    </row>
    <row r="10" spans="1:10">
      <c r="A10" s="404" t="s">
        <v>696</v>
      </c>
      <c r="B10" s="399" t="s">
        <v>875</v>
      </c>
      <c r="C10" s="404" t="s">
        <v>696</v>
      </c>
      <c r="D10" s="399" t="s">
        <v>758</v>
      </c>
      <c r="E10" s="395"/>
      <c r="F10" s="404" t="s">
        <v>696</v>
      </c>
      <c r="G10" s="399" t="s">
        <v>772</v>
      </c>
      <c r="H10" s="404" t="s">
        <v>696</v>
      </c>
      <c r="I10" s="399" t="s">
        <v>115</v>
      </c>
      <c r="J10" s="262"/>
    </row>
    <row r="11" spans="1:10">
      <c r="A11" s="404" t="s">
        <v>696</v>
      </c>
      <c r="B11" s="399" t="s">
        <v>744</v>
      </c>
      <c r="C11" s="404" t="s">
        <v>696</v>
      </c>
      <c r="D11" s="399" t="s">
        <v>759</v>
      </c>
      <c r="E11" s="395"/>
      <c r="F11" s="404" t="s">
        <v>696</v>
      </c>
      <c r="G11" s="399" t="s">
        <v>115</v>
      </c>
      <c r="H11" s="404" t="s">
        <v>696</v>
      </c>
      <c r="I11" s="399" t="s">
        <v>769</v>
      </c>
      <c r="J11" s="262"/>
    </row>
    <row r="12" spans="1:10">
      <c r="A12" s="404" t="s">
        <v>696</v>
      </c>
      <c r="B12" s="399" t="s">
        <v>13</v>
      </c>
      <c r="C12" s="404" t="s">
        <v>696</v>
      </c>
      <c r="D12" s="399" t="s">
        <v>760</v>
      </c>
      <c r="E12" s="395"/>
      <c r="F12" s="404" t="s">
        <v>696</v>
      </c>
      <c r="G12" s="399" t="s">
        <v>769</v>
      </c>
      <c r="H12" s="404" t="s">
        <v>696</v>
      </c>
      <c r="I12" s="399" t="s">
        <v>778</v>
      </c>
      <c r="J12" s="262"/>
    </row>
    <row r="13" spans="1:10">
      <c r="A13" s="404" t="s">
        <v>696</v>
      </c>
      <c r="B13" s="399" t="s">
        <v>115</v>
      </c>
      <c r="C13" s="404" t="s">
        <v>696</v>
      </c>
      <c r="D13" s="399" t="s">
        <v>761</v>
      </c>
      <c r="E13" s="395"/>
      <c r="F13" s="404" t="s">
        <v>696</v>
      </c>
      <c r="G13" s="399" t="s">
        <v>765</v>
      </c>
      <c r="H13" s="404" t="s">
        <v>696</v>
      </c>
      <c r="I13" s="399" t="s">
        <v>743</v>
      </c>
      <c r="J13" s="262"/>
    </row>
    <row r="14" spans="1:10">
      <c r="A14" s="395"/>
      <c r="B14" s="395"/>
      <c r="C14" s="404" t="s">
        <v>696</v>
      </c>
      <c r="D14" s="399" t="s">
        <v>762</v>
      </c>
      <c r="E14" s="395"/>
      <c r="F14" s="404" t="s">
        <v>696</v>
      </c>
      <c r="G14" s="399" t="s">
        <v>766</v>
      </c>
      <c r="H14" s="395"/>
      <c r="I14" s="395"/>
      <c r="J14" s="262"/>
    </row>
    <row r="15" spans="1:10">
      <c r="A15" s="398" t="s">
        <v>728</v>
      </c>
      <c r="B15" s="395"/>
      <c r="C15" s="404" t="s">
        <v>696</v>
      </c>
      <c r="D15" s="399" t="s">
        <v>872</v>
      </c>
      <c r="E15" s="395"/>
      <c r="F15" s="404" t="s">
        <v>696</v>
      </c>
      <c r="G15" s="399" t="s">
        <v>742</v>
      </c>
      <c r="H15" s="398" t="s">
        <v>780</v>
      </c>
      <c r="I15" s="395"/>
      <c r="J15" s="262"/>
    </row>
    <row r="16" spans="1:10">
      <c r="A16" s="404" t="s">
        <v>696</v>
      </c>
      <c r="B16" s="399" t="s">
        <v>745</v>
      </c>
      <c r="C16" s="404" t="s">
        <v>696</v>
      </c>
      <c r="D16" s="399" t="s">
        <v>873</v>
      </c>
      <c r="E16" s="395"/>
      <c r="F16" s="404" t="s">
        <v>696</v>
      </c>
      <c r="G16" s="399" t="s">
        <v>743</v>
      </c>
      <c r="H16" s="404" t="s">
        <v>696</v>
      </c>
      <c r="I16" s="399" t="s">
        <v>781</v>
      </c>
      <c r="J16" s="262"/>
    </row>
    <row r="17" spans="1:10">
      <c r="A17" s="404" t="s">
        <v>696</v>
      </c>
      <c r="B17" s="399" t="s">
        <v>746</v>
      </c>
      <c r="C17" s="404" t="s">
        <v>696</v>
      </c>
      <c r="D17" s="399" t="s">
        <v>763</v>
      </c>
      <c r="E17" s="395"/>
      <c r="F17" s="395"/>
      <c r="G17" s="395"/>
      <c r="H17" s="404" t="s">
        <v>696</v>
      </c>
      <c r="I17" s="399" t="s">
        <v>782</v>
      </c>
      <c r="J17" s="262"/>
    </row>
    <row r="18" spans="1:10">
      <c r="A18" s="404" t="s">
        <v>696</v>
      </c>
      <c r="B18" s="399" t="s">
        <v>743</v>
      </c>
      <c r="C18" s="404" t="s">
        <v>696</v>
      </c>
      <c r="D18" s="399" t="s">
        <v>764</v>
      </c>
      <c r="E18" s="395"/>
      <c r="F18" s="398" t="s">
        <v>773</v>
      </c>
      <c r="G18" s="395"/>
      <c r="H18" s="404" t="s">
        <v>696</v>
      </c>
      <c r="I18" s="399" t="s">
        <v>783</v>
      </c>
      <c r="J18" s="262"/>
    </row>
    <row r="19" spans="1:10">
      <c r="A19" s="404" t="s">
        <v>696</v>
      </c>
      <c r="B19" s="399" t="s">
        <v>742</v>
      </c>
      <c r="C19" s="404" t="s">
        <v>696</v>
      </c>
      <c r="D19" s="399" t="s">
        <v>765</v>
      </c>
      <c r="E19" s="395"/>
      <c r="F19" s="404" t="s">
        <v>696</v>
      </c>
      <c r="G19" s="399" t="s">
        <v>765</v>
      </c>
      <c r="H19" s="404" t="s">
        <v>696</v>
      </c>
      <c r="I19" s="399" t="s">
        <v>784</v>
      </c>
      <c r="J19" s="262"/>
    </row>
    <row r="20" spans="1:10">
      <c r="A20" s="404" t="s">
        <v>696</v>
      </c>
      <c r="B20" s="399" t="s">
        <v>743</v>
      </c>
      <c r="C20" s="404" t="s">
        <v>696</v>
      </c>
      <c r="D20" s="399" t="s">
        <v>865</v>
      </c>
      <c r="E20" s="395"/>
      <c r="F20" s="404" t="s">
        <v>696</v>
      </c>
      <c r="G20" s="399" t="s">
        <v>766</v>
      </c>
      <c r="H20" s="404" t="s">
        <v>696</v>
      </c>
      <c r="I20" s="399" t="s">
        <v>13</v>
      </c>
      <c r="J20" s="262"/>
    </row>
    <row r="21" spans="1:10">
      <c r="A21" s="404" t="s">
        <v>696</v>
      </c>
      <c r="B21" s="399" t="s">
        <v>12</v>
      </c>
      <c r="C21" s="404" t="s">
        <v>696</v>
      </c>
      <c r="D21" s="399" t="s">
        <v>766</v>
      </c>
      <c r="E21" s="395"/>
      <c r="F21" s="404" t="s">
        <v>696</v>
      </c>
      <c r="G21" s="399" t="s">
        <v>742</v>
      </c>
      <c r="H21" s="404" t="s">
        <v>696</v>
      </c>
      <c r="I21" s="399" t="s">
        <v>115</v>
      </c>
      <c r="J21" s="262"/>
    </row>
    <row r="22" spans="1:10">
      <c r="A22" s="395"/>
      <c r="B22" s="395"/>
      <c r="C22" s="404" t="s">
        <v>696</v>
      </c>
      <c r="D22" s="399" t="s">
        <v>742</v>
      </c>
      <c r="E22" s="395"/>
      <c r="F22" s="404" t="s">
        <v>696</v>
      </c>
      <c r="G22" s="399" t="s">
        <v>743</v>
      </c>
      <c r="H22" s="404" t="s">
        <v>696</v>
      </c>
      <c r="I22" s="399" t="s">
        <v>743</v>
      </c>
      <c r="J22" s="262"/>
    </row>
    <row r="23" spans="1:10">
      <c r="A23" s="398" t="s">
        <v>748</v>
      </c>
      <c r="B23" s="395"/>
      <c r="C23" s="404" t="s">
        <v>696</v>
      </c>
      <c r="D23" s="399" t="s">
        <v>743</v>
      </c>
      <c r="E23" s="395"/>
      <c r="F23" s="395"/>
      <c r="G23" s="395"/>
      <c r="H23" s="404" t="s">
        <v>696</v>
      </c>
      <c r="I23" s="399" t="s">
        <v>12</v>
      </c>
      <c r="J23" s="262"/>
    </row>
    <row r="24" spans="1:10">
      <c r="A24" s="404" t="s">
        <v>696</v>
      </c>
      <c r="B24" s="399" t="s">
        <v>745</v>
      </c>
      <c r="C24" s="395"/>
      <c r="D24" s="395"/>
      <c r="E24" s="395"/>
      <c r="F24" s="395"/>
      <c r="G24" s="395"/>
      <c r="H24" s="395"/>
      <c r="I24" s="395"/>
      <c r="J24" s="262"/>
    </row>
    <row r="25" spans="1:10">
      <c r="A25" s="404" t="s">
        <v>696</v>
      </c>
      <c r="B25" s="399" t="s">
        <v>746</v>
      </c>
      <c r="C25" s="395"/>
      <c r="D25" s="395"/>
      <c r="E25" s="395"/>
      <c r="F25" s="395"/>
      <c r="G25" s="395"/>
      <c r="H25" s="395"/>
      <c r="I25" s="395"/>
      <c r="J25" s="262"/>
    </row>
    <row r="26" spans="1:10">
      <c r="A26" s="395"/>
      <c r="B26" s="395"/>
      <c r="C26" s="395"/>
      <c r="D26" s="395"/>
      <c r="E26" s="395"/>
      <c r="F26" s="395"/>
      <c r="G26" s="395"/>
      <c r="H26" s="395"/>
      <c r="I26" s="395"/>
      <c r="J26" s="262"/>
    </row>
    <row r="27" spans="1:10">
      <c r="A27" s="398" t="s">
        <v>874</v>
      </c>
      <c r="B27" s="395"/>
      <c r="C27" s="395"/>
      <c r="D27" s="395"/>
      <c r="E27" s="395"/>
      <c r="F27" s="395"/>
      <c r="G27" s="395"/>
      <c r="H27" s="395"/>
      <c r="I27" s="395"/>
      <c r="J27" s="262"/>
    </row>
    <row r="28" spans="1:10">
      <c r="A28" s="404" t="s">
        <v>696</v>
      </c>
      <c r="B28" s="399" t="s">
        <v>866</v>
      </c>
      <c r="C28" s="395"/>
      <c r="D28" s="395"/>
      <c r="E28" s="395"/>
      <c r="F28" s="395"/>
      <c r="G28" s="395"/>
      <c r="H28" s="395"/>
      <c r="I28" s="395"/>
      <c r="J28" s="262"/>
    </row>
    <row r="29" spans="1:10">
      <c r="A29" s="404" t="s">
        <v>696</v>
      </c>
      <c r="B29" s="399" t="s">
        <v>867</v>
      </c>
      <c r="C29" s="395"/>
      <c r="D29" s="395"/>
      <c r="E29" s="395"/>
      <c r="F29" s="395"/>
      <c r="G29" s="395"/>
      <c r="H29" s="395"/>
      <c r="I29" s="395"/>
      <c r="J29" s="262"/>
    </row>
    <row r="30" spans="1:10">
      <c r="A30" s="404" t="s">
        <v>696</v>
      </c>
      <c r="B30" s="399" t="s">
        <v>868</v>
      </c>
      <c r="C30" s="395"/>
      <c r="D30" s="395"/>
      <c r="E30" s="395"/>
      <c r="F30" s="395"/>
      <c r="G30" s="395"/>
      <c r="H30" s="395"/>
      <c r="I30" s="395"/>
      <c r="J30" s="262"/>
    </row>
    <row r="31" spans="1:10">
      <c r="A31" s="404" t="s">
        <v>696</v>
      </c>
      <c r="B31" s="399" t="s">
        <v>762</v>
      </c>
      <c r="C31" s="395"/>
      <c r="D31" s="395"/>
      <c r="E31" s="395"/>
      <c r="F31" s="395"/>
      <c r="G31" s="395"/>
      <c r="H31" s="395"/>
      <c r="I31" s="395"/>
      <c r="J31" s="262"/>
    </row>
    <row r="32" spans="1:10">
      <c r="A32" s="395"/>
      <c r="B32" s="395"/>
      <c r="C32" s="395"/>
      <c r="D32" s="395"/>
      <c r="E32" s="395"/>
      <c r="F32" s="395"/>
      <c r="G32" s="395"/>
      <c r="H32" s="395"/>
      <c r="I32" s="395"/>
      <c r="J32" s="262"/>
    </row>
    <row r="33" spans="1:10">
      <c r="A33" s="395"/>
      <c r="B33" s="395"/>
      <c r="C33" s="395"/>
      <c r="D33" s="395"/>
      <c r="E33" s="395"/>
      <c r="F33" s="395"/>
      <c r="G33" s="395"/>
      <c r="H33" s="395"/>
      <c r="I33" s="395"/>
      <c r="J33" s="262"/>
    </row>
    <row r="34" spans="1:10">
      <c r="A34" s="395"/>
      <c r="B34" s="395"/>
      <c r="C34" s="395"/>
      <c r="D34" s="395"/>
      <c r="E34" s="395"/>
      <c r="F34" s="395"/>
      <c r="G34" s="395"/>
      <c r="H34" s="395"/>
      <c r="I34" s="395"/>
      <c r="J34" s="262"/>
    </row>
    <row r="35" spans="1:10">
      <c r="A35" s="395"/>
      <c r="B35" s="395"/>
      <c r="C35" s="395"/>
      <c r="D35" s="395"/>
      <c r="E35" s="395"/>
      <c r="F35" s="395"/>
      <c r="G35" s="395"/>
      <c r="H35" s="395"/>
      <c r="I35" s="395"/>
      <c r="J35" s="262"/>
    </row>
    <row r="36" spans="1:10">
      <c r="A36" s="395"/>
      <c r="B36" s="395"/>
      <c r="C36" s="395"/>
      <c r="D36" s="395"/>
      <c r="E36" s="395"/>
      <c r="F36" s="395"/>
      <c r="G36" s="395"/>
      <c r="H36" s="395"/>
      <c r="I36" s="395"/>
      <c r="J36" s="262"/>
    </row>
    <row r="37" spans="1:10">
      <c r="A37" s="398" t="s">
        <v>768</v>
      </c>
      <c r="B37" s="395"/>
      <c r="C37" s="398" t="s">
        <v>776</v>
      </c>
      <c r="D37" s="395"/>
      <c r="E37" s="395"/>
      <c r="F37" s="398" t="s">
        <v>748</v>
      </c>
      <c r="G37" s="395"/>
      <c r="H37" s="398" t="s">
        <v>768</v>
      </c>
      <c r="I37" s="395"/>
      <c r="J37" s="262"/>
    </row>
    <row r="38" spans="1:10">
      <c r="A38" s="404" t="s">
        <v>696</v>
      </c>
      <c r="B38" s="399" t="s">
        <v>12</v>
      </c>
      <c r="C38" s="404" t="s">
        <v>696</v>
      </c>
      <c r="D38" s="399" t="s">
        <v>743</v>
      </c>
      <c r="E38" s="395"/>
      <c r="F38" s="404" t="s">
        <v>696</v>
      </c>
      <c r="G38" s="399" t="s">
        <v>745</v>
      </c>
      <c r="H38" s="404" t="s">
        <v>696</v>
      </c>
      <c r="I38" s="399" t="s">
        <v>12</v>
      </c>
      <c r="J38" s="262"/>
    </row>
    <row r="39" spans="1:10">
      <c r="A39" s="404" t="s">
        <v>696</v>
      </c>
      <c r="B39" s="399" t="s">
        <v>750</v>
      </c>
      <c r="C39" s="404" t="s">
        <v>696</v>
      </c>
      <c r="D39" s="399" t="s">
        <v>12</v>
      </c>
      <c r="E39" s="395"/>
      <c r="F39" s="404" t="s">
        <v>696</v>
      </c>
      <c r="G39" s="399" t="s">
        <v>746</v>
      </c>
      <c r="H39" s="404" t="s">
        <v>696</v>
      </c>
      <c r="I39" s="399" t="s">
        <v>750</v>
      </c>
      <c r="J39" s="262"/>
    </row>
    <row r="40" spans="1:10">
      <c r="A40" s="404" t="s">
        <v>696</v>
      </c>
      <c r="B40" s="399" t="s">
        <v>761</v>
      </c>
      <c r="C40" s="404" t="s">
        <v>696</v>
      </c>
      <c r="D40" s="399" t="s">
        <v>750</v>
      </c>
      <c r="E40" s="395"/>
      <c r="F40" s="395"/>
      <c r="G40" s="395"/>
      <c r="H40" s="404" t="s">
        <v>696</v>
      </c>
      <c r="I40" s="399" t="s">
        <v>761</v>
      </c>
      <c r="J40" s="262"/>
    </row>
    <row r="41" spans="1:10">
      <c r="A41" s="404" t="s">
        <v>696</v>
      </c>
      <c r="B41" s="399" t="s">
        <v>770</v>
      </c>
      <c r="C41" s="404" t="s">
        <v>696</v>
      </c>
      <c r="D41" s="399" t="s">
        <v>777</v>
      </c>
      <c r="E41" s="395"/>
      <c r="F41" s="398" t="s">
        <v>874</v>
      </c>
      <c r="G41" s="395"/>
      <c r="H41" s="404" t="s">
        <v>696</v>
      </c>
      <c r="I41" s="399" t="s">
        <v>770</v>
      </c>
      <c r="J41" s="262"/>
    </row>
    <row r="42" spans="1:10">
      <c r="A42" s="404" t="s">
        <v>696</v>
      </c>
      <c r="B42" s="399" t="s">
        <v>771</v>
      </c>
      <c r="C42" s="404" t="s">
        <v>696</v>
      </c>
      <c r="D42" s="399" t="s">
        <v>870</v>
      </c>
      <c r="E42" s="395"/>
      <c r="F42" s="404" t="s">
        <v>696</v>
      </c>
      <c r="G42" s="399" t="s">
        <v>866</v>
      </c>
      <c r="H42" s="404" t="s">
        <v>696</v>
      </c>
      <c r="I42" s="399" t="s">
        <v>771</v>
      </c>
      <c r="J42" s="262"/>
    </row>
    <row r="43" spans="1:10">
      <c r="A43" s="404" t="s">
        <v>696</v>
      </c>
      <c r="B43" s="399" t="s">
        <v>109</v>
      </c>
      <c r="C43" s="404" t="s">
        <v>696</v>
      </c>
      <c r="D43" s="399" t="s">
        <v>13</v>
      </c>
      <c r="E43" s="395"/>
      <c r="F43" s="404" t="s">
        <v>696</v>
      </c>
      <c r="G43" s="399" t="s">
        <v>867</v>
      </c>
      <c r="H43" s="404" t="s">
        <v>696</v>
      </c>
      <c r="I43" s="399" t="s">
        <v>109</v>
      </c>
      <c r="J43" s="262"/>
    </row>
    <row r="44" spans="1:10">
      <c r="A44" s="404" t="s">
        <v>696</v>
      </c>
      <c r="B44" s="399" t="s">
        <v>772</v>
      </c>
      <c r="C44" s="404" t="s">
        <v>696</v>
      </c>
      <c r="D44" s="399" t="s">
        <v>115</v>
      </c>
      <c r="E44" s="395"/>
      <c r="F44" s="404" t="s">
        <v>696</v>
      </c>
      <c r="G44" s="399" t="s">
        <v>868</v>
      </c>
      <c r="H44" s="404" t="s">
        <v>696</v>
      </c>
      <c r="I44" s="399" t="s">
        <v>772</v>
      </c>
      <c r="J44" s="262"/>
    </row>
    <row r="45" spans="1:10">
      <c r="A45" s="404" t="s">
        <v>696</v>
      </c>
      <c r="B45" s="399" t="s">
        <v>115</v>
      </c>
      <c r="C45" s="404" t="s">
        <v>696</v>
      </c>
      <c r="D45" s="399" t="s">
        <v>769</v>
      </c>
      <c r="E45" s="395"/>
      <c r="F45" s="404" t="s">
        <v>696</v>
      </c>
      <c r="G45" s="399" t="s">
        <v>762</v>
      </c>
      <c r="H45" s="404" t="s">
        <v>696</v>
      </c>
      <c r="I45" s="399" t="s">
        <v>115</v>
      </c>
      <c r="J45" s="262"/>
    </row>
    <row r="46" spans="1:10">
      <c r="A46" s="404" t="s">
        <v>696</v>
      </c>
      <c r="B46" s="399" t="s">
        <v>769</v>
      </c>
      <c r="C46" s="404" t="s">
        <v>696</v>
      </c>
      <c r="D46" s="399" t="s">
        <v>778</v>
      </c>
      <c r="E46" s="395"/>
      <c r="F46" s="395"/>
      <c r="G46" s="395"/>
      <c r="H46" s="404" t="s">
        <v>696</v>
      </c>
      <c r="I46" s="399" t="s">
        <v>769</v>
      </c>
      <c r="J46" s="262"/>
    </row>
    <row r="47" spans="1:10">
      <c r="A47" s="404" t="s">
        <v>696</v>
      </c>
      <c r="B47" s="399" t="s">
        <v>765</v>
      </c>
      <c r="C47" s="404" t="s">
        <v>696</v>
      </c>
      <c r="D47" s="399" t="s">
        <v>743</v>
      </c>
      <c r="E47" s="395"/>
      <c r="F47" s="398" t="s">
        <v>874</v>
      </c>
      <c r="G47" s="395"/>
      <c r="H47" s="404" t="s">
        <v>696</v>
      </c>
      <c r="I47" s="399" t="s">
        <v>765</v>
      </c>
      <c r="J47" s="262"/>
    </row>
    <row r="48" spans="1:10">
      <c r="A48" s="404" t="s">
        <v>696</v>
      </c>
      <c r="B48" s="399" t="s">
        <v>766</v>
      </c>
      <c r="C48" s="395"/>
      <c r="D48" s="395"/>
      <c r="E48" s="395"/>
      <c r="F48" s="404" t="s">
        <v>696</v>
      </c>
      <c r="G48" s="399" t="s">
        <v>866</v>
      </c>
      <c r="H48" s="404" t="s">
        <v>696</v>
      </c>
      <c r="I48" s="399" t="s">
        <v>766</v>
      </c>
      <c r="J48" s="262"/>
    </row>
    <row r="49" spans="1:10">
      <c r="A49" s="404" t="s">
        <v>696</v>
      </c>
      <c r="B49" s="399" t="s">
        <v>742</v>
      </c>
      <c r="C49" s="398" t="s">
        <v>780</v>
      </c>
      <c r="D49" s="395"/>
      <c r="E49" s="395"/>
      <c r="F49" s="404" t="s">
        <v>696</v>
      </c>
      <c r="G49" s="399" t="s">
        <v>867</v>
      </c>
      <c r="H49" s="404" t="s">
        <v>696</v>
      </c>
      <c r="I49" s="399" t="s">
        <v>742</v>
      </c>
      <c r="J49" s="262"/>
    </row>
    <row r="50" spans="1:10">
      <c r="A50" s="404" t="s">
        <v>696</v>
      </c>
      <c r="B50" s="399" t="s">
        <v>743</v>
      </c>
      <c r="C50" s="404" t="s">
        <v>696</v>
      </c>
      <c r="D50" s="399" t="s">
        <v>781</v>
      </c>
      <c r="E50" s="395"/>
      <c r="F50" s="404" t="s">
        <v>696</v>
      </c>
      <c r="G50" s="399" t="s">
        <v>868</v>
      </c>
      <c r="H50" s="404" t="s">
        <v>696</v>
      </c>
      <c r="I50" s="399" t="s">
        <v>743</v>
      </c>
      <c r="J50" s="262"/>
    </row>
    <row r="51" spans="1:10">
      <c r="A51" s="395"/>
      <c r="B51" s="395"/>
      <c r="C51" s="404" t="s">
        <v>696</v>
      </c>
      <c r="D51" s="399" t="s">
        <v>782</v>
      </c>
      <c r="E51" s="395"/>
      <c r="F51" s="404" t="s">
        <v>696</v>
      </c>
      <c r="G51" s="399" t="s">
        <v>762</v>
      </c>
      <c r="H51" s="395"/>
      <c r="I51" s="395"/>
      <c r="J51" s="262"/>
    </row>
    <row r="52" spans="1:10">
      <c r="A52" s="398" t="s">
        <v>773</v>
      </c>
      <c r="B52" s="395"/>
      <c r="C52" s="404" t="s">
        <v>696</v>
      </c>
      <c r="D52" s="399" t="s">
        <v>783</v>
      </c>
      <c r="E52" s="395"/>
      <c r="F52" s="395"/>
      <c r="G52" s="395"/>
      <c r="H52" s="398" t="s">
        <v>773</v>
      </c>
      <c r="I52" s="395"/>
      <c r="J52" s="262"/>
    </row>
    <row r="53" spans="1:10">
      <c r="A53" s="404" t="s">
        <v>696</v>
      </c>
      <c r="B53" s="399" t="s">
        <v>765</v>
      </c>
      <c r="C53" s="404" t="s">
        <v>696</v>
      </c>
      <c r="D53" s="399" t="s">
        <v>784</v>
      </c>
      <c r="E53" s="395"/>
      <c r="F53" s="398" t="s">
        <v>756</v>
      </c>
      <c r="G53" s="395"/>
      <c r="H53" s="404" t="s">
        <v>696</v>
      </c>
      <c r="I53" s="399" t="s">
        <v>765</v>
      </c>
      <c r="J53" s="262"/>
    </row>
    <row r="54" spans="1:10">
      <c r="A54" s="404" t="s">
        <v>696</v>
      </c>
      <c r="B54" s="399" t="s">
        <v>766</v>
      </c>
      <c r="C54" s="404" t="s">
        <v>696</v>
      </c>
      <c r="D54" s="399" t="s">
        <v>13</v>
      </c>
      <c r="E54" s="395"/>
      <c r="F54" s="404" t="s">
        <v>696</v>
      </c>
      <c r="G54" s="399" t="s">
        <v>758</v>
      </c>
      <c r="H54" s="404" t="s">
        <v>696</v>
      </c>
      <c r="I54" s="399" t="s">
        <v>766</v>
      </c>
      <c r="J54" s="262"/>
    </row>
    <row r="55" spans="1:10">
      <c r="A55" s="404" t="s">
        <v>696</v>
      </c>
      <c r="B55" s="399" t="s">
        <v>742</v>
      </c>
      <c r="C55" s="404" t="s">
        <v>696</v>
      </c>
      <c r="D55" s="399" t="s">
        <v>115</v>
      </c>
      <c r="E55" s="395"/>
      <c r="F55" s="404" t="s">
        <v>696</v>
      </c>
      <c r="G55" s="399" t="s">
        <v>759</v>
      </c>
      <c r="H55" s="404" t="s">
        <v>696</v>
      </c>
      <c r="I55" s="399" t="s">
        <v>742</v>
      </c>
      <c r="J55" s="262"/>
    </row>
    <row r="56" spans="1:10">
      <c r="A56" s="404" t="s">
        <v>696</v>
      </c>
      <c r="B56" s="399" t="s">
        <v>743</v>
      </c>
      <c r="C56" s="404" t="s">
        <v>696</v>
      </c>
      <c r="D56" s="399" t="s">
        <v>743</v>
      </c>
      <c r="E56" s="395"/>
      <c r="F56" s="404" t="s">
        <v>696</v>
      </c>
      <c r="G56" s="399" t="s">
        <v>760</v>
      </c>
      <c r="H56" s="404" t="s">
        <v>696</v>
      </c>
      <c r="I56" s="399" t="s">
        <v>743</v>
      </c>
      <c r="J56" s="262"/>
    </row>
    <row r="57" spans="1:10">
      <c r="A57" s="395"/>
      <c r="B57" s="395"/>
      <c r="C57" s="404" t="s">
        <v>696</v>
      </c>
      <c r="D57" s="399" t="s">
        <v>12</v>
      </c>
      <c r="E57" s="395"/>
      <c r="F57" s="404" t="s">
        <v>696</v>
      </c>
      <c r="G57" s="399" t="s">
        <v>761</v>
      </c>
      <c r="H57" s="395"/>
      <c r="I57" s="395"/>
      <c r="J57" s="262"/>
    </row>
    <row r="58" spans="1:10">
      <c r="A58" s="395"/>
      <c r="B58" s="395"/>
      <c r="C58" s="395"/>
      <c r="D58" s="395"/>
      <c r="E58" s="395"/>
      <c r="F58" s="404" t="s">
        <v>696</v>
      </c>
      <c r="G58" s="399" t="s">
        <v>762</v>
      </c>
      <c r="H58" s="398" t="s">
        <v>773</v>
      </c>
      <c r="I58" s="395"/>
      <c r="J58" s="262"/>
    </row>
    <row r="59" spans="1:10">
      <c r="A59" s="395"/>
      <c r="B59" s="395"/>
      <c r="C59" s="398" t="s">
        <v>728</v>
      </c>
      <c r="D59" s="395"/>
      <c r="E59" s="395"/>
      <c r="F59" s="404" t="s">
        <v>696</v>
      </c>
      <c r="G59" s="399" t="s">
        <v>872</v>
      </c>
      <c r="H59" s="404" t="s">
        <v>696</v>
      </c>
      <c r="I59" s="399" t="s">
        <v>765</v>
      </c>
      <c r="J59" s="262"/>
    </row>
    <row r="60" spans="1:10">
      <c r="A60" s="395"/>
      <c r="B60" s="395"/>
      <c r="C60" s="404" t="s">
        <v>696</v>
      </c>
      <c r="D60" s="399" t="s">
        <v>745</v>
      </c>
      <c r="E60" s="395"/>
      <c r="F60" s="404" t="s">
        <v>696</v>
      </c>
      <c r="G60" s="399" t="s">
        <v>873</v>
      </c>
      <c r="H60" s="404" t="s">
        <v>696</v>
      </c>
      <c r="I60" s="399" t="s">
        <v>766</v>
      </c>
      <c r="J60" s="262"/>
    </row>
    <row r="61" spans="1:10">
      <c r="A61" s="395"/>
      <c r="B61" s="395"/>
      <c r="C61" s="404" t="s">
        <v>696</v>
      </c>
      <c r="D61" s="399" t="s">
        <v>746</v>
      </c>
      <c r="E61" s="395"/>
      <c r="F61" s="404" t="s">
        <v>696</v>
      </c>
      <c r="G61" s="399" t="s">
        <v>763</v>
      </c>
      <c r="H61" s="404" t="s">
        <v>696</v>
      </c>
      <c r="I61" s="399" t="s">
        <v>742</v>
      </c>
      <c r="J61" s="262"/>
    </row>
    <row r="62" spans="1:10">
      <c r="A62" s="395"/>
      <c r="B62" s="395"/>
      <c r="C62" s="404" t="s">
        <v>696</v>
      </c>
      <c r="D62" s="399" t="s">
        <v>743</v>
      </c>
      <c r="E62" s="395"/>
      <c r="F62" s="404" t="s">
        <v>696</v>
      </c>
      <c r="G62" s="399" t="s">
        <v>764</v>
      </c>
      <c r="H62" s="404" t="s">
        <v>696</v>
      </c>
      <c r="I62" s="399" t="s">
        <v>743</v>
      </c>
      <c r="J62" s="262"/>
    </row>
    <row r="63" spans="1:10">
      <c r="A63" s="395"/>
      <c r="B63" s="395"/>
      <c r="C63" s="404" t="s">
        <v>696</v>
      </c>
      <c r="D63" s="399" t="s">
        <v>742</v>
      </c>
      <c r="E63" s="395"/>
      <c r="F63" s="404" t="s">
        <v>696</v>
      </c>
      <c r="G63" s="399" t="s">
        <v>765</v>
      </c>
      <c r="H63" s="395"/>
      <c r="I63" s="395"/>
      <c r="J63" s="262"/>
    </row>
    <row r="64" spans="1:10">
      <c r="A64" s="395"/>
      <c r="B64" s="395"/>
      <c r="C64" s="404" t="s">
        <v>696</v>
      </c>
      <c r="D64" s="399" t="s">
        <v>743</v>
      </c>
      <c r="E64" s="395"/>
      <c r="F64" s="404" t="s">
        <v>696</v>
      </c>
      <c r="G64" s="399" t="s">
        <v>865</v>
      </c>
      <c r="H64" s="395"/>
      <c r="I64" s="395"/>
      <c r="J64" s="262"/>
    </row>
    <row r="65" spans="1:10">
      <c r="A65" s="395"/>
      <c r="B65" s="395"/>
      <c r="C65" s="404" t="s">
        <v>696</v>
      </c>
      <c r="D65" s="399" t="s">
        <v>12</v>
      </c>
      <c r="E65" s="395"/>
      <c r="F65" s="404" t="s">
        <v>696</v>
      </c>
      <c r="G65" s="399" t="s">
        <v>766</v>
      </c>
      <c r="H65" s="395"/>
      <c r="I65" s="395"/>
      <c r="J65" s="262"/>
    </row>
    <row r="66" spans="1:10">
      <c r="A66" s="395"/>
      <c r="B66" s="395"/>
      <c r="C66" s="395"/>
      <c r="D66" s="395"/>
      <c r="E66" s="395"/>
      <c r="F66" s="404" t="s">
        <v>696</v>
      </c>
      <c r="G66" s="399" t="s">
        <v>742</v>
      </c>
      <c r="H66" s="395"/>
      <c r="I66" s="395"/>
      <c r="J66" s="262"/>
    </row>
    <row r="67" spans="1:10">
      <c r="A67" s="395"/>
      <c r="B67" s="395"/>
      <c r="C67" s="395"/>
      <c r="D67" s="395"/>
      <c r="E67" s="395"/>
      <c r="F67" s="404" t="s">
        <v>696</v>
      </c>
      <c r="G67" s="399" t="s">
        <v>743</v>
      </c>
      <c r="H67" s="395"/>
      <c r="I67" s="395"/>
      <c r="J67" s="262"/>
    </row>
    <row r="68" spans="1:10">
      <c r="A68" s="395"/>
      <c r="B68" s="395"/>
      <c r="C68" s="395"/>
      <c r="D68" s="395"/>
      <c r="E68" s="395"/>
      <c r="F68" s="395"/>
      <c r="G68" s="395"/>
      <c r="H68" s="395"/>
      <c r="I68" s="395"/>
      <c r="J68" s="262"/>
    </row>
    <row r="69" spans="1:10">
      <c r="A69" s="395"/>
      <c r="B69" s="395"/>
      <c r="C69" s="395"/>
      <c r="D69" s="395"/>
      <c r="E69" s="395"/>
      <c r="F69" s="395"/>
      <c r="G69" s="395"/>
      <c r="H69" s="395"/>
      <c r="I69" s="395"/>
      <c r="J69" s="262"/>
    </row>
    <row r="70" spans="1:10">
      <c r="A70" s="395"/>
      <c r="B70" s="395"/>
      <c r="C70" s="395"/>
      <c r="D70" s="395"/>
      <c r="E70" s="395"/>
      <c r="F70" s="395"/>
      <c r="G70" s="395"/>
      <c r="H70" s="395"/>
      <c r="I70" s="395"/>
      <c r="J70" s="262"/>
    </row>
    <row r="71" spans="1:10">
      <c r="A71" s="398" t="s">
        <v>773</v>
      </c>
      <c r="B71" s="395"/>
      <c r="C71" s="398" t="s">
        <v>773</v>
      </c>
      <c r="D71" s="395"/>
      <c r="E71" s="395"/>
      <c r="F71" s="395"/>
      <c r="G71" s="395"/>
      <c r="H71" s="395"/>
      <c r="I71" s="395"/>
      <c r="J71" s="262"/>
    </row>
    <row r="72" spans="1:10">
      <c r="A72" s="404" t="s">
        <v>696</v>
      </c>
      <c r="B72" s="399" t="s">
        <v>765</v>
      </c>
      <c r="C72" s="404" t="s">
        <v>696</v>
      </c>
      <c r="D72" s="399" t="s">
        <v>765</v>
      </c>
      <c r="E72" s="395"/>
      <c r="F72" s="395"/>
      <c r="G72" s="395"/>
      <c r="H72" s="395"/>
      <c r="I72" s="395"/>
      <c r="J72" s="262"/>
    </row>
    <row r="73" spans="1:10">
      <c r="A73" s="404" t="s">
        <v>696</v>
      </c>
      <c r="B73" s="399" t="s">
        <v>766</v>
      </c>
      <c r="C73" s="404" t="s">
        <v>696</v>
      </c>
      <c r="D73" s="399" t="s">
        <v>766</v>
      </c>
      <c r="E73" s="395"/>
      <c r="F73" s="395"/>
      <c r="G73" s="395"/>
      <c r="H73" s="395"/>
      <c r="I73" s="395"/>
      <c r="J73" s="262"/>
    </row>
    <row r="74" spans="1:10">
      <c r="A74" s="404" t="s">
        <v>696</v>
      </c>
      <c r="B74" s="399" t="s">
        <v>742</v>
      </c>
      <c r="C74" s="404" t="s">
        <v>696</v>
      </c>
      <c r="D74" s="399" t="s">
        <v>742</v>
      </c>
      <c r="E74" s="395"/>
      <c r="F74" s="395"/>
      <c r="G74" s="395"/>
      <c r="H74" s="395"/>
      <c r="I74" s="395"/>
      <c r="J74" s="262"/>
    </row>
    <row r="75" spans="1:10">
      <c r="A75" s="404" t="s">
        <v>696</v>
      </c>
      <c r="B75" s="399" t="s">
        <v>743</v>
      </c>
      <c r="C75" s="404" t="s">
        <v>696</v>
      </c>
      <c r="D75" s="399" t="s">
        <v>743</v>
      </c>
      <c r="E75" s="395"/>
      <c r="F75" s="395"/>
      <c r="G75" s="395"/>
      <c r="H75" s="395"/>
      <c r="I75" s="395"/>
      <c r="J75" s="262"/>
    </row>
    <row r="76" spans="1:10">
      <c r="A76" s="395"/>
      <c r="B76" s="395"/>
      <c r="C76" s="395"/>
      <c r="D76" s="395"/>
      <c r="E76" s="395"/>
      <c r="F76" s="395"/>
      <c r="G76" s="395"/>
      <c r="H76" s="395"/>
      <c r="I76" s="395"/>
      <c r="J76" s="262"/>
    </row>
    <row r="77" spans="1:10">
      <c r="A77" s="398" t="s">
        <v>773</v>
      </c>
      <c r="B77" s="395"/>
      <c r="C77" s="398" t="s">
        <v>773</v>
      </c>
      <c r="D77" s="395"/>
      <c r="E77" s="395"/>
      <c r="F77" s="395"/>
      <c r="G77" s="395"/>
      <c r="H77" s="395"/>
      <c r="I77" s="395"/>
      <c r="J77" s="262"/>
    </row>
    <row r="78" spans="1:10">
      <c r="A78" s="404" t="s">
        <v>696</v>
      </c>
      <c r="B78" s="399" t="s">
        <v>765</v>
      </c>
      <c r="C78" s="404" t="s">
        <v>696</v>
      </c>
      <c r="D78" s="399" t="s">
        <v>765</v>
      </c>
      <c r="E78" s="395"/>
      <c r="F78" s="395"/>
      <c r="G78" s="395"/>
      <c r="H78" s="395"/>
      <c r="I78" s="395"/>
      <c r="J78" s="262"/>
    </row>
    <row r="79" spans="1:10">
      <c r="A79" s="404" t="s">
        <v>696</v>
      </c>
      <c r="B79" s="399" t="s">
        <v>766</v>
      </c>
      <c r="C79" s="404" t="s">
        <v>696</v>
      </c>
      <c r="D79" s="399" t="s">
        <v>766</v>
      </c>
      <c r="E79" s="395"/>
      <c r="F79" s="395"/>
      <c r="G79" s="395"/>
      <c r="H79" s="395"/>
      <c r="I79" s="395"/>
      <c r="J79" s="262"/>
    </row>
    <row r="80" spans="1:10">
      <c r="A80" s="404" t="s">
        <v>696</v>
      </c>
      <c r="B80" s="399" t="s">
        <v>742</v>
      </c>
      <c r="C80" s="404" t="s">
        <v>696</v>
      </c>
      <c r="D80" s="399" t="s">
        <v>742</v>
      </c>
      <c r="E80" s="395"/>
      <c r="F80" s="395"/>
      <c r="G80" s="395"/>
      <c r="H80" s="395"/>
      <c r="I80" s="395"/>
      <c r="J80" s="262"/>
    </row>
    <row r="81" spans="1:10">
      <c r="A81" s="404" t="s">
        <v>696</v>
      </c>
      <c r="B81" s="399" t="s">
        <v>743</v>
      </c>
      <c r="C81" s="404" t="s">
        <v>696</v>
      </c>
      <c r="D81" s="399" t="s">
        <v>743</v>
      </c>
      <c r="E81" s="395"/>
      <c r="F81" s="395"/>
      <c r="G81" s="395"/>
      <c r="H81" s="395"/>
      <c r="I81" s="395"/>
      <c r="J81" s="262"/>
    </row>
    <row r="82" spans="1:10">
      <c r="A82" s="395"/>
      <c r="B82" s="395"/>
      <c r="C82" s="395"/>
      <c r="D82" s="395"/>
      <c r="E82" s="395"/>
      <c r="F82" s="395"/>
      <c r="G82" s="395"/>
      <c r="H82" s="395"/>
      <c r="I82" s="395"/>
      <c r="J82" s="262"/>
    </row>
    <row r="83" spans="1:10">
      <c r="A83" s="398" t="s">
        <v>773</v>
      </c>
      <c r="B83" s="395"/>
      <c r="C83" s="398" t="s">
        <v>773</v>
      </c>
      <c r="D83" s="395"/>
      <c r="E83" s="395"/>
      <c r="F83" s="395"/>
      <c r="G83" s="395"/>
      <c r="H83" s="395"/>
      <c r="I83" s="395"/>
      <c r="J83" s="262"/>
    </row>
    <row r="84" spans="1:10">
      <c r="A84" s="404" t="s">
        <v>696</v>
      </c>
      <c r="B84" s="399" t="s">
        <v>765</v>
      </c>
      <c r="C84" s="404" t="s">
        <v>696</v>
      </c>
      <c r="D84" s="399" t="s">
        <v>765</v>
      </c>
      <c r="E84" s="395"/>
      <c r="F84" s="395"/>
      <c r="G84" s="395"/>
      <c r="H84" s="395"/>
      <c r="I84" s="395"/>
      <c r="J84" s="262"/>
    </row>
    <row r="85" spans="1:10">
      <c r="A85" s="404" t="s">
        <v>696</v>
      </c>
      <c r="B85" s="399" t="s">
        <v>766</v>
      </c>
      <c r="C85" s="404" t="s">
        <v>696</v>
      </c>
      <c r="D85" s="399" t="s">
        <v>766</v>
      </c>
      <c r="E85" s="395"/>
      <c r="F85" s="395"/>
      <c r="G85" s="395"/>
      <c r="H85" s="395"/>
      <c r="I85" s="395"/>
      <c r="J85" s="262"/>
    </row>
    <row r="86" spans="1:10">
      <c r="A86" s="404" t="s">
        <v>696</v>
      </c>
      <c r="B86" s="399" t="s">
        <v>742</v>
      </c>
      <c r="C86" s="404" t="s">
        <v>696</v>
      </c>
      <c r="D86" s="399" t="s">
        <v>742</v>
      </c>
      <c r="E86" s="395"/>
      <c r="F86" s="395"/>
      <c r="G86" s="395"/>
      <c r="H86" s="395"/>
      <c r="I86" s="395"/>
      <c r="J86" s="262"/>
    </row>
    <row r="87" spans="1:10">
      <c r="A87" s="404" t="s">
        <v>696</v>
      </c>
      <c r="B87" s="399" t="s">
        <v>743</v>
      </c>
      <c r="C87" s="404" t="s">
        <v>696</v>
      </c>
      <c r="D87" s="399" t="s">
        <v>743</v>
      </c>
      <c r="E87" s="395"/>
      <c r="F87" s="395"/>
      <c r="G87" s="395"/>
      <c r="H87" s="395"/>
      <c r="I87" s="395"/>
      <c r="J87" s="262"/>
    </row>
    <row r="88" spans="1:10">
      <c r="A88" s="395"/>
      <c r="B88" s="395"/>
      <c r="C88" s="395"/>
      <c r="D88" s="395"/>
      <c r="E88" s="395"/>
      <c r="F88" s="395"/>
      <c r="G88" s="395"/>
      <c r="H88" s="395"/>
      <c r="I88" s="395"/>
      <c r="J88" s="262"/>
    </row>
    <row r="89" spans="1:10">
      <c r="A89" s="398" t="s">
        <v>773</v>
      </c>
      <c r="B89" s="395"/>
      <c r="C89" s="395"/>
      <c r="D89" s="395"/>
      <c r="E89" s="395"/>
      <c r="F89" s="395"/>
      <c r="G89" s="395"/>
      <c r="H89" s="395"/>
      <c r="I89" s="395"/>
      <c r="J89" s="262"/>
    </row>
    <row r="90" spans="1:10">
      <c r="A90" s="404" t="s">
        <v>696</v>
      </c>
      <c r="B90" s="399" t="s">
        <v>765</v>
      </c>
      <c r="C90" s="395"/>
      <c r="D90" s="395"/>
      <c r="E90" s="395"/>
      <c r="F90" s="395"/>
      <c r="G90" s="395"/>
      <c r="H90" s="395"/>
      <c r="I90" s="395"/>
      <c r="J90" s="262"/>
    </row>
    <row r="91" spans="1:10">
      <c r="A91" s="404" t="s">
        <v>696</v>
      </c>
      <c r="B91" s="399" t="s">
        <v>766</v>
      </c>
      <c r="C91" s="395"/>
      <c r="D91" s="395"/>
      <c r="E91" s="395"/>
      <c r="F91" s="395"/>
      <c r="G91" s="395"/>
      <c r="H91" s="395"/>
      <c r="I91" s="395"/>
      <c r="J91" s="262"/>
    </row>
    <row r="92" spans="1:10">
      <c r="A92" s="404" t="s">
        <v>696</v>
      </c>
      <c r="B92" s="399" t="s">
        <v>742</v>
      </c>
      <c r="C92" s="395"/>
      <c r="D92" s="395"/>
      <c r="E92" s="395"/>
      <c r="F92" s="395"/>
      <c r="G92" s="395"/>
      <c r="H92" s="395"/>
      <c r="I92" s="395"/>
      <c r="J92" s="262"/>
    </row>
    <row r="93" spans="1:10">
      <c r="A93" s="404" t="s">
        <v>696</v>
      </c>
      <c r="B93" s="399" t="s">
        <v>743</v>
      </c>
      <c r="C93" s="395"/>
      <c r="D93" s="395"/>
      <c r="E93" s="395"/>
      <c r="F93" s="395"/>
      <c r="G93" s="395"/>
      <c r="H93" s="395"/>
      <c r="I93" s="395"/>
      <c r="J93" s="262"/>
    </row>
    <row r="94" spans="1:10">
      <c r="A94" s="395"/>
      <c r="B94" s="395"/>
      <c r="C94" s="395"/>
      <c r="D94" s="395"/>
      <c r="E94" s="395"/>
      <c r="F94" s="395"/>
      <c r="G94" s="395"/>
      <c r="H94" s="395"/>
      <c r="I94" s="395"/>
      <c r="J94" s="262"/>
    </row>
    <row r="95" spans="1:10">
      <c r="A95" s="398" t="s">
        <v>773</v>
      </c>
      <c r="B95" s="395"/>
      <c r="C95" s="395"/>
      <c r="D95" s="395"/>
      <c r="E95" s="395"/>
      <c r="F95" s="395"/>
      <c r="G95" s="395"/>
      <c r="H95" s="395"/>
      <c r="I95" s="395"/>
      <c r="J95" s="262"/>
    </row>
    <row r="96" spans="1:10">
      <c r="A96" s="404" t="s">
        <v>696</v>
      </c>
      <c r="B96" s="399" t="s">
        <v>765</v>
      </c>
      <c r="C96" s="262"/>
      <c r="D96" s="394"/>
      <c r="E96" s="262"/>
      <c r="F96" s="262"/>
      <c r="G96" s="393"/>
      <c r="H96" s="262"/>
      <c r="I96" s="393"/>
      <c r="J96" s="262"/>
    </row>
    <row r="97" spans="1:10">
      <c r="A97" s="404" t="s">
        <v>696</v>
      </c>
      <c r="B97" s="399" t="s">
        <v>766</v>
      </c>
      <c r="C97" s="262"/>
      <c r="D97" s="394"/>
      <c r="E97" s="262"/>
      <c r="F97" s="262"/>
      <c r="G97" s="393"/>
      <c r="H97" s="262"/>
      <c r="I97" s="393"/>
      <c r="J97" s="262"/>
    </row>
    <row r="98" spans="1:10">
      <c r="A98" s="404" t="s">
        <v>696</v>
      </c>
      <c r="B98" s="399" t="s">
        <v>742</v>
      </c>
      <c r="C98" s="262"/>
      <c r="D98" s="394"/>
      <c r="E98" s="262"/>
      <c r="F98" s="262"/>
      <c r="G98" s="393"/>
      <c r="H98" s="262"/>
      <c r="I98" s="393"/>
      <c r="J98" s="262"/>
    </row>
    <row r="99" spans="1:10">
      <c r="A99" s="404" t="s">
        <v>696</v>
      </c>
      <c r="B99" s="399" t="s">
        <v>743</v>
      </c>
      <c r="C99" s="262"/>
      <c r="D99" s="394"/>
      <c r="E99" s="262"/>
      <c r="F99" s="262"/>
      <c r="G99" s="393"/>
      <c r="H99" s="262"/>
      <c r="I99" s="393"/>
      <c r="J99" s="262"/>
    </row>
    <row r="100" spans="1:10">
      <c r="A100" s="262"/>
      <c r="B100" s="393"/>
      <c r="C100" s="262"/>
      <c r="D100" s="394"/>
      <c r="E100" s="262"/>
      <c r="F100" s="262"/>
      <c r="G100" s="393"/>
      <c r="H100" s="262"/>
      <c r="I100" s="393"/>
      <c r="J100" s="262"/>
    </row>
    <row r="101" spans="1:10">
      <c r="A101" s="262"/>
      <c r="B101" s="393"/>
      <c r="C101" s="262"/>
      <c r="D101" s="394"/>
      <c r="E101" s="262"/>
      <c r="F101" s="262"/>
      <c r="G101" s="393"/>
      <c r="H101" s="262"/>
      <c r="I101" s="393"/>
      <c r="J101" s="262"/>
    </row>
    <row r="102" spans="1:10">
      <c r="A102" s="262"/>
      <c r="B102" s="393"/>
      <c r="C102" s="262"/>
      <c r="D102" s="394"/>
      <c r="E102" s="262"/>
      <c r="F102" s="262"/>
      <c r="G102" s="393"/>
      <c r="H102" s="262"/>
      <c r="I102" s="393"/>
      <c r="J102" s="262"/>
    </row>
    <row r="103" spans="1:10">
      <c r="A103" s="262"/>
      <c r="B103" s="393"/>
      <c r="C103" s="262"/>
      <c r="D103" s="394"/>
      <c r="E103" s="262"/>
      <c r="F103" s="262"/>
      <c r="G103" s="393"/>
      <c r="H103" s="262"/>
      <c r="I103" s="393"/>
      <c r="J103" s="262"/>
    </row>
    <row r="104" spans="1:10">
      <c r="A104" s="262"/>
      <c r="B104" s="393"/>
      <c r="C104" s="262"/>
      <c r="D104" s="394"/>
      <c r="E104" s="262"/>
      <c r="F104" s="262"/>
      <c r="G104" s="393"/>
      <c r="H104" s="262"/>
      <c r="I104" s="393"/>
      <c r="J104" s="262"/>
    </row>
    <row r="105" spans="1:10">
      <c r="A105" s="262"/>
      <c r="B105" s="393"/>
      <c r="C105" s="262"/>
      <c r="D105" s="394"/>
      <c r="E105" s="262"/>
      <c r="F105" s="262"/>
      <c r="G105" s="393"/>
      <c r="H105" s="262"/>
      <c r="I105" s="393"/>
      <c r="J105" s="262"/>
    </row>
    <row r="106" spans="1:10">
      <c r="A106" s="262"/>
      <c r="B106" s="393"/>
      <c r="C106" s="262"/>
      <c r="D106" s="394"/>
      <c r="E106" s="262"/>
      <c r="F106" s="262"/>
      <c r="G106" s="393"/>
      <c r="H106" s="262"/>
      <c r="I106" s="393"/>
      <c r="J106" s="262"/>
    </row>
    <row r="107" spans="1:10">
      <c r="A107" s="262"/>
      <c r="B107" s="393"/>
      <c r="C107" s="262"/>
      <c r="D107" s="394"/>
      <c r="E107" s="262"/>
      <c r="F107" s="262"/>
      <c r="G107" s="393"/>
      <c r="H107" s="262"/>
      <c r="I107" s="393"/>
      <c r="J107" s="262"/>
    </row>
    <row r="108" spans="1:10">
      <c r="A108" s="262"/>
      <c r="B108" s="393"/>
      <c r="C108" s="262"/>
      <c r="D108" s="394"/>
      <c r="E108" s="262"/>
      <c r="F108" s="262"/>
      <c r="G108" s="393"/>
      <c r="H108" s="262"/>
      <c r="I108" s="393"/>
      <c r="J108" s="262"/>
    </row>
    <row r="109" spans="1:10">
      <c r="A109" s="262"/>
      <c r="B109" s="393"/>
      <c r="C109" s="262"/>
      <c r="D109" s="394"/>
      <c r="E109" s="262"/>
      <c r="F109" s="262"/>
      <c r="G109" s="393"/>
      <c r="H109" s="262"/>
      <c r="I109" s="393"/>
      <c r="J109" s="262"/>
    </row>
    <row r="110" spans="1:10">
      <c r="A110" s="262"/>
      <c r="B110" s="393"/>
      <c r="C110" s="262"/>
      <c r="D110" s="394"/>
      <c r="E110" s="262"/>
      <c r="F110" s="262"/>
      <c r="G110" s="393"/>
      <c r="H110" s="262"/>
      <c r="I110" s="393"/>
      <c r="J110" s="262"/>
    </row>
    <row r="111" spans="1:10">
      <c r="A111" s="262"/>
      <c r="B111" s="393"/>
      <c r="C111" s="262"/>
      <c r="D111" s="394"/>
      <c r="E111" s="262"/>
      <c r="F111" s="262"/>
      <c r="G111" s="393"/>
      <c r="H111" s="262"/>
      <c r="I111" s="393"/>
      <c r="J111" s="262"/>
    </row>
    <row r="112" spans="1:10">
      <c r="A112" s="262"/>
      <c r="B112" s="393"/>
      <c r="C112" s="262"/>
      <c r="D112" s="394"/>
      <c r="E112" s="262"/>
      <c r="F112" s="262"/>
      <c r="G112" s="393"/>
      <c r="H112" s="262"/>
      <c r="I112" s="393"/>
      <c r="J112" s="262"/>
    </row>
    <row r="113" spans="1:10">
      <c r="A113" s="262"/>
      <c r="B113" s="393"/>
      <c r="C113" s="262"/>
      <c r="D113" s="394"/>
      <c r="E113" s="262"/>
      <c r="F113" s="262"/>
      <c r="G113" s="393"/>
      <c r="H113" s="262"/>
      <c r="I113" s="393"/>
      <c r="J113" s="262"/>
    </row>
    <row r="114" spans="1:10">
      <c r="A114" s="262"/>
      <c r="B114" s="393"/>
      <c r="C114" s="262"/>
      <c r="D114" s="394"/>
      <c r="E114" s="262"/>
      <c r="F114" s="262"/>
      <c r="G114" s="393"/>
      <c r="H114" s="262"/>
      <c r="I114" s="393"/>
      <c r="J114" s="262"/>
    </row>
    <row r="115" spans="1:10">
      <c r="A115" s="262"/>
      <c r="B115" s="393"/>
      <c r="C115" s="262"/>
      <c r="D115" s="394"/>
      <c r="E115" s="262"/>
      <c r="F115" s="262"/>
      <c r="G115" s="393"/>
      <c r="H115" s="262"/>
      <c r="I115" s="393"/>
      <c r="J115" s="262"/>
    </row>
    <row r="116" spans="1:10">
      <c r="A116" s="262"/>
      <c r="B116" s="393"/>
      <c r="C116" s="262"/>
      <c r="D116" s="394"/>
      <c r="E116" s="262"/>
      <c r="F116" s="262"/>
      <c r="G116" s="393"/>
      <c r="H116" s="262"/>
      <c r="I116" s="393"/>
      <c r="J116" s="262"/>
    </row>
    <row r="117" spans="1:10">
      <c r="A117" s="262"/>
      <c r="B117" s="393"/>
      <c r="C117" s="262"/>
      <c r="D117" s="394"/>
      <c r="E117" s="262"/>
      <c r="F117" s="262"/>
      <c r="G117" s="393"/>
      <c r="H117" s="262"/>
      <c r="I117" s="393"/>
      <c r="J117" s="262"/>
    </row>
    <row r="118" spans="1:10">
      <c r="A118" s="262"/>
      <c r="B118" s="393"/>
      <c r="C118" s="262"/>
      <c r="D118" s="394"/>
      <c r="E118" s="262"/>
      <c r="F118" s="262"/>
      <c r="G118" s="393"/>
      <c r="H118" s="262"/>
      <c r="I118" s="393"/>
      <c r="J118" s="262"/>
    </row>
    <row r="119" spans="1:10">
      <c r="A119" s="262"/>
      <c r="B119" s="393"/>
      <c r="C119" s="262"/>
      <c r="D119" s="394"/>
      <c r="E119" s="262"/>
      <c r="F119" s="262"/>
      <c r="G119" s="393"/>
      <c r="H119" s="262"/>
      <c r="I119" s="393"/>
      <c r="J119" s="262"/>
    </row>
    <row r="120" spans="1:10">
      <c r="A120" s="262"/>
      <c r="B120" s="393"/>
      <c r="C120" s="262"/>
      <c r="D120" s="394"/>
      <c r="E120" s="262"/>
      <c r="F120" s="262"/>
      <c r="G120" s="393"/>
      <c r="H120" s="262"/>
      <c r="I120" s="393"/>
      <c r="J120" s="262"/>
    </row>
    <row r="121" spans="1:10">
      <c r="A121" s="262"/>
      <c r="B121" s="393"/>
      <c r="C121" s="262"/>
      <c r="D121" s="394"/>
      <c r="E121" s="262"/>
      <c r="F121" s="262"/>
      <c r="G121" s="393"/>
      <c r="H121" s="262"/>
      <c r="I121" s="393"/>
      <c r="J121" s="262"/>
    </row>
    <row r="122" spans="1:10">
      <c r="A122" s="262"/>
      <c r="B122" s="393"/>
      <c r="C122" s="262"/>
      <c r="D122" s="394"/>
      <c r="E122" s="262"/>
      <c r="F122" s="262"/>
      <c r="G122" s="393"/>
      <c r="H122" s="262"/>
      <c r="I122" s="393"/>
      <c r="J122" s="262"/>
    </row>
    <row r="123" spans="1:10">
      <c r="A123" s="262"/>
      <c r="B123" s="393"/>
      <c r="C123" s="262"/>
      <c r="D123" s="394"/>
      <c r="E123" s="262"/>
      <c r="F123" s="262"/>
      <c r="G123" s="393"/>
      <c r="H123" s="262"/>
      <c r="I123" s="393"/>
      <c r="J123" s="262"/>
    </row>
    <row r="124" spans="1:10">
      <c r="A124" s="262"/>
      <c r="B124" s="393"/>
      <c r="C124" s="262"/>
      <c r="D124" s="394"/>
      <c r="E124" s="262"/>
      <c r="F124" s="262"/>
      <c r="G124" s="393"/>
      <c r="H124" s="262"/>
      <c r="I124" s="393"/>
      <c r="J124" s="262"/>
    </row>
    <row r="125" spans="1:10">
      <c r="A125" s="262"/>
      <c r="B125" s="393"/>
      <c r="C125" s="262"/>
      <c r="D125" s="394"/>
      <c r="E125" s="262"/>
      <c r="F125" s="262"/>
      <c r="G125" s="393"/>
      <c r="H125" s="262"/>
      <c r="I125" s="393"/>
      <c r="J125" s="262"/>
    </row>
    <row r="126" spans="1:10">
      <c r="A126" s="262"/>
      <c r="B126" s="393"/>
      <c r="C126" s="262"/>
      <c r="D126" s="394"/>
      <c r="E126" s="262"/>
      <c r="F126" s="262"/>
      <c r="G126" s="393"/>
      <c r="H126" s="262"/>
      <c r="I126" s="393"/>
      <c r="J126" s="262"/>
    </row>
    <row r="127" spans="1:10">
      <c r="A127" s="262"/>
      <c r="B127" s="393"/>
      <c r="C127" s="262"/>
      <c r="D127" s="394"/>
      <c r="E127" s="262"/>
      <c r="F127" s="262"/>
      <c r="G127" s="393"/>
      <c r="H127" s="262"/>
      <c r="I127" s="393"/>
      <c r="J127" s="262"/>
    </row>
    <row r="128" spans="1:10">
      <c r="A128" s="262"/>
      <c r="B128" s="393"/>
      <c r="C128" s="262"/>
      <c r="D128" s="394"/>
      <c r="E128" s="262"/>
      <c r="F128" s="262"/>
      <c r="G128" s="393"/>
      <c r="H128" s="262"/>
      <c r="I128" s="393"/>
      <c r="J128" s="262"/>
    </row>
    <row r="129" spans="1:10">
      <c r="A129" s="262"/>
      <c r="B129" s="393"/>
      <c r="C129" s="262"/>
      <c r="D129" s="394"/>
      <c r="E129" s="262"/>
      <c r="F129" s="262"/>
      <c r="G129" s="393"/>
      <c r="H129" s="262"/>
      <c r="I129" s="393"/>
      <c r="J129" s="262"/>
    </row>
    <row r="130" spans="1:10">
      <c r="A130" s="262"/>
      <c r="B130" s="393"/>
      <c r="C130" s="262"/>
      <c r="D130" s="394"/>
      <c r="E130" s="262"/>
      <c r="F130" s="262"/>
      <c r="G130" s="393"/>
      <c r="H130" s="262"/>
      <c r="I130" s="393"/>
      <c r="J130" s="262"/>
    </row>
    <row r="131" spans="1:10">
      <c r="A131" s="262"/>
      <c r="B131" s="393"/>
      <c r="C131" s="262"/>
      <c r="D131" s="394"/>
      <c r="E131" s="262"/>
      <c r="F131" s="262"/>
      <c r="G131" s="393"/>
      <c r="H131" s="262"/>
      <c r="I131" s="393"/>
      <c r="J131" s="262"/>
    </row>
    <row r="132" spans="1:10">
      <c r="A132" s="262"/>
      <c r="B132" s="393"/>
      <c r="C132" s="262"/>
      <c r="D132" s="394"/>
      <c r="E132" s="262"/>
      <c r="F132" s="262"/>
      <c r="G132" s="393"/>
      <c r="H132" s="262"/>
      <c r="I132" s="393"/>
      <c r="J132" s="262"/>
    </row>
    <row r="133" spans="1:10">
      <c r="A133" s="262"/>
      <c r="B133" s="393"/>
      <c r="C133" s="262"/>
      <c r="D133" s="394"/>
      <c r="E133" s="262"/>
      <c r="F133" s="262"/>
      <c r="G133" s="393"/>
      <c r="H133" s="262"/>
      <c r="I133" s="393"/>
      <c r="J133" s="262"/>
    </row>
    <row r="134" spans="1:10">
      <c r="A134" s="262"/>
      <c r="B134" s="393"/>
      <c r="C134" s="262"/>
      <c r="D134" s="394"/>
      <c r="E134" s="262"/>
      <c r="F134" s="262"/>
      <c r="G134" s="393"/>
      <c r="H134" s="262"/>
      <c r="I134" s="393"/>
      <c r="J134" s="262"/>
    </row>
    <row r="135" spans="1:10">
      <c r="A135" s="262"/>
      <c r="B135" s="393"/>
      <c r="C135" s="262"/>
      <c r="D135" s="394"/>
      <c r="E135" s="262"/>
      <c r="F135" s="262"/>
      <c r="G135" s="393"/>
      <c r="H135" s="262"/>
      <c r="I135" s="393"/>
      <c r="J135" s="262"/>
    </row>
    <row r="136" spans="1:10">
      <c r="A136" s="262"/>
      <c r="B136" s="393"/>
      <c r="C136" s="262"/>
      <c r="D136" s="394"/>
      <c r="E136" s="262"/>
      <c r="F136" s="262"/>
      <c r="G136" s="393"/>
      <c r="H136" s="262"/>
      <c r="I136" s="393"/>
      <c r="J136" s="262"/>
    </row>
    <row r="137" spans="1:10">
      <c r="A137" s="262"/>
      <c r="B137" s="393"/>
      <c r="C137" s="262"/>
      <c r="D137" s="394"/>
      <c r="E137" s="262"/>
      <c r="F137" s="262"/>
      <c r="G137" s="393"/>
      <c r="H137" s="262"/>
      <c r="I137" s="393"/>
      <c r="J137" s="262"/>
    </row>
    <row r="138" spans="1:10">
      <c r="A138" s="262"/>
      <c r="B138" s="393"/>
      <c r="C138" s="262"/>
      <c r="D138" s="394"/>
      <c r="E138" s="262"/>
      <c r="F138" s="262"/>
      <c r="G138" s="393"/>
      <c r="H138" s="262"/>
      <c r="I138" s="393"/>
      <c r="J138" s="262"/>
    </row>
    <row r="139" spans="1:10">
      <c r="A139" s="262"/>
      <c r="B139" s="393"/>
      <c r="C139" s="262"/>
      <c r="D139" s="394"/>
      <c r="E139" s="262"/>
      <c r="F139" s="262"/>
      <c r="G139" s="393"/>
      <c r="H139" s="262"/>
      <c r="I139" s="393"/>
      <c r="J139" s="262"/>
    </row>
    <row r="140" spans="1:10">
      <c r="A140" s="262"/>
      <c r="B140" s="393"/>
      <c r="C140" s="262"/>
      <c r="D140" s="394"/>
      <c r="E140" s="262"/>
      <c r="F140" s="262"/>
      <c r="G140" s="393"/>
      <c r="H140" s="262"/>
      <c r="I140" s="393"/>
      <c r="J140" s="262"/>
    </row>
    <row r="141" spans="1:10">
      <c r="A141" s="262"/>
      <c r="B141" s="393"/>
      <c r="C141" s="262"/>
      <c r="D141" s="394"/>
      <c r="E141" s="262"/>
      <c r="F141" s="262"/>
      <c r="G141" s="393"/>
      <c r="H141" s="262"/>
      <c r="I141" s="393"/>
      <c r="J141" s="262"/>
    </row>
    <row r="142" spans="1:10">
      <c r="A142" s="262"/>
      <c r="B142" s="393"/>
      <c r="C142" s="262"/>
      <c r="D142" s="394"/>
      <c r="E142" s="262"/>
      <c r="F142" s="262"/>
      <c r="G142" s="393"/>
      <c r="H142" s="262"/>
      <c r="I142" s="393"/>
      <c r="J142" s="262"/>
    </row>
    <row r="143" spans="1:10">
      <c r="A143" s="262"/>
      <c r="B143" s="393"/>
      <c r="C143" s="262"/>
      <c r="D143" s="394"/>
      <c r="E143" s="262"/>
      <c r="F143" s="262"/>
      <c r="G143" s="393"/>
      <c r="H143" s="262"/>
      <c r="I143" s="393"/>
      <c r="J143" s="262"/>
    </row>
    <row r="144" spans="1:10">
      <c r="A144" s="262"/>
      <c r="B144" s="393"/>
      <c r="C144" s="262"/>
      <c r="D144" s="394"/>
      <c r="E144" s="262"/>
      <c r="F144" s="262"/>
      <c r="G144" s="393"/>
      <c r="H144" s="262"/>
      <c r="I144" s="393"/>
      <c r="J144" s="262"/>
    </row>
    <row r="145" spans="1:10">
      <c r="A145" s="262"/>
      <c r="B145" s="393"/>
      <c r="C145" s="262"/>
      <c r="D145" s="394"/>
      <c r="E145" s="262"/>
      <c r="F145" s="262"/>
      <c r="G145" s="393"/>
      <c r="H145" s="262"/>
      <c r="I145" s="393"/>
      <c r="J145" s="262"/>
    </row>
    <row r="146" spans="1:10">
      <c r="A146" s="262"/>
      <c r="B146" s="393"/>
      <c r="C146" s="262"/>
      <c r="D146" s="394"/>
      <c r="E146" s="262"/>
      <c r="F146" s="262"/>
      <c r="G146" s="393"/>
      <c r="H146" s="262"/>
      <c r="I146" s="393"/>
      <c r="J146" s="262"/>
    </row>
    <row r="147" spans="1:10">
      <c r="A147" s="262"/>
      <c r="B147" s="393"/>
      <c r="C147" s="262"/>
      <c r="D147" s="394"/>
      <c r="E147" s="262"/>
      <c r="F147" s="262"/>
      <c r="G147" s="393"/>
      <c r="H147" s="262"/>
      <c r="I147" s="393"/>
      <c r="J147" s="262"/>
    </row>
    <row r="148" spans="1:10">
      <c r="A148" s="262"/>
      <c r="B148" s="393"/>
      <c r="C148" s="262"/>
      <c r="D148" s="394"/>
      <c r="E148" s="262"/>
      <c r="F148" s="262"/>
      <c r="G148" s="393"/>
      <c r="H148" s="262"/>
      <c r="I148" s="393"/>
      <c r="J148" s="262"/>
    </row>
    <row r="149" spans="1:10">
      <c r="A149" s="262"/>
      <c r="B149" s="393"/>
      <c r="C149" s="262"/>
      <c r="D149" s="394"/>
      <c r="E149" s="262"/>
      <c r="F149" s="262"/>
      <c r="G149" s="393"/>
      <c r="H149" s="262"/>
      <c r="I149" s="393"/>
      <c r="J149" s="262"/>
    </row>
    <row r="150" spans="1:10">
      <c r="A150" s="262"/>
      <c r="B150" s="393"/>
      <c r="C150" s="262"/>
      <c r="D150" s="394"/>
      <c r="E150" s="262"/>
      <c r="F150" s="262"/>
      <c r="G150" s="393"/>
      <c r="H150" s="262"/>
      <c r="I150" s="393"/>
      <c r="J150" s="262"/>
    </row>
    <row r="151" spans="1:10">
      <c r="A151" s="262"/>
      <c r="B151" s="393"/>
      <c r="C151" s="262"/>
      <c r="D151" s="394"/>
      <c r="E151" s="262"/>
      <c r="F151" s="262"/>
      <c r="G151" s="393"/>
      <c r="H151" s="262"/>
      <c r="I151" s="393"/>
      <c r="J151" s="262"/>
    </row>
    <row r="152" spans="1:10">
      <c r="A152" s="262"/>
      <c r="B152" s="393"/>
      <c r="C152" s="262"/>
      <c r="D152" s="394"/>
      <c r="E152" s="262"/>
      <c r="F152" s="262"/>
      <c r="G152" s="393"/>
      <c r="H152" s="262"/>
      <c r="I152" s="393"/>
      <c r="J152" s="262"/>
    </row>
    <row r="153" spans="1:10">
      <c r="A153" s="262"/>
      <c r="B153" s="393"/>
      <c r="C153" s="262"/>
      <c r="D153" s="394"/>
      <c r="E153" s="262"/>
      <c r="F153" s="262"/>
      <c r="G153" s="393"/>
      <c r="H153" s="262"/>
      <c r="I153" s="393"/>
      <c r="J153" s="262"/>
    </row>
    <row r="154" spans="1:10">
      <c r="A154" s="262"/>
      <c r="B154" s="393"/>
      <c r="C154" s="262"/>
      <c r="D154" s="394"/>
      <c r="E154" s="262"/>
      <c r="F154" s="262"/>
      <c r="G154" s="393"/>
      <c r="H154" s="262"/>
      <c r="I154" s="393"/>
      <c r="J154" s="262"/>
    </row>
    <row r="155" spans="1:10">
      <c r="A155" s="262"/>
      <c r="B155" s="393"/>
      <c r="C155" s="262"/>
      <c r="D155" s="394"/>
      <c r="E155" s="262"/>
      <c r="F155" s="262"/>
      <c r="G155" s="393"/>
      <c r="H155" s="262"/>
      <c r="I155" s="393"/>
      <c r="J155" s="262"/>
    </row>
    <row r="156" spans="1:10">
      <c r="A156" s="262"/>
      <c r="B156" s="393"/>
      <c r="C156" s="262"/>
      <c r="D156" s="394"/>
      <c r="E156" s="262"/>
      <c r="F156" s="262"/>
      <c r="G156" s="393"/>
      <c r="H156" s="262"/>
      <c r="I156" s="393"/>
      <c r="J156" s="262"/>
    </row>
    <row r="157" spans="1:10">
      <c r="A157" s="262"/>
      <c r="B157" s="393"/>
      <c r="C157" s="262"/>
      <c r="D157" s="394"/>
      <c r="E157" s="262"/>
      <c r="F157" s="262"/>
      <c r="G157" s="393"/>
      <c r="H157" s="262"/>
      <c r="I157" s="393"/>
      <c r="J157" s="262"/>
    </row>
    <row r="158" spans="1:10">
      <c r="A158" s="262"/>
      <c r="B158" s="393"/>
      <c r="C158" s="262"/>
      <c r="D158" s="394"/>
      <c r="E158" s="262"/>
      <c r="F158" s="262"/>
      <c r="G158" s="393"/>
      <c r="H158" s="262"/>
      <c r="I158" s="393"/>
      <c r="J158" s="262"/>
    </row>
    <row r="159" spans="1:10">
      <c r="A159" s="262"/>
      <c r="B159" s="393"/>
      <c r="C159" s="262"/>
      <c r="D159" s="394"/>
      <c r="E159" s="262"/>
      <c r="F159" s="262"/>
      <c r="G159" s="393"/>
      <c r="H159" s="262"/>
      <c r="I159" s="393"/>
      <c r="J159" s="262"/>
    </row>
    <row r="160" spans="1:10">
      <c r="A160" s="262"/>
      <c r="B160" s="393"/>
      <c r="C160" s="262"/>
      <c r="D160" s="394"/>
      <c r="E160" s="262"/>
      <c r="F160" s="262"/>
      <c r="G160" s="393"/>
      <c r="H160" s="262"/>
      <c r="I160" s="393"/>
      <c r="J160" s="262"/>
    </row>
    <row r="161" spans="1:10">
      <c r="A161" s="262"/>
      <c r="B161" s="393"/>
      <c r="C161" s="262"/>
      <c r="D161" s="394"/>
      <c r="E161" s="262"/>
      <c r="F161" s="262"/>
      <c r="G161" s="393"/>
      <c r="H161" s="262"/>
      <c r="I161" s="393"/>
      <c r="J161" s="262"/>
    </row>
    <row r="162" spans="1:10">
      <c r="A162" s="262"/>
      <c r="B162" s="393"/>
      <c r="C162" s="262"/>
      <c r="D162" s="394"/>
      <c r="E162" s="262"/>
      <c r="F162" s="262"/>
      <c r="G162" s="393"/>
      <c r="H162" s="262"/>
      <c r="I162" s="393"/>
      <c r="J162" s="262"/>
    </row>
    <row r="163" spans="1:10">
      <c r="A163" s="262"/>
      <c r="B163" s="393"/>
      <c r="C163" s="262"/>
      <c r="D163" s="394"/>
      <c r="E163" s="262"/>
      <c r="F163" s="262"/>
      <c r="G163" s="393"/>
      <c r="H163" s="262"/>
      <c r="I163" s="393"/>
      <c r="J163" s="262"/>
    </row>
    <row r="164" spans="1:10">
      <c r="A164" s="262"/>
      <c r="B164" s="393"/>
      <c r="C164" s="262"/>
      <c r="D164" s="394"/>
      <c r="E164" s="262"/>
      <c r="F164" s="262"/>
      <c r="G164" s="393"/>
      <c r="H164" s="262"/>
      <c r="I164" s="393"/>
      <c r="J164" s="262"/>
    </row>
    <row r="165" spans="1:10">
      <c r="A165" s="262"/>
      <c r="B165" s="393"/>
      <c r="C165" s="262"/>
      <c r="D165" s="394"/>
      <c r="E165" s="262"/>
      <c r="F165" s="262"/>
      <c r="G165" s="393"/>
      <c r="H165" s="262"/>
      <c r="I165" s="393"/>
      <c r="J165" s="262"/>
    </row>
    <row r="166" spans="1:10">
      <c r="A166" s="262"/>
      <c r="B166" s="393"/>
      <c r="C166" s="262"/>
      <c r="D166" s="394"/>
      <c r="E166" s="262"/>
      <c r="F166" s="262"/>
      <c r="G166" s="393"/>
      <c r="H166" s="262"/>
      <c r="I166" s="393"/>
      <c r="J166" s="262"/>
    </row>
    <row r="167" spans="1:10">
      <c r="A167" s="262"/>
      <c r="B167" s="393"/>
      <c r="C167" s="262"/>
      <c r="D167" s="394"/>
      <c r="E167" s="262"/>
      <c r="F167" s="262"/>
      <c r="G167" s="393"/>
      <c r="H167" s="262"/>
      <c r="I167" s="393"/>
      <c r="J167" s="262"/>
    </row>
    <row r="168" spans="1:10">
      <c r="A168" s="262"/>
      <c r="B168" s="393"/>
      <c r="C168" s="262"/>
      <c r="D168" s="394"/>
      <c r="E168" s="262"/>
      <c r="F168" s="262"/>
      <c r="G168" s="393"/>
      <c r="H168" s="262"/>
      <c r="I168" s="393"/>
      <c r="J168" s="262"/>
    </row>
    <row r="169" spans="1:10">
      <c r="A169" s="262"/>
      <c r="B169" s="393"/>
      <c r="C169" s="262"/>
      <c r="D169" s="394"/>
      <c r="E169" s="262"/>
      <c r="F169" s="262"/>
      <c r="G169" s="393"/>
      <c r="H169" s="262"/>
      <c r="I169" s="393"/>
      <c r="J169" s="262"/>
    </row>
    <row r="170" spans="1:10">
      <c r="A170" s="262"/>
      <c r="B170" s="393"/>
      <c r="C170" s="262"/>
      <c r="D170" s="394"/>
      <c r="E170" s="262"/>
      <c r="F170" s="262"/>
      <c r="G170" s="393"/>
      <c r="H170" s="262"/>
      <c r="I170" s="393"/>
      <c r="J170" s="262"/>
    </row>
    <row r="171" spans="1:10">
      <c r="A171" s="262"/>
      <c r="B171" s="393"/>
      <c r="C171" s="262"/>
      <c r="D171" s="394"/>
      <c r="E171" s="262"/>
      <c r="F171" s="262"/>
      <c r="G171" s="393"/>
      <c r="H171" s="262"/>
      <c r="I171" s="393"/>
      <c r="J171" s="262"/>
    </row>
    <row r="172" spans="1:10">
      <c r="A172" s="262"/>
      <c r="B172" s="393"/>
      <c r="C172" s="262"/>
      <c r="D172" s="394"/>
      <c r="E172" s="262"/>
      <c r="F172" s="262"/>
      <c r="G172" s="393"/>
      <c r="H172" s="262"/>
      <c r="I172" s="393"/>
      <c r="J172" s="262"/>
    </row>
    <row r="173" spans="1:10">
      <c r="A173" s="262"/>
      <c r="B173" s="393"/>
      <c r="C173" s="262"/>
      <c r="D173" s="394"/>
      <c r="E173" s="262"/>
      <c r="F173" s="262"/>
      <c r="G173" s="393"/>
      <c r="H173" s="262"/>
      <c r="I173" s="393"/>
      <c r="J173" s="262"/>
    </row>
    <row r="174" spans="1:10">
      <c r="A174" s="262"/>
      <c r="B174" s="393"/>
      <c r="C174" s="262"/>
      <c r="D174" s="394"/>
      <c r="E174" s="262"/>
      <c r="F174" s="262"/>
      <c r="G174" s="393"/>
      <c r="H174" s="262"/>
      <c r="I174" s="393"/>
      <c r="J174" s="262"/>
    </row>
    <row r="175" spans="1:10">
      <c r="A175" s="262"/>
      <c r="B175" s="393"/>
      <c r="C175" s="262"/>
      <c r="D175" s="394"/>
      <c r="E175" s="262"/>
      <c r="F175" s="262"/>
      <c r="G175" s="393"/>
      <c r="H175" s="262"/>
      <c r="I175" s="393"/>
      <c r="J175" s="262"/>
    </row>
    <row r="176" spans="1:10">
      <c r="A176" s="262"/>
      <c r="B176" s="393"/>
      <c r="C176" s="262"/>
      <c r="D176" s="394"/>
      <c r="E176" s="262"/>
      <c r="F176" s="262"/>
      <c r="G176" s="393"/>
      <c r="H176" s="262"/>
      <c r="I176" s="393"/>
      <c r="J176" s="262"/>
    </row>
    <row r="177" spans="1:10">
      <c r="A177" s="262"/>
      <c r="B177" s="393"/>
      <c r="C177" s="262"/>
      <c r="D177" s="394"/>
      <c r="E177" s="262"/>
      <c r="F177" s="262"/>
      <c r="G177" s="393"/>
      <c r="H177" s="262"/>
      <c r="I177" s="393"/>
      <c r="J177" s="262"/>
    </row>
    <row r="178" spans="1:10">
      <c r="A178" s="262"/>
      <c r="B178" s="393"/>
      <c r="C178" s="262"/>
      <c r="D178" s="394"/>
      <c r="E178" s="262"/>
      <c r="F178" s="262"/>
      <c r="G178" s="393"/>
      <c r="H178" s="262"/>
      <c r="I178" s="393"/>
      <c r="J178" s="262"/>
    </row>
    <row r="179" spans="1:10">
      <c r="A179" s="262"/>
      <c r="B179" s="393"/>
      <c r="C179" s="262"/>
      <c r="D179" s="394"/>
      <c r="E179" s="262"/>
      <c r="F179" s="262"/>
      <c r="G179" s="393"/>
      <c r="H179" s="262"/>
      <c r="I179" s="393"/>
      <c r="J179" s="262"/>
    </row>
    <row r="180" spans="1:10">
      <c r="A180" s="262"/>
      <c r="B180" s="393"/>
      <c r="C180" s="262"/>
      <c r="D180" s="394"/>
      <c r="E180" s="262"/>
      <c r="F180" s="262"/>
      <c r="G180" s="393"/>
      <c r="H180" s="262"/>
      <c r="I180" s="393"/>
      <c r="J180" s="262"/>
    </row>
    <row r="181" spans="1:10">
      <c r="A181" s="262"/>
      <c r="B181" s="393"/>
      <c r="C181" s="262"/>
      <c r="D181" s="394"/>
      <c r="E181" s="262"/>
      <c r="F181" s="262"/>
      <c r="G181" s="393"/>
      <c r="H181" s="262"/>
      <c r="I181" s="393"/>
      <c r="J181" s="262"/>
    </row>
    <row r="182" spans="1:10">
      <c r="A182" s="262"/>
      <c r="B182" s="393"/>
      <c r="C182" s="262"/>
      <c r="D182" s="394"/>
      <c r="E182" s="262"/>
      <c r="F182" s="262"/>
      <c r="G182" s="393"/>
      <c r="H182" s="262"/>
      <c r="I182" s="393"/>
      <c r="J182" s="262"/>
    </row>
    <row r="183" spans="1:10">
      <c r="A183" s="262"/>
      <c r="B183" s="393"/>
      <c r="C183" s="262"/>
      <c r="D183" s="394"/>
      <c r="E183" s="262"/>
      <c r="F183" s="262"/>
      <c r="G183" s="393"/>
      <c r="H183" s="262"/>
      <c r="I183" s="393"/>
      <c r="J183" s="262"/>
    </row>
    <row r="184" spans="1:10">
      <c r="A184" s="262"/>
      <c r="B184" s="393"/>
      <c r="C184" s="262"/>
      <c r="D184" s="394"/>
      <c r="E184" s="262"/>
      <c r="F184" s="262"/>
      <c r="G184" s="393"/>
      <c r="H184" s="262"/>
      <c r="I184" s="393"/>
      <c r="J184" s="262"/>
    </row>
    <row r="185" spans="1:10">
      <c r="A185" s="262"/>
      <c r="B185" s="393"/>
      <c r="C185" s="262"/>
      <c r="D185" s="394"/>
      <c r="E185" s="262"/>
      <c r="F185" s="262"/>
      <c r="G185" s="393"/>
      <c r="H185" s="262"/>
      <c r="I185" s="393"/>
      <c r="J185" s="262"/>
    </row>
    <row r="186" spans="1:10">
      <c r="A186" s="262"/>
      <c r="B186" s="393"/>
      <c r="C186" s="262"/>
      <c r="D186" s="394"/>
      <c r="E186" s="262"/>
      <c r="F186" s="262"/>
      <c r="G186" s="393"/>
      <c r="H186" s="262"/>
      <c r="I186" s="393"/>
      <c r="J186" s="262"/>
    </row>
    <row r="187" spans="1:10">
      <c r="A187" s="262"/>
      <c r="B187" s="393"/>
      <c r="C187" s="262"/>
      <c r="D187" s="394"/>
      <c r="E187" s="262"/>
      <c r="F187" s="262"/>
      <c r="G187" s="393"/>
      <c r="H187" s="262"/>
      <c r="I187" s="393"/>
      <c r="J187" s="262"/>
    </row>
    <row r="188" spans="1:10">
      <c r="A188" s="262"/>
      <c r="B188" s="393"/>
      <c r="C188" s="262"/>
      <c r="D188" s="394"/>
      <c r="E188" s="262"/>
      <c r="F188" s="262"/>
      <c r="G188" s="393"/>
      <c r="H188" s="262"/>
      <c r="I188" s="393"/>
      <c r="J188" s="262"/>
    </row>
    <row r="189" spans="1:10">
      <c r="A189" s="262"/>
      <c r="B189" s="393"/>
      <c r="C189" s="262"/>
      <c r="D189" s="394"/>
      <c r="E189" s="262"/>
      <c r="F189" s="262"/>
      <c r="G189" s="393"/>
      <c r="H189" s="262"/>
      <c r="I189" s="393"/>
      <c r="J189" s="262"/>
    </row>
    <row r="190" spans="1:10">
      <c r="A190" s="262"/>
      <c r="B190" s="393"/>
      <c r="C190" s="262"/>
      <c r="D190" s="394"/>
      <c r="E190" s="262"/>
      <c r="F190" s="262"/>
      <c r="G190" s="393"/>
      <c r="H190" s="262"/>
      <c r="I190" s="393"/>
      <c r="J190" s="262"/>
    </row>
    <row r="191" spans="1:10">
      <c r="A191" s="262"/>
      <c r="B191" s="393"/>
      <c r="C191" s="262"/>
      <c r="D191" s="394"/>
      <c r="E191" s="262"/>
      <c r="F191" s="262"/>
      <c r="G191" s="393"/>
      <c r="H191" s="262"/>
      <c r="I191" s="393"/>
      <c r="J191" s="262"/>
    </row>
    <row r="192" spans="1:10">
      <c r="A192" s="262"/>
      <c r="B192" s="393"/>
      <c r="C192" s="262"/>
      <c r="D192" s="394"/>
      <c r="E192" s="262"/>
      <c r="F192" s="262"/>
      <c r="G192" s="393"/>
      <c r="H192" s="262"/>
      <c r="I192" s="393"/>
      <c r="J192" s="262"/>
    </row>
    <row r="193" spans="1:10">
      <c r="A193" s="262"/>
      <c r="B193" s="393"/>
      <c r="C193" s="262"/>
      <c r="D193" s="394"/>
      <c r="E193" s="262"/>
      <c r="F193" s="262"/>
      <c r="G193" s="393"/>
      <c r="H193" s="262"/>
      <c r="I193" s="393"/>
      <c r="J193" s="262"/>
    </row>
    <row r="194" spans="1:10">
      <c r="A194" s="262"/>
      <c r="B194" s="393"/>
      <c r="C194" s="262"/>
      <c r="D194" s="394"/>
      <c r="E194" s="262"/>
      <c r="F194" s="262"/>
      <c r="G194" s="393"/>
      <c r="H194" s="262"/>
      <c r="I194" s="393"/>
      <c r="J194" s="262"/>
    </row>
    <row r="195" spans="1:10">
      <c r="A195" s="262"/>
      <c r="B195" s="393"/>
      <c r="C195" s="262"/>
      <c r="D195" s="394"/>
      <c r="E195" s="262"/>
      <c r="F195" s="262"/>
      <c r="G195" s="393"/>
      <c r="H195" s="262"/>
      <c r="I195" s="393"/>
      <c r="J195" s="262"/>
    </row>
    <row r="196" spans="1:10">
      <c r="A196" s="262"/>
      <c r="B196" s="393"/>
      <c r="C196" s="262"/>
      <c r="D196" s="394"/>
      <c r="E196" s="262"/>
      <c r="F196" s="262"/>
      <c r="G196" s="393"/>
      <c r="H196" s="262"/>
      <c r="I196" s="393"/>
      <c r="J196" s="262"/>
    </row>
    <row r="197" spans="1:10">
      <c r="A197" s="262"/>
      <c r="B197" s="393"/>
      <c r="C197" s="262"/>
      <c r="D197" s="394"/>
      <c r="E197" s="262"/>
      <c r="F197" s="262"/>
      <c r="G197" s="393"/>
      <c r="H197" s="262"/>
      <c r="I197" s="393"/>
      <c r="J197" s="262"/>
    </row>
    <row r="198" spans="1:10">
      <c r="A198" s="262"/>
      <c r="B198" s="393"/>
      <c r="C198" s="262"/>
      <c r="D198" s="394"/>
      <c r="E198" s="262"/>
      <c r="F198" s="262"/>
      <c r="G198" s="393"/>
      <c r="H198" s="262"/>
      <c r="I198" s="393"/>
      <c r="J198" s="262"/>
    </row>
    <row r="199" spans="1:10">
      <c r="A199" s="262"/>
      <c r="B199" s="393"/>
      <c r="C199" s="262"/>
      <c r="D199" s="394"/>
      <c r="E199" s="262"/>
      <c r="F199" s="262"/>
      <c r="G199" s="393"/>
      <c r="H199" s="262"/>
      <c r="I199" s="393"/>
      <c r="J199" s="262"/>
    </row>
    <row r="200" spans="1:10">
      <c r="A200" s="262"/>
      <c r="B200" s="393"/>
      <c r="C200" s="262"/>
      <c r="D200" s="394"/>
      <c r="E200" s="262"/>
      <c r="F200" s="262"/>
      <c r="G200" s="393"/>
      <c r="H200" s="262"/>
      <c r="I200" s="393"/>
      <c r="J200" s="262"/>
    </row>
  </sheetData>
  <dataConsolidate/>
  <pageMargins left="0.78740157480314954" right="0.78740157480314954" top="0.78740157480314954" bottom="0.78740157480314954" header="0.3" footer="0.3"/>
  <pageSetup paperSize="9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9BC8-DD9C-4555-8DD8-4937A10BE30C}">
  <sheetPr codeName="Tabelle19">
    <pageSetUpPr fitToPage="1"/>
  </sheetPr>
  <dimension ref="A1:I217"/>
  <sheetViews>
    <sheetView view="pageBreakPreview" zoomScale="50" zoomScaleNormal="100" zoomScaleSheetLayoutView="50" workbookViewId="0">
      <selection activeCell="S7" sqref="S7"/>
    </sheetView>
  </sheetViews>
  <sheetFormatPr baseColWidth="10" defaultColWidth="11.44140625" defaultRowHeight="13.8"/>
  <cols>
    <col min="1" max="1" width="4.6640625" style="261" customWidth="1"/>
    <col min="2" max="2" width="40.6640625" style="262" customWidth="1"/>
    <col min="3" max="3" width="4.6640625" style="262" customWidth="1"/>
    <col min="4" max="4" width="40.6640625" style="262" customWidth="1"/>
    <col min="5" max="5" width="16.6640625" style="262" customWidth="1"/>
    <col min="6" max="6" width="4.6640625" style="262" customWidth="1"/>
    <col min="7" max="7" width="40.6640625" style="262" customWidth="1"/>
    <col min="8" max="8" width="4.6640625" style="262" customWidth="1"/>
    <col min="9" max="9" width="40.6640625" style="262" customWidth="1"/>
    <col min="10" max="16384" width="11.44140625" style="262"/>
  </cols>
  <sheetData>
    <row r="1" spans="1:9" ht="19.95" customHeight="1">
      <c r="A1" s="269" t="s">
        <v>889</v>
      </c>
    </row>
    <row r="2" spans="1:9" s="299" customFormat="1" ht="20.100000000000001" customHeight="1">
      <c r="A2" s="300"/>
    </row>
    <row r="3" spans="1:9" s="299" customFormat="1" ht="19.95" customHeight="1">
      <c r="A3" s="296" t="s">
        <v>668</v>
      </c>
      <c r="C3" s="296" t="s">
        <v>669</v>
      </c>
      <c r="F3" s="296" t="s">
        <v>674</v>
      </c>
      <c r="H3" s="296" t="s">
        <v>675</v>
      </c>
    </row>
    <row r="4" spans="1:9" ht="25.2" customHeight="1">
      <c r="A4" s="270"/>
      <c r="B4" s="271" t="s">
        <v>66</v>
      </c>
      <c r="C4" s="271"/>
      <c r="D4" s="271" t="s">
        <v>0</v>
      </c>
      <c r="E4" s="271"/>
      <c r="F4" s="271"/>
      <c r="G4" s="271" t="s">
        <v>685</v>
      </c>
      <c r="H4" s="271"/>
      <c r="I4" s="271" t="s">
        <v>10</v>
      </c>
    </row>
    <row r="5" spans="1:9" ht="25.2" customHeight="1">
      <c r="A5" s="270"/>
      <c r="B5" s="271" t="s">
        <v>11</v>
      </c>
      <c r="C5" s="271"/>
      <c r="D5" s="271" t="s">
        <v>22</v>
      </c>
      <c r="E5" s="271"/>
      <c r="F5" s="271"/>
      <c r="G5" s="271" t="s">
        <v>3</v>
      </c>
      <c r="H5" s="271"/>
      <c r="I5" s="271" t="s">
        <v>25</v>
      </c>
    </row>
    <row r="6" spans="1:9" ht="25.2" customHeight="1">
      <c r="A6" s="270"/>
      <c r="B6" s="271" t="s">
        <v>7</v>
      </c>
      <c r="C6" s="271"/>
      <c r="D6" s="271" t="s">
        <v>8</v>
      </c>
      <c r="E6" s="271"/>
      <c r="F6" s="271"/>
      <c r="G6" s="271" t="s">
        <v>2</v>
      </c>
      <c r="H6" s="271"/>
      <c r="I6" s="271" t="s">
        <v>12</v>
      </c>
    </row>
    <row r="7" spans="1:9" ht="25.2" customHeight="1">
      <c r="A7" s="270"/>
      <c r="B7" s="271" t="s">
        <v>31</v>
      </c>
      <c r="C7" s="271"/>
      <c r="D7" s="271" t="s">
        <v>890</v>
      </c>
      <c r="E7" s="271"/>
      <c r="F7" s="271"/>
      <c r="G7" s="271" t="s">
        <v>41</v>
      </c>
      <c r="H7" s="271"/>
      <c r="I7" s="271" t="s">
        <v>20</v>
      </c>
    </row>
    <row r="8" spans="1:9" ht="25.2" customHeight="1">
      <c r="A8" s="270"/>
      <c r="B8" s="271" t="s">
        <v>89</v>
      </c>
      <c r="C8" s="271"/>
      <c r="D8" s="271" t="s">
        <v>7</v>
      </c>
      <c r="E8" s="271"/>
      <c r="F8" s="271"/>
      <c r="G8" s="271" t="s">
        <v>21</v>
      </c>
      <c r="H8" s="271"/>
      <c r="I8" s="271"/>
    </row>
    <row r="9" spans="1:9" ht="25.2" customHeight="1">
      <c r="A9" s="270"/>
      <c r="B9" s="271" t="s">
        <v>42</v>
      </c>
      <c r="C9" s="271"/>
      <c r="D9" s="271" t="s">
        <v>628</v>
      </c>
      <c r="E9" s="271"/>
      <c r="F9" s="271"/>
      <c r="G9" s="271" t="s">
        <v>700</v>
      </c>
      <c r="H9" s="271"/>
      <c r="I9" s="271"/>
    </row>
    <row r="10" spans="1:9" ht="25.2" customHeight="1">
      <c r="A10" s="270"/>
      <c r="B10" s="271" t="s">
        <v>210</v>
      </c>
      <c r="C10" s="271"/>
      <c r="D10" s="271" t="s">
        <v>6</v>
      </c>
      <c r="E10" s="271"/>
      <c r="F10" s="271"/>
      <c r="G10" s="271"/>
      <c r="H10" s="271"/>
      <c r="I10" s="271"/>
    </row>
    <row r="11" spans="1:9" ht="25.2" customHeight="1">
      <c r="A11" s="270"/>
      <c r="B11" s="271" t="s">
        <v>30</v>
      </c>
      <c r="C11" s="271"/>
      <c r="D11" s="271" t="s">
        <v>618</v>
      </c>
      <c r="E11" s="271"/>
      <c r="F11" s="271"/>
      <c r="G11" s="271"/>
      <c r="H11" s="271"/>
      <c r="I11" s="271"/>
    </row>
    <row r="12" spans="1:9" ht="25.2" customHeight="1">
      <c r="A12" s="270"/>
      <c r="B12" s="271"/>
      <c r="C12" s="271"/>
      <c r="D12" s="271" t="s">
        <v>661</v>
      </c>
      <c r="E12" s="271"/>
      <c r="F12" s="271"/>
      <c r="G12" s="271"/>
      <c r="H12" s="271"/>
      <c r="I12" s="271"/>
    </row>
    <row r="13" spans="1:9" ht="25.2" customHeight="1">
      <c r="A13" s="270"/>
      <c r="B13" s="271"/>
      <c r="C13" s="271"/>
      <c r="D13" s="271" t="s">
        <v>37</v>
      </c>
      <c r="E13" s="271"/>
      <c r="F13" s="271"/>
      <c r="G13" s="271"/>
      <c r="H13" s="271"/>
      <c r="I13" s="271"/>
    </row>
    <row r="14" spans="1:9" ht="25.2" customHeight="1">
      <c r="A14" s="270"/>
      <c r="B14" s="271"/>
      <c r="C14" s="271"/>
      <c r="D14" s="271" t="s">
        <v>620</v>
      </c>
      <c r="E14" s="271"/>
      <c r="F14" s="271"/>
      <c r="G14" s="271"/>
      <c r="H14" s="271"/>
      <c r="I14" s="271"/>
    </row>
    <row r="15" spans="1:9" ht="17.100000000000001" customHeight="1"/>
    <row r="16" spans="1:9" ht="17.100000000000001" customHeight="1"/>
    <row r="17" spans="1:9" ht="19.95" customHeight="1"/>
    <row r="18" spans="1:9" ht="16.95" customHeight="1"/>
    <row r="19" spans="1:9" ht="16.95" customHeight="1"/>
    <row r="20" spans="1:9" s="299" customFormat="1" ht="16.95" customHeight="1">
      <c r="A20" s="300"/>
    </row>
    <row r="21" spans="1:9" s="299" customFormat="1" ht="19.95" customHeight="1">
      <c r="A21" s="296" t="s">
        <v>670</v>
      </c>
      <c r="C21" s="296" t="s">
        <v>671</v>
      </c>
      <c r="F21" s="296" t="s">
        <v>673</v>
      </c>
      <c r="H21" s="296" t="s">
        <v>672</v>
      </c>
    </row>
    <row r="22" spans="1:9" ht="25.2" customHeight="1">
      <c r="A22" s="270"/>
      <c r="B22" s="271" t="s">
        <v>0</v>
      </c>
      <c r="C22" s="271"/>
      <c r="D22" s="271" t="s">
        <v>0</v>
      </c>
      <c r="E22" s="271"/>
      <c r="F22" s="271"/>
      <c r="G22" s="271" t="s">
        <v>38</v>
      </c>
      <c r="H22" s="271"/>
      <c r="I22" s="271" t="s">
        <v>0</v>
      </c>
    </row>
    <row r="23" spans="1:9" ht="25.2" customHeight="1">
      <c r="A23" s="270"/>
      <c r="B23" s="271" t="s">
        <v>26</v>
      </c>
      <c r="C23" s="271"/>
      <c r="D23" s="271" t="s">
        <v>13</v>
      </c>
      <c r="E23" s="271"/>
      <c r="F23" s="271"/>
      <c r="G23" s="271" t="s">
        <v>44</v>
      </c>
      <c r="H23" s="271"/>
      <c r="I23" s="271" t="s">
        <v>34</v>
      </c>
    </row>
    <row r="24" spans="1:9" ht="25.2" customHeight="1">
      <c r="A24" s="270"/>
      <c r="B24" s="271" t="s">
        <v>5</v>
      </c>
      <c r="C24" s="271"/>
      <c r="D24" s="271" t="s">
        <v>655</v>
      </c>
      <c r="E24" s="271"/>
      <c r="F24" s="271"/>
      <c r="G24" s="271" t="s">
        <v>24</v>
      </c>
      <c r="H24" s="271"/>
      <c r="I24" s="271" t="s">
        <v>1</v>
      </c>
    </row>
    <row r="25" spans="1:9" ht="25.2" customHeight="1">
      <c r="A25" s="270"/>
      <c r="B25" s="271" t="s">
        <v>67</v>
      </c>
      <c r="C25" s="271"/>
      <c r="D25" s="271"/>
      <c r="E25" s="271"/>
      <c r="F25" s="271"/>
      <c r="G25" s="271" t="s">
        <v>45</v>
      </c>
      <c r="H25" s="271"/>
      <c r="I25" s="271" t="s">
        <v>39</v>
      </c>
    </row>
    <row r="26" spans="1:9" ht="25.2" customHeight="1">
      <c r="A26" s="270"/>
      <c r="B26" s="271"/>
      <c r="C26" s="271"/>
      <c r="D26" s="271"/>
      <c r="E26" s="271"/>
      <c r="F26" s="271"/>
      <c r="G26" s="271" t="s">
        <v>4</v>
      </c>
      <c r="H26" s="271"/>
      <c r="I26" s="271" t="s">
        <v>40</v>
      </c>
    </row>
    <row r="27" spans="1:9" ht="25.2" customHeight="1">
      <c r="A27" s="270"/>
      <c r="B27" s="271"/>
      <c r="C27" s="271"/>
      <c r="D27" s="271"/>
      <c r="E27" s="271"/>
      <c r="F27" s="271"/>
      <c r="G27" s="271" t="s">
        <v>32</v>
      </c>
      <c r="H27" s="271"/>
      <c r="I27" s="271" t="s">
        <v>717</v>
      </c>
    </row>
    <row r="28" spans="1:9" ht="25.2" customHeight="1">
      <c r="A28" s="270"/>
      <c r="B28" s="271"/>
      <c r="C28" s="271"/>
      <c r="D28" s="271"/>
      <c r="E28" s="271"/>
      <c r="F28" s="271"/>
      <c r="G28" s="271" t="s">
        <v>138</v>
      </c>
      <c r="H28" s="271"/>
      <c r="I28" s="271" t="s">
        <v>5</v>
      </c>
    </row>
    <row r="29" spans="1:9" ht="25.2" customHeight="1">
      <c r="A29" s="270"/>
      <c r="B29" s="271"/>
      <c r="C29" s="271"/>
      <c r="D29" s="271"/>
      <c r="E29" s="271"/>
      <c r="F29" s="271"/>
      <c r="G29" s="271" t="s">
        <v>47</v>
      </c>
      <c r="H29" s="271"/>
      <c r="I29" s="271" t="s">
        <v>35</v>
      </c>
    </row>
    <row r="30" spans="1:9" ht="25.2" customHeight="1">
      <c r="A30" s="270"/>
      <c r="B30" s="271"/>
      <c r="C30" s="271"/>
      <c r="D30" s="271"/>
      <c r="E30" s="271"/>
      <c r="F30" s="271"/>
      <c r="G30" s="271" t="s">
        <v>748</v>
      </c>
      <c r="H30" s="271"/>
      <c r="I30" s="271" t="s">
        <v>727</v>
      </c>
    </row>
    <row r="31" spans="1:9" ht="19.95" customHeight="1"/>
    <row r="32" spans="1:9" ht="16.95" customHeight="1"/>
    <row r="33" spans="1:9" ht="16.95" customHeight="1"/>
    <row r="34" spans="1:9" ht="16.95" customHeight="1"/>
    <row r="35" spans="1:9" ht="16.95" customHeight="1"/>
    <row r="36" spans="1:9" ht="16.95" customHeight="1"/>
    <row r="37" spans="1:9" ht="16.95" customHeight="1"/>
    <row r="38" spans="1:9" s="299" customFormat="1" ht="17.100000000000001" customHeight="1">
      <c r="A38" s="300"/>
    </row>
    <row r="39" spans="1:9" s="299" customFormat="1" ht="19.95" customHeight="1">
      <c r="A39" s="296" t="s">
        <v>676</v>
      </c>
      <c r="C39" s="296" t="s">
        <v>677</v>
      </c>
    </row>
    <row r="40" spans="1:9" ht="25.2" customHeight="1">
      <c r="A40" s="270"/>
      <c r="B40" s="271"/>
      <c r="C40" s="271"/>
      <c r="D40" s="271" t="s">
        <v>19</v>
      </c>
      <c r="E40" s="271"/>
      <c r="F40" s="271"/>
      <c r="G40" s="271"/>
      <c r="H40" s="271"/>
      <c r="I40" s="271"/>
    </row>
    <row r="41" spans="1:9" ht="25.2" customHeight="1">
      <c r="A41" s="270"/>
      <c r="B41" s="271"/>
      <c r="C41" s="271"/>
      <c r="D41" s="271" t="s">
        <v>18</v>
      </c>
      <c r="E41" s="271"/>
      <c r="F41" s="271"/>
      <c r="G41" s="271"/>
      <c r="H41" s="271"/>
      <c r="I41" s="271"/>
    </row>
    <row r="42" spans="1:9" ht="25.2" customHeight="1">
      <c r="A42" s="270"/>
      <c r="B42" s="271"/>
      <c r="C42" s="271"/>
      <c r="D42" s="271" t="s">
        <v>17</v>
      </c>
      <c r="E42" s="271"/>
      <c r="F42" s="271"/>
      <c r="G42" s="271"/>
      <c r="H42" s="271"/>
      <c r="I42" s="271"/>
    </row>
    <row r="43" spans="1:9" ht="17.100000000000001" customHeight="1"/>
    <row r="44" spans="1:9" ht="113.1" customHeight="1"/>
    <row r="45" spans="1:9" ht="19.95" customHeight="1"/>
    <row r="46" spans="1:9" ht="16.95" customHeight="1"/>
    <row r="47" spans="1:9" ht="16.95" customHeight="1"/>
    <row r="48" spans="1:9" ht="16.95" customHeight="1"/>
    <row r="49" ht="16.95" customHeight="1"/>
    <row r="50" ht="16.95" customHeight="1"/>
    <row r="51" ht="16.95" customHeight="1"/>
    <row r="52" ht="16.95" customHeight="1"/>
    <row r="53" ht="166.35" customHeight="1"/>
    <row r="54" ht="79.95" customHeight="1"/>
    <row r="55" ht="16.95" customHeight="1"/>
    <row r="56" ht="16.95" customHeight="1"/>
    <row r="57" ht="16.95" customHeight="1"/>
    <row r="58" ht="16.95" customHeight="1"/>
    <row r="59" ht="19.95" customHeight="1"/>
    <row r="60" ht="16.95" customHeight="1"/>
    <row r="61" ht="16.95" customHeight="1"/>
    <row r="62" ht="16.95" customHeight="1"/>
    <row r="63" ht="19.95" customHeight="1"/>
    <row r="64" ht="16.95" customHeight="1"/>
    <row r="65" ht="16.95" customHeight="1"/>
    <row r="66" ht="16.95" customHeight="1"/>
    <row r="67" ht="16.95" customHeight="1"/>
    <row r="68" ht="16.95" customHeight="1"/>
    <row r="69" ht="16.95" customHeight="1"/>
    <row r="70" ht="16.95" customHeight="1"/>
    <row r="71" ht="108.75" customHeight="1"/>
    <row r="72" ht="79.95" customHeight="1"/>
    <row r="73" ht="20.100000000000001" customHeight="1"/>
    <row r="74" ht="20.100000000000001" customHeight="1"/>
    <row r="75" ht="19.95" customHeight="1"/>
    <row r="76" ht="16.95" customHeight="1"/>
    <row r="77" ht="16.95" customHeight="1"/>
    <row r="78" ht="16.95" customHeight="1"/>
    <row r="79" ht="16.95" customHeight="1"/>
    <row r="80" ht="16.95" customHeight="1"/>
    <row r="81" ht="16.95" customHeight="1"/>
    <row r="82" ht="24.9" customHeight="1"/>
    <row r="84" ht="24.9" customHeight="1"/>
    <row r="85" ht="24.9" customHeight="1"/>
    <row r="86" ht="30" customHeight="1"/>
    <row r="87" ht="24.9" customHeight="1"/>
    <row r="88" ht="38.1" customHeight="1"/>
    <row r="89" ht="24.9" customHeight="1"/>
    <row r="90" ht="24.9" customHeight="1"/>
    <row r="92" ht="24.9" customHeight="1"/>
    <row r="93" ht="24.9" customHeight="1"/>
    <row r="94" ht="30" customHeight="1"/>
    <row r="95" ht="24.9" customHeight="1"/>
    <row r="96" ht="24.9" customHeight="1"/>
    <row r="97" ht="30" customHeight="1"/>
    <row r="98" ht="24.9" customHeight="1"/>
    <row r="99" ht="38.1" customHeight="1"/>
    <row r="100" ht="24.9" customHeight="1"/>
    <row r="101" ht="24.9" customHeight="1"/>
    <row r="102" ht="24.9" customHeight="1"/>
    <row r="103" ht="30" customHeight="1"/>
    <row r="104" ht="24.9" customHeight="1"/>
    <row r="105" ht="24.9" customHeight="1"/>
    <row r="106" ht="30" customHeight="1"/>
    <row r="107" ht="30" customHeight="1"/>
    <row r="108" ht="24.9" customHeight="1"/>
    <row r="109" ht="30" customHeight="1"/>
    <row r="110" ht="24.9" customHeight="1"/>
    <row r="111" ht="24.9" customHeight="1"/>
    <row r="112" ht="24.9" customHeight="1"/>
    <row r="113" ht="30" customHeight="1"/>
    <row r="114" ht="24.9" customHeight="1"/>
    <row r="116" ht="24.9" customHeight="1"/>
    <row r="118" ht="24.9" customHeight="1"/>
    <row r="119" ht="30" customHeight="1"/>
    <row r="120" ht="24.9" customHeight="1"/>
    <row r="122" ht="24.9" customHeight="1"/>
    <row r="123" ht="24.9" customHeight="1"/>
    <row r="124" ht="38.1" customHeight="1"/>
    <row r="126" ht="24.9" customHeight="1"/>
    <row r="128" ht="24.9" customHeight="1"/>
    <row r="129" ht="24.9" customHeight="1"/>
    <row r="130" ht="24.9" customHeight="1"/>
    <row r="132" ht="24.9" customHeight="1"/>
    <row r="134" ht="24.9" customHeight="1"/>
    <row r="135" ht="24.9" customHeight="1"/>
    <row r="136" ht="38.1" customHeight="1"/>
    <row r="138" ht="24.9" customHeight="1"/>
    <row r="140" ht="24.9" customHeight="1"/>
    <row r="141" ht="24.9" customHeight="1"/>
    <row r="142" ht="24.9" customHeight="1"/>
    <row r="144" ht="24.9" customHeight="1"/>
    <row r="146" ht="24.9" customHeight="1"/>
    <row r="147" ht="24.9" customHeight="1"/>
    <row r="148" ht="24.9" customHeight="1"/>
    <row r="150" ht="24.9" customHeight="1"/>
    <row r="152" ht="24.9" customHeight="1"/>
    <row r="153" ht="83.1" customHeight="1"/>
    <row r="154" ht="83.1" customHeight="1"/>
    <row r="156" ht="83.1" customHeight="1"/>
    <row r="158" ht="24.9" customHeight="1"/>
    <row r="159" ht="24.9" customHeight="1"/>
    <row r="160" ht="24.9" customHeight="1"/>
    <row r="162" ht="24.9" customHeight="1"/>
    <row r="163" ht="24.9" customHeight="1"/>
    <row r="164" ht="24.9" customHeight="1"/>
    <row r="166" ht="24.9" customHeight="1"/>
    <row r="168" ht="24.9" customHeight="1"/>
    <row r="169" ht="24.9" customHeight="1"/>
    <row r="170" ht="24.9" customHeight="1"/>
    <row r="172" ht="24.9" customHeight="1"/>
    <row r="174" ht="24.9" customHeight="1"/>
    <row r="176" ht="24.9" customHeight="1"/>
    <row r="178" ht="24.9" customHeight="1"/>
    <row r="180" ht="24.9" customHeight="1"/>
    <row r="182" ht="24.9" customHeight="1"/>
    <row r="183" ht="24.9" customHeight="1"/>
    <row r="186" ht="24.9" customHeight="1"/>
    <row r="189" ht="24.9" customHeight="1"/>
    <row r="192" ht="24.9" customHeight="1"/>
    <row r="196" ht="30" customHeight="1"/>
    <row r="199" ht="30" customHeight="1"/>
    <row r="202" ht="24.9" customHeight="1"/>
    <row r="205" ht="24.9" customHeight="1"/>
    <row r="208" ht="24.9" customHeight="1"/>
    <row r="211" ht="30" customHeight="1"/>
    <row r="214" ht="30" customHeight="1"/>
    <row r="217" ht="30" customHeight="1"/>
  </sheetData>
  <pageMargins left="0.78740157480314954" right="0.39370078740157477" top="0.4724409448818897" bottom="0.4724409448818897" header="0.31496062992125984" footer="0.31496062992125984"/>
  <pageSetup paperSize="9" scale="67" fitToHeight="0" orientation="landscape" horizontalDpi="0" verticalDpi="0" r:id="rId1"/>
  <headerFooter>
    <oddHeader>&amp;H'</oddHeader>
    <oddFooter>&amp;H'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9DF40-DBE1-460A-87DE-162758ADEFE4}">
  <sheetPr codeName="Tabelle1"/>
  <dimension ref="A1:S53"/>
  <sheetViews>
    <sheetView workbookViewId="0">
      <pane ySplit="1" topLeftCell="A2" activePane="bottomLeft" state="frozen"/>
      <selection activeCell="B2" sqref="B2"/>
      <selection pane="bottomLeft" activeCell="B13" sqref="B13"/>
    </sheetView>
  </sheetViews>
  <sheetFormatPr baseColWidth="10" defaultColWidth="11.44140625" defaultRowHeight="20.100000000000001" customHeight="1"/>
  <cols>
    <col min="1" max="1" width="8.33203125" style="326" customWidth="1"/>
    <col min="2" max="10" width="3.6640625" style="12" bestFit="1" customWidth="1"/>
    <col min="11" max="11" width="6.6640625" bestFit="1" customWidth="1"/>
    <col min="12" max="12" width="32.44140625" style="13" bestFit="1" customWidth="1"/>
    <col min="13" max="13" width="30.5546875" style="14" bestFit="1" customWidth="1"/>
    <col min="14" max="14" width="15.44140625" style="132" customWidth="1"/>
    <col min="15" max="15" width="16.6640625" style="14" bestFit="1" customWidth="1"/>
    <col min="16" max="16" width="4.44140625" style="14" bestFit="1" customWidth="1"/>
    <col min="17" max="17" width="11.44140625" style="14"/>
    <col min="18" max="18" width="13.6640625" style="76" customWidth="1"/>
    <col min="19" max="19" width="11.44140625" style="190"/>
    <col min="20" max="16384" width="11.44140625" style="14"/>
  </cols>
  <sheetData>
    <row r="1" spans="1:19" s="11" customFormat="1" ht="81" customHeight="1">
      <c r="A1" s="322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405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21" t="s">
        <v>68</v>
      </c>
      <c r="M1" s="22" t="s">
        <v>69</v>
      </c>
      <c r="N1" s="129" t="s">
        <v>14</v>
      </c>
      <c r="O1" s="23" t="s">
        <v>95</v>
      </c>
      <c r="S1" s="16"/>
    </row>
    <row r="2" spans="1:19" s="11" customFormat="1" ht="20.100000000000001" customHeight="1">
      <c r="A2" s="323" t="s">
        <v>101</v>
      </c>
      <c r="B2" s="5"/>
      <c r="C2" s="5"/>
      <c r="D2" s="5"/>
      <c r="E2" s="5"/>
      <c r="F2" s="5"/>
      <c r="G2" s="5"/>
      <c r="H2" s="5"/>
      <c r="I2" s="5"/>
      <c r="J2" s="5"/>
      <c r="K2" s="161"/>
      <c r="L2" s="6"/>
      <c r="M2" s="7"/>
      <c r="N2" s="130"/>
      <c r="S2" s="16"/>
    </row>
    <row r="3" spans="1:19" s="11" customFormat="1" ht="20.100000000000001" customHeight="1">
      <c r="A3" s="324" t="s">
        <v>99</v>
      </c>
      <c r="B3" s="8" t="s">
        <v>70</v>
      </c>
      <c r="C3" s="8" t="s">
        <v>70</v>
      </c>
      <c r="D3" s="8" t="s">
        <v>70</v>
      </c>
      <c r="E3" s="8"/>
      <c r="F3" s="8"/>
      <c r="G3" s="8"/>
      <c r="H3" s="8"/>
      <c r="I3" s="8"/>
      <c r="J3" s="8"/>
      <c r="K3" s="417"/>
      <c r="L3" s="9" t="s">
        <v>66</v>
      </c>
      <c r="M3" s="81"/>
      <c r="N3" s="119" t="s">
        <v>75</v>
      </c>
      <c r="P3" s="255" t="s">
        <v>298</v>
      </c>
      <c r="Q3" s="189" t="s">
        <v>567</v>
      </c>
      <c r="R3" s="83" t="s">
        <v>14</v>
      </c>
      <c r="S3" s="16">
        <f>MATCH(Q3,STD_F!C:C,0)</f>
        <v>123</v>
      </c>
    </row>
    <row r="4" spans="1:19" s="11" customFormat="1" ht="20.100000000000001" customHeight="1">
      <c r="A4" s="324" t="s">
        <v>98</v>
      </c>
      <c r="B4" s="8" t="s">
        <v>70</v>
      </c>
      <c r="C4" s="267" t="s">
        <v>70</v>
      </c>
      <c r="D4" s="267" t="s">
        <v>70</v>
      </c>
      <c r="E4" s="8"/>
      <c r="F4" s="8"/>
      <c r="G4" s="8"/>
      <c r="H4" s="8"/>
      <c r="I4" s="8"/>
      <c r="J4" s="8"/>
      <c r="K4" s="161"/>
      <c r="L4" s="9"/>
      <c r="M4" s="7"/>
      <c r="N4" s="119" t="s">
        <v>104</v>
      </c>
      <c r="O4" s="147"/>
      <c r="P4" s="255" t="s">
        <v>298</v>
      </c>
      <c r="Q4" s="189"/>
      <c r="S4" s="16"/>
    </row>
    <row r="5" spans="1:19" s="11" customFormat="1" ht="20.100000000000001" customHeight="1">
      <c r="A5" s="324" t="s">
        <v>99</v>
      </c>
      <c r="B5" s="8" t="s">
        <v>70</v>
      </c>
      <c r="C5" s="230" t="s">
        <v>70</v>
      </c>
      <c r="D5" s="230" t="s">
        <v>70</v>
      </c>
      <c r="E5" s="8"/>
      <c r="F5" s="8"/>
      <c r="G5" s="8"/>
      <c r="H5" s="8"/>
      <c r="I5" s="8"/>
      <c r="J5" s="8"/>
      <c r="K5" s="161"/>
      <c r="L5" s="9" t="s">
        <v>11</v>
      </c>
      <c r="M5" s="7"/>
      <c r="N5" s="119" t="s">
        <v>103</v>
      </c>
      <c r="P5" s="255" t="s">
        <v>298</v>
      </c>
      <c r="Q5" s="189"/>
      <c r="S5" s="16"/>
    </row>
    <row r="6" spans="1:19" s="11" customFormat="1" ht="20.100000000000001" customHeight="1">
      <c r="A6" s="324" t="s">
        <v>99</v>
      </c>
      <c r="B6" s="8" t="s">
        <v>70</v>
      </c>
      <c r="C6" s="230" t="s">
        <v>70</v>
      </c>
      <c r="D6" s="230" t="s">
        <v>70</v>
      </c>
      <c r="E6" s="8"/>
      <c r="F6" s="8"/>
      <c r="G6" s="8"/>
      <c r="H6" s="8"/>
      <c r="I6" s="8"/>
      <c r="J6" s="8"/>
      <c r="K6" s="161"/>
      <c r="L6" s="9" t="s">
        <v>7</v>
      </c>
      <c r="M6" s="7"/>
      <c r="N6" s="119" t="s">
        <v>76</v>
      </c>
      <c r="P6" s="142" t="s">
        <v>298</v>
      </c>
      <c r="Q6" s="206"/>
      <c r="S6" s="16"/>
    </row>
    <row r="7" spans="1:19" s="11" customFormat="1" ht="20.100000000000001" customHeight="1">
      <c r="A7" s="324" t="s">
        <v>99</v>
      </c>
      <c r="B7" s="8" t="s">
        <v>70</v>
      </c>
      <c r="C7" s="230"/>
      <c r="D7" s="207" t="s">
        <v>70</v>
      </c>
      <c r="E7" s="8"/>
      <c r="F7" s="8"/>
      <c r="G7" s="8"/>
      <c r="H7" s="8"/>
      <c r="I7" s="8"/>
      <c r="J7" s="8"/>
      <c r="K7" s="161"/>
      <c r="L7" s="9" t="s">
        <v>31</v>
      </c>
      <c r="M7" s="204" t="s">
        <v>580</v>
      </c>
      <c r="N7" s="119" t="s">
        <v>77</v>
      </c>
      <c r="P7" s="142" t="s">
        <v>298</v>
      </c>
      <c r="Q7" s="189"/>
      <c r="S7" s="16"/>
    </row>
    <row r="8" spans="1:19" s="11" customFormat="1" ht="20.100000000000001" customHeight="1">
      <c r="A8" s="324" t="s">
        <v>99</v>
      </c>
      <c r="B8" s="207" t="s">
        <v>70</v>
      </c>
      <c r="C8" s="8"/>
      <c r="D8" s="207" t="s">
        <v>70</v>
      </c>
      <c r="E8" s="8"/>
      <c r="F8" s="8"/>
      <c r="G8" s="8"/>
      <c r="H8" s="8"/>
      <c r="I8" s="8"/>
      <c r="J8" s="8"/>
      <c r="K8" s="161"/>
      <c r="L8" s="205" t="s">
        <v>89</v>
      </c>
      <c r="M8" s="204"/>
      <c r="N8" s="119" t="s">
        <v>581</v>
      </c>
      <c r="O8" s="206" t="s">
        <v>582</v>
      </c>
      <c r="P8" s="142" t="s">
        <v>298</v>
      </c>
      <c r="Q8" s="189"/>
      <c r="S8" s="16"/>
    </row>
    <row r="9" spans="1:19" s="11" customFormat="1" ht="20.100000000000001" customHeight="1">
      <c r="A9" s="324" t="s">
        <v>99</v>
      </c>
      <c r="B9" s="8" t="s">
        <v>70</v>
      </c>
      <c r="C9" s="8"/>
      <c r="D9" s="230" t="s">
        <v>70</v>
      </c>
      <c r="E9" s="8"/>
      <c r="F9" s="8"/>
      <c r="G9" s="8"/>
      <c r="H9" s="8"/>
      <c r="I9" s="8"/>
      <c r="J9" s="8"/>
      <c r="K9" s="161"/>
      <c r="L9" s="9" t="s">
        <v>42</v>
      </c>
      <c r="M9" s="204"/>
      <c r="N9" s="119" t="s">
        <v>78</v>
      </c>
      <c r="P9" s="142" t="s">
        <v>298</v>
      </c>
      <c r="Q9" s="206"/>
      <c r="S9" s="16"/>
    </row>
    <row r="10" spans="1:19" s="11" customFormat="1" ht="20.100000000000001" customHeight="1">
      <c r="A10" s="324" t="s">
        <v>99</v>
      </c>
      <c r="B10" s="260" t="s">
        <v>70</v>
      </c>
      <c r="C10" s="8"/>
      <c r="D10" s="260" t="s">
        <v>70</v>
      </c>
      <c r="E10" s="8"/>
      <c r="F10" s="8"/>
      <c r="G10" s="8"/>
      <c r="H10" s="8"/>
      <c r="I10" s="8"/>
      <c r="J10" s="8"/>
      <c r="K10" s="161"/>
      <c r="L10" s="9" t="s">
        <v>210</v>
      </c>
      <c r="M10" s="227" t="s">
        <v>629</v>
      </c>
      <c r="N10" s="119" t="s">
        <v>299</v>
      </c>
      <c r="O10" s="227" t="s">
        <v>630</v>
      </c>
      <c r="P10" s="142" t="s">
        <v>298</v>
      </c>
      <c r="Q10" s="189"/>
      <c r="S10" s="16"/>
    </row>
    <row r="11" spans="1:19" s="11" customFormat="1" ht="20.100000000000001" customHeight="1">
      <c r="A11" s="325" t="s">
        <v>97</v>
      </c>
      <c r="B11" s="8" t="s">
        <v>70</v>
      </c>
      <c r="C11" s="162"/>
      <c r="D11" s="8"/>
      <c r="E11" s="8"/>
      <c r="F11" s="8"/>
      <c r="G11" s="8"/>
      <c r="H11" s="8"/>
      <c r="I11" s="8"/>
      <c r="J11" s="8"/>
      <c r="K11" s="161"/>
      <c r="L11" s="9"/>
      <c r="M11" s="7"/>
      <c r="N11" s="131"/>
      <c r="P11" s="141"/>
      <c r="Q11" s="189"/>
      <c r="S11" s="16"/>
    </row>
    <row r="12" spans="1:19" s="11" customFormat="1" ht="20.100000000000001" customHeight="1">
      <c r="A12" s="324" t="s">
        <v>99</v>
      </c>
      <c r="B12" s="8" t="s">
        <v>70</v>
      </c>
      <c r="C12" s="8"/>
      <c r="D12" s="267" t="s">
        <v>70</v>
      </c>
      <c r="E12" s="8"/>
      <c r="F12" s="8"/>
      <c r="G12" s="8"/>
      <c r="H12" s="8"/>
      <c r="I12" s="8"/>
      <c r="J12" s="8"/>
      <c r="K12" s="161"/>
      <c r="L12" s="9" t="s">
        <v>30</v>
      </c>
      <c r="M12" s="157"/>
      <c r="N12" s="119" t="s">
        <v>79</v>
      </c>
      <c r="P12" s="142" t="s">
        <v>298</v>
      </c>
      <c r="Q12" s="206"/>
      <c r="S12" s="16"/>
    </row>
    <row r="13" spans="1:19" s="11" customFormat="1" ht="20.100000000000001" customHeight="1">
      <c r="A13" s="324" t="s">
        <v>99</v>
      </c>
      <c r="B13" s="8" t="s">
        <v>70</v>
      </c>
      <c r="C13" s="8"/>
      <c r="D13" s="8"/>
      <c r="E13" s="8"/>
      <c r="F13" s="8"/>
      <c r="G13" s="80" t="s">
        <v>70</v>
      </c>
      <c r="H13" s="80"/>
      <c r="I13" s="120"/>
      <c r="J13" s="80"/>
      <c r="K13" s="161"/>
      <c r="L13" s="9" t="s">
        <v>144</v>
      </c>
      <c r="M13" s="156" t="s">
        <v>362</v>
      </c>
      <c r="N13" s="119" t="s">
        <v>651</v>
      </c>
      <c r="P13" s="142" t="s">
        <v>298</v>
      </c>
      <c r="Q13" s="189"/>
      <c r="S13" s="16"/>
    </row>
    <row r="14" spans="1:19" s="11" customFormat="1" ht="20.100000000000001" customHeight="1">
      <c r="A14" s="324" t="s">
        <v>99</v>
      </c>
      <c r="B14" s="8" t="s">
        <v>70</v>
      </c>
      <c r="C14" s="8"/>
      <c r="D14" s="8"/>
      <c r="E14" s="8"/>
      <c r="F14" s="8"/>
      <c r="G14" s="80" t="s">
        <v>70</v>
      </c>
      <c r="H14" s="80"/>
      <c r="I14" s="80"/>
      <c r="J14" s="80"/>
      <c r="K14" s="161"/>
      <c r="L14" s="272" t="s">
        <v>701</v>
      </c>
      <c r="M14" s="11" t="s">
        <v>143</v>
      </c>
      <c r="N14" s="119" t="s">
        <v>264</v>
      </c>
      <c r="P14" s="142" t="s">
        <v>298</v>
      </c>
      <c r="Q14" s="189"/>
      <c r="S14" s="16"/>
    </row>
    <row r="15" spans="1:19" s="11" customFormat="1" ht="20.100000000000001" customHeight="1">
      <c r="A15" s="324" t="s">
        <v>99</v>
      </c>
      <c r="B15" s="8" t="s">
        <v>70</v>
      </c>
      <c r="C15" s="8"/>
      <c r="D15" s="8"/>
      <c r="E15" s="8"/>
      <c r="F15" s="8"/>
      <c r="G15" s="80" t="s">
        <v>70</v>
      </c>
      <c r="H15" s="80"/>
      <c r="I15" s="80"/>
      <c r="J15" s="80"/>
      <c r="K15" s="161"/>
      <c r="L15" s="9" t="s">
        <v>181</v>
      </c>
      <c r="M15" s="11" t="s">
        <v>143</v>
      </c>
      <c r="N15" s="119" t="s">
        <v>652</v>
      </c>
      <c r="P15" s="142" t="s">
        <v>298</v>
      </c>
      <c r="Q15" s="206"/>
      <c r="S15" s="16"/>
    </row>
    <row r="16" spans="1:19" s="11" customFormat="1" ht="20.100000000000001" customHeight="1">
      <c r="A16" s="324" t="s">
        <v>99</v>
      </c>
      <c r="B16" s="8" t="s">
        <v>70</v>
      </c>
      <c r="C16" s="8"/>
      <c r="D16" s="8"/>
      <c r="E16" s="8"/>
      <c r="F16" s="8"/>
      <c r="G16" s="8" t="s">
        <v>70</v>
      </c>
      <c r="H16" s="8"/>
      <c r="I16" s="8"/>
      <c r="J16" s="8"/>
      <c r="K16" s="161"/>
      <c r="L16" s="9" t="s">
        <v>180</v>
      </c>
      <c r="M16" s="11" t="s">
        <v>143</v>
      </c>
      <c r="N16" s="119" t="s">
        <v>363</v>
      </c>
      <c r="P16" s="142" t="s">
        <v>298</v>
      </c>
      <c r="Q16" s="189"/>
      <c r="S16" s="16"/>
    </row>
    <row r="17" spans="1:19" s="11" customFormat="1" ht="20.100000000000001" customHeight="1">
      <c r="A17" s="324" t="s">
        <v>99</v>
      </c>
      <c r="B17" s="8" t="s">
        <v>70</v>
      </c>
      <c r="C17" s="8"/>
      <c r="D17" s="8"/>
      <c r="E17" s="8"/>
      <c r="F17" s="8"/>
      <c r="G17" s="8" t="s">
        <v>70</v>
      </c>
      <c r="H17" s="8"/>
      <c r="I17" s="8"/>
      <c r="J17" s="8"/>
      <c r="K17" s="161"/>
      <c r="L17" s="9" t="s">
        <v>182</v>
      </c>
      <c r="M17" s="11" t="s">
        <v>143</v>
      </c>
      <c r="N17" s="119" t="s">
        <v>653</v>
      </c>
      <c r="P17" s="142" t="s">
        <v>298</v>
      </c>
      <c r="Q17" s="189"/>
      <c r="S17" s="190" t="e">
        <f>MATCH(Q17,CCF!C:C,0)</f>
        <v>#N/A</v>
      </c>
    </row>
    <row r="18" spans="1:19" s="11" customFormat="1" ht="20.100000000000001" customHeight="1">
      <c r="A18" s="324" t="s">
        <v>99</v>
      </c>
      <c r="B18" s="152" t="s">
        <v>70</v>
      </c>
      <c r="C18" s="8"/>
      <c r="D18" s="8"/>
      <c r="E18" s="8"/>
      <c r="F18" s="8"/>
      <c r="G18" s="152" t="s">
        <v>70</v>
      </c>
      <c r="H18" s="8"/>
      <c r="I18" s="8"/>
      <c r="J18" s="8"/>
      <c r="K18" s="161"/>
      <c r="L18" s="159" t="s">
        <v>327</v>
      </c>
      <c r="M18" s="153" t="s">
        <v>328</v>
      </c>
      <c r="N18" s="119" t="s">
        <v>327</v>
      </c>
      <c r="P18" s="142" t="s">
        <v>298</v>
      </c>
      <c r="Q18" s="206"/>
      <c r="R18" s="191" t="e">
        <f t="shared" ref="R18:R23" si="0">HYPERLINK("#'CCF'!A" &amp; S18, "zur Folge")</f>
        <v>#N/A</v>
      </c>
      <c r="S18" s="190" t="e">
        <f>MATCH(Q18,CCF!C:C,0)</f>
        <v>#N/A</v>
      </c>
    </row>
    <row r="19" spans="1:19" ht="20.100000000000001" customHeight="1">
      <c r="A19" s="324" t="s">
        <v>99</v>
      </c>
      <c r="B19" s="8" t="s">
        <v>70</v>
      </c>
      <c r="C19" s="19"/>
      <c r="D19" s="19"/>
      <c r="E19" s="19"/>
      <c r="F19" s="19"/>
      <c r="G19" s="19"/>
      <c r="H19" s="80" t="s">
        <v>70</v>
      </c>
      <c r="I19" s="80"/>
      <c r="J19" s="80"/>
      <c r="K19" s="163"/>
      <c r="L19" s="9" t="s">
        <v>192</v>
      </c>
      <c r="M19" s="11">
        <v>2025</v>
      </c>
      <c r="N19" s="119" t="s">
        <v>265</v>
      </c>
      <c r="P19" s="142" t="s">
        <v>298</v>
      </c>
      <c r="Q19" s="189"/>
      <c r="R19" s="191" t="e">
        <f t="shared" si="0"/>
        <v>#N/A</v>
      </c>
      <c r="S19" s="190" t="e">
        <f>MATCH(Q19,CCF!C:C,0)</f>
        <v>#N/A</v>
      </c>
    </row>
    <row r="20" spans="1:19" ht="20.100000000000001" customHeight="1">
      <c r="A20" s="324" t="s">
        <v>99</v>
      </c>
      <c r="B20" s="8" t="s">
        <v>70</v>
      </c>
      <c r="C20" s="19"/>
      <c r="D20" s="19"/>
      <c r="E20" s="19"/>
      <c r="F20" s="19"/>
      <c r="G20" s="19"/>
      <c r="H20" s="8" t="s">
        <v>70</v>
      </c>
      <c r="I20" s="8"/>
      <c r="J20" s="8"/>
      <c r="K20" s="163"/>
      <c r="L20" s="242" t="s">
        <v>654</v>
      </c>
      <c r="M20" s="206" t="s">
        <v>583</v>
      </c>
      <c r="N20" s="119" t="s">
        <v>266</v>
      </c>
      <c r="O20" s="85"/>
      <c r="P20" s="142" t="s">
        <v>298</v>
      </c>
      <c r="Q20" s="206"/>
      <c r="R20" s="191" t="e">
        <f t="shared" si="0"/>
        <v>#N/A</v>
      </c>
      <c r="S20" s="190" t="e">
        <f>MATCH(Q20,CCF!C:C,0)</f>
        <v>#N/A</v>
      </c>
    </row>
    <row r="21" spans="1:19" ht="20.100000000000001" customHeight="1">
      <c r="A21" s="324" t="s">
        <v>99</v>
      </c>
      <c r="B21" s="8" t="s">
        <v>70</v>
      </c>
      <c r="C21" s="19"/>
      <c r="D21" s="19"/>
      <c r="E21" s="19"/>
      <c r="F21" s="19"/>
      <c r="G21" s="19"/>
      <c r="H21" s="8" t="s">
        <v>70</v>
      </c>
      <c r="I21" s="8"/>
      <c r="J21" s="8"/>
      <c r="K21" s="163"/>
      <c r="L21" s="9" t="s">
        <v>193</v>
      </c>
      <c r="M21" s="11">
        <v>2025</v>
      </c>
      <c r="N21" s="119" t="s">
        <v>267</v>
      </c>
      <c r="P21" s="142" t="s">
        <v>298</v>
      </c>
      <c r="Q21" s="189"/>
      <c r="R21" s="191" t="e">
        <f t="shared" si="0"/>
        <v>#N/A</v>
      </c>
      <c r="S21" s="190" t="e">
        <f>MATCH(Q21,CCF!C:C,0)</f>
        <v>#N/A</v>
      </c>
    </row>
    <row r="22" spans="1:19" ht="20.100000000000001" customHeight="1">
      <c r="A22" s="324" t="s">
        <v>99</v>
      </c>
      <c r="B22" s="8" t="s">
        <v>70</v>
      </c>
      <c r="C22" s="19"/>
      <c r="D22" s="19"/>
      <c r="E22" s="19"/>
      <c r="F22" s="19"/>
      <c r="G22" s="19"/>
      <c r="H22" s="19"/>
      <c r="I22" s="19"/>
      <c r="J22" s="19" t="s">
        <v>70</v>
      </c>
      <c r="K22" s="163"/>
      <c r="L22" s="9" t="s">
        <v>224</v>
      </c>
      <c r="M22" s="94" t="s">
        <v>228</v>
      </c>
      <c r="N22" s="119" t="s">
        <v>223</v>
      </c>
      <c r="P22" s="142" t="s">
        <v>298</v>
      </c>
      <c r="Q22" s="189"/>
      <c r="R22" s="191" t="e">
        <f t="shared" si="0"/>
        <v>#N/A</v>
      </c>
      <c r="S22" s="190" t="e">
        <f>MATCH(Q22,CCF!C:C,0)</f>
        <v>#N/A</v>
      </c>
    </row>
    <row r="23" spans="1:19" ht="20.100000000000001" customHeight="1">
      <c r="A23" s="324" t="s">
        <v>99</v>
      </c>
      <c r="B23" s="8" t="s">
        <v>70</v>
      </c>
      <c r="C23" s="19"/>
      <c r="D23" s="19"/>
      <c r="E23" s="19"/>
      <c r="F23" s="19"/>
      <c r="G23" s="19"/>
      <c r="H23" s="19"/>
      <c r="I23" s="19" t="s">
        <v>70</v>
      </c>
      <c r="J23" s="19"/>
      <c r="K23" s="163"/>
      <c r="L23" s="124" t="s">
        <v>281</v>
      </c>
      <c r="M23" s="11"/>
      <c r="N23" s="119" t="s">
        <v>282</v>
      </c>
      <c r="P23" s="140" t="s">
        <v>298</v>
      </c>
      <c r="Q23" s="206"/>
      <c r="R23" s="191" t="e">
        <f t="shared" si="0"/>
        <v>#N/A</v>
      </c>
      <c r="S23" s="190" t="e">
        <f>MATCH(Q23,CCF!C:C,0)</f>
        <v>#N/A</v>
      </c>
    </row>
    <row r="24" spans="1:19" ht="20.100000000000001" customHeight="1">
      <c r="A24" s="324" t="s">
        <v>99</v>
      </c>
      <c r="B24" s="8" t="s">
        <v>70</v>
      </c>
      <c r="C24" s="19"/>
      <c r="D24" s="19"/>
      <c r="E24" s="19"/>
      <c r="F24" s="19"/>
      <c r="G24" s="19"/>
      <c r="H24" s="19"/>
      <c r="I24" s="19" t="s">
        <v>70</v>
      </c>
      <c r="J24" s="19"/>
      <c r="K24" s="163"/>
      <c r="L24" s="154" t="s">
        <v>336</v>
      </c>
      <c r="M24" s="11"/>
      <c r="N24" s="119" t="s">
        <v>232</v>
      </c>
      <c r="P24" s="140" t="s">
        <v>298</v>
      </c>
      <c r="Q24" s="189"/>
      <c r="S24" s="190" t="e">
        <f>MATCH(Q24,CCF!C:C,0)</f>
        <v>#N/A</v>
      </c>
    </row>
    <row r="25" spans="1:19" ht="20.100000000000001" customHeight="1">
      <c r="A25" s="324" t="s">
        <v>99</v>
      </c>
      <c r="B25" s="8" t="s">
        <v>70</v>
      </c>
      <c r="C25" s="19"/>
      <c r="D25" s="19"/>
      <c r="E25" s="19"/>
      <c r="F25" s="19"/>
      <c r="G25" s="19"/>
      <c r="H25" s="19"/>
      <c r="I25" s="19"/>
      <c r="J25" s="19" t="s">
        <v>70</v>
      </c>
      <c r="K25" s="163"/>
      <c r="L25" s="9" t="s">
        <v>331</v>
      </c>
      <c r="M25" s="151" t="s">
        <v>330</v>
      </c>
      <c r="N25" s="119" t="s">
        <v>329</v>
      </c>
      <c r="P25" s="140" t="s">
        <v>298</v>
      </c>
      <c r="Q25" s="189"/>
      <c r="S25" s="190" t="e">
        <f>MATCH(Q25,CCF!C:C,0)</f>
        <v>#N/A</v>
      </c>
    </row>
    <row r="26" spans="1:19" ht="20.100000000000001" customHeight="1">
      <c r="A26" s="324" t="s">
        <v>99</v>
      </c>
      <c r="B26" s="19" t="s">
        <v>70</v>
      </c>
      <c r="C26" s="19"/>
      <c r="D26" s="19"/>
      <c r="E26" s="19"/>
      <c r="F26" s="19"/>
      <c r="G26" s="19"/>
      <c r="H26" s="19"/>
      <c r="I26" s="19"/>
      <c r="J26" s="19" t="s">
        <v>70</v>
      </c>
      <c r="K26" s="163"/>
      <c r="L26" s="159" t="s">
        <v>367</v>
      </c>
      <c r="M26" s="151" t="s">
        <v>332</v>
      </c>
      <c r="N26" s="119" t="s">
        <v>365</v>
      </c>
      <c r="O26" s="151" t="s">
        <v>369</v>
      </c>
      <c r="P26" s="140" t="s">
        <v>298</v>
      </c>
      <c r="Q26" s="206"/>
      <c r="S26" s="190" t="e">
        <f>MATCH(Q26,CCF!C:C,0)</f>
        <v>#N/A</v>
      </c>
    </row>
    <row r="27" spans="1:19" ht="20.100000000000001" customHeight="1">
      <c r="A27" s="324" t="s">
        <v>98</v>
      </c>
      <c r="B27" s="19" t="s">
        <v>70</v>
      </c>
      <c r="C27" s="19"/>
      <c r="D27" s="19"/>
      <c r="E27" s="19"/>
      <c r="F27" s="19"/>
      <c r="G27" s="19"/>
      <c r="H27" s="19"/>
      <c r="I27" s="19"/>
      <c r="J27" s="19" t="s">
        <v>70</v>
      </c>
      <c r="K27" s="163"/>
      <c r="L27" s="9"/>
      <c r="M27" s="151"/>
      <c r="N27" s="119" t="s">
        <v>364</v>
      </c>
      <c r="O27" s="151" t="s">
        <v>368</v>
      </c>
      <c r="P27" s="140" t="s">
        <v>298</v>
      </c>
      <c r="Q27" s="189"/>
      <c r="S27" s="190" t="e">
        <f>MATCH(Q27,CCF!C:C,0)</f>
        <v>#N/A</v>
      </c>
    </row>
    <row r="28" spans="1:19" ht="20.100000000000001" customHeight="1">
      <c r="A28" s="324" t="s">
        <v>99</v>
      </c>
      <c r="B28" s="19" t="s">
        <v>70</v>
      </c>
      <c r="C28" s="19"/>
      <c r="D28" s="19"/>
      <c r="E28" s="19"/>
      <c r="F28" s="19"/>
      <c r="G28" s="19"/>
      <c r="H28" s="19"/>
      <c r="I28" s="19"/>
      <c r="J28" s="19" t="s">
        <v>70</v>
      </c>
      <c r="K28" s="163"/>
      <c r="L28" s="9" t="s">
        <v>333</v>
      </c>
      <c r="M28" s="151" t="s">
        <v>332</v>
      </c>
      <c r="N28" s="119" t="s">
        <v>366</v>
      </c>
      <c r="P28" s="140" t="s">
        <v>298</v>
      </c>
      <c r="Q28" s="189"/>
      <c r="S28" s="190" t="e">
        <f>MATCH(Q28,CCF!C:C,0)</f>
        <v>#N/A</v>
      </c>
    </row>
    <row r="29" spans="1:19" ht="20.100000000000001" customHeight="1">
      <c r="A29" s="324" t="s">
        <v>98</v>
      </c>
      <c r="B29" s="19" t="s">
        <v>70</v>
      </c>
      <c r="C29" s="19"/>
      <c r="D29" s="19"/>
      <c r="E29" s="19"/>
      <c r="F29" s="19"/>
      <c r="G29" s="19"/>
      <c r="H29" s="19"/>
      <c r="I29" s="19"/>
      <c r="J29" s="19" t="s">
        <v>70</v>
      </c>
      <c r="K29" s="163"/>
      <c r="L29" s="9"/>
      <c r="M29" s="160"/>
      <c r="N29" s="119" t="s">
        <v>370</v>
      </c>
      <c r="O29" s="151" t="s">
        <v>369</v>
      </c>
      <c r="P29" s="140" t="s">
        <v>298</v>
      </c>
      <c r="Q29" s="206"/>
      <c r="S29" s="190" t="e">
        <f>MATCH(Q29,CCF!C:C,0)</f>
        <v>#N/A</v>
      </c>
    </row>
    <row r="30" spans="1:19" ht="20.100000000000001" customHeight="1">
      <c r="A30" s="324" t="s">
        <v>98</v>
      </c>
      <c r="B30" s="19" t="s">
        <v>70</v>
      </c>
      <c r="C30" s="19"/>
      <c r="D30" s="19"/>
      <c r="E30" s="19"/>
      <c r="F30" s="19"/>
      <c r="G30" s="19"/>
      <c r="H30" s="19"/>
      <c r="I30" s="19"/>
      <c r="J30" s="19" t="s">
        <v>70</v>
      </c>
      <c r="K30" s="163"/>
      <c r="L30" s="9"/>
      <c r="M30" s="160"/>
      <c r="N30" s="119" t="s">
        <v>371</v>
      </c>
      <c r="O30" s="151" t="s">
        <v>368</v>
      </c>
      <c r="P30" s="140" t="s">
        <v>298</v>
      </c>
      <c r="Q30" s="189"/>
      <c r="S30" s="190" t="e">
        <f>MATCH(Q30,CCF!C:C,0)</f>
        <v>#N/A</v>
      </c>
    </row>
    <row r="31" spans="1:19" ht="20.100000000000001" customHeight="1">
      <c r="A31" s="324" t="s">
        <v>98</v>
      </c>
      <c r="B31" s="19" t="s">
        <v>70</v>
      </c>
      <c r="C31" s="19"/>
      <c r="D31" s="19"/>
      <c r="E31" s="19"/>
      <c r="F31" s="19"/>
      <c r="G31" s="19"/>
      <c r="H31" s="19"/>
      <c r="I31" s="19"/>
      <c r="J31" s="19" t="s">
        <v>70</v>
      </c>
      <c r="K31" s="163"/>
      <c r="L31" s="9"/>
      <c r="M31" s="160"/>
      <c r="N31" s="119" t="s">
        <v>372</v>
      </c>
      <c r="P31" s="140" t="s">
        <v>298</v>
      </c>
      <c r="Q31" s="189"/>
      <c r="S31" s="190" t="e">
        <f>MATCH(Q31,CCF!C:C,0)</f>
        <v>#N/A</v>
      </c>
    </row>
    <row r="32" spans="1:19" ht="20.100000000000001" customHeight="1">
      <c r="A32" s="324" t="s">
        <v>98</v>
      </c>
      <c r="B32" s="19" t="s">
        <v>70</v>
      </c>
      <c r="C32" s="19"/>
      <c r="D32" s="19"/>
      <c r="E32" s="19"/>
      <c r="F32" s="19"/>
      <c r="G32" s="19"/>
      <c r="H32" s="19"/>
      <c r="I32" s="19"/>
      <c r="J32" s="19" t="s">
        <v>70</v>
      </c>
      <c r="K32" s="163"/>
      <c r="L32" s="9"/>
      <c r="M32" s="151"/>
      <c r="N32" s="119" t="s">
        <v>373</v>
      </c>
      <c r="P32" s="140" t="s">
        <v>298</v>
      </c>
      <c r="Q32" s="206"/>
      <c r="S32" s="190" t="e">
        <f>MATCH(Q32,CCF!C:C,0)</f>
        <v>#N/A</v>
      </c>
    </row>
    <row r="33" spans="1:19" ht="20.100000000000001" customHeight="1">
      <c r="A33" s="324" t="s">
        <v>99</v>
      </c>
      <c r="B33" s="19" t="s">
        <v>70</v>
      </c>
      <c r="C33" s="19"/>
      <c r="D33" s="19"/>
      <c r="E33" s="19"/>
      <c r="F33" s="19"/>
      <c r="G33" s="19"/>
      <c r="H33" s="19"/>
      <c r="I33" s="19"/>
      <c r="J33" s="19"/>
      <c r="K33" s="19" t="s">
        <v>70</v>
      </c>
      <c r="L33" s="9" t="s">
        <v>335</v>
      </c>
      <c r="M33" s="151"/>
      <c r="N33" s="119" t="s">
        <v>334</v>
      </c>
      <c r="P33" s="140" t="s">
        <v>298</v>
      </c>
      <c r="Q33" s="189"/>
      <c r="S33" s="190" t="e">
        <f>MATCH(Q33,CCF!C:C,0)</f>
        <v>#N/A</v>
      </c>
    </row>
    <row r="34" spans="1:19" ht="20.100000000000001" customHeight="1">
      <c r="A34" s="324" t="s">
        <v>99</v>
      </c>
      <c r="B34" s="19" t="s">
        <v>70</v>
      </c>
      <c r="M34" s="11"/>
      <c r="N34" s="119" t="s">
        <v>680</v>
      </c>
      <c r="P34" s="140" t="s">
        <v>298</v>
      </c>
      <c r="Q34" s="189"/>
    </row>
    <row r="35" spans="1:19" ht="20.100000000000001" customHeight="1">
      <c r="A35" s="324" t="s">
        <v>99</v>
      </c>
      <c r="B35" s="19" t="s">
        <v>70</v>
      </c>
      <c r="M35" s="228" t="s">
        <v>681</v>
      </c>
      <c r="N35" s="119" t="s">
        <v>682</v>
      </c>
      <c r="P35" s="140" t="s">
        <v>298</v>
      </c>
      <c r="Q35" s="206"/>
    </row>
    <row r="36" spans="1:19" ht="20.100000000000001" customHeight="1">
      <c r="A36" s="324" t="s">
        <v>99</v>
      </c>
      <c r="B36" s="19" t="s">
        <v>70</v>
      </c>
      <c r="N36" s="119" t="s">
        <v>681</v>
      </c>
      <c r="P36" s="140" t="s">
        <v>298</v>
      </c>
      <c r="Q36" s="189"/>
    </row>
    <row r="37" spans="1:19" ht="20.100000000000001" customHeight="1">
      <c r="A37" s="324" t="s">
        <v>99</v>
      </c>
      <c r="B37" s="19" t="s">
        <v>70</v>
      </c>
      <c r="L37" s="9" t="s">
        <v>838</v>
      </c>
      <c r="N37" s="119" t="s">
        <v>836</v>
      </c>
      <c r="P37" s="140" t="s">
        <v>298</v>
      </c>
      <c r="Q37" s="189"/>
    </row>
    <row r="38" spans="1:19" ht="20.100000000000001" customHeight="1">
      <c r="A38" s="324" t="s">
        <v>98</v>
      </c>
      <c r="B38" s="12" t="s">
        <v>70</v>
      </c>
      <c r="N38" s="228" t="s">
        <v>837</v>
      </c>
      <c r="P38" s="139" t="s">
        <v>298</v>
      </c>
    </row>
    <row r="39" spans="1:19" ht="20.100000000000001" customHeight="1">
      <c r="A39" s="324" t="s">
        <v>100</v>
      </c>
      <c r="B39" s="12" t="s">
        <v>70</v>
      </c>
      <c r="P39" s="139"/>
    </row>
    <row r="40" spans="1:19" ht="20.100000000000001" customHeight="1">
      <c r="A40" s="324" t="s">
        <v>100</v>
      </c>
      <c r="B40" s="12" t="s">
        <v>70</v>
      </c>
    </row>
    <row r="41" spans="1:19" ht="20.100000000000001" customHeight="1">
      <c r="A41" s="324" t="s">
        <v>100</v>
      </c>
      <c r="B41" s="12" t="s">
        <v>70</v>
      </c>
      <c r="C41" s="420">
        <f>COUNTIF(A:A,"def")</f>
        <v>28</v>
      </c>
    </row>
    <row r="42" spans="1:19" ht="20.100000000000001" customHeight="1">
      <c r="A42" s="324" t="s">
        <v>100</v>
      </c>
      <c r="B42" s="12" t="s">
        <v>70</v>
      </c>
    </row>
    <row r="43" spans="1:19" ht="20.100000000000001" customHeight="1">
      <c r="A43" s="324" t="s">
        <v>100</v>
      </c>
      <c r="B43" s="12" t="s">
        <v>70</v>
      </c>
    </row>
    <row r="44" spans="1:19" ht="20.100000000000001" customHeight="1">
      <c r="A44" s="324" t="s">
        <v>100</v>
      </c>
      <c r="B44" s="12" t="s">
        <v>70</v>
      </c>
    </row>
    <row r="45" spans="1:19" ht="20.100000000000001" customHeight="1">
      <c r="A45" s="324" t="s">
        <v>100</v>
      </c>
      <c r="B45" s="12" t="s">
        <v>70</v>
      </c>
    </row>
    <row r="46" spans="1:19" ht="20.100000000000001" customHeight="1">
      <c r="A46" s="324" t="s">
        <v>100</v>
      </c>
      <c r="B46" s="12" t="s">
        <v>70</v>
      </c>
    </row>
    <row r="47" spans="1:19" ht="20.100000000000001" customHeight="1">
      <c r="A47" s="324" t="s">
        <v>100</v>
      </c>
      <c r="B47" s="12" t="s">
        <v>70</v>
      </c>
    </row>
    <row r="48" spans="1:19" ht="20.100000000000001" customHeight="1">
      <c r="A48" s="324" t="s">
        <v>100</v>
      </c>
      <c r="B48" s="12" t="s">
        <v>70</v>
      </c>
    </row>
    <row r="49" spans="1:2" ht="20.100000000000001" customHeight="1">
      <c r="A49" s="324" t="s">
        <v>100</v>
      </c>
      <c r="B49" s="12" t="s">
        <v>70</v>
      </c>
    </row>
    <row r="50" spans="1:2" ht="20.100000000000001" customHeight="1">
      <c r="A50" s="324" t="s">
        <v>100</v>
      </c>
      <c r="B50" s="12" t="s">
        <v>70</v>
      </c>
    </row>
    <row r="51" spans="1:2" ht="20.100000000000001" customHeight="1">
      <c r="A51" s="324" t="s">
        <v>100</v>
      </c>
      <c r="B51" s="12" t="s">
        <v>70</v>
      </c>
    </row>
    <row r="52" spans="1:2" ht="20.100000000000001" customHeight="1">
      <c r="A52" s="324" t="s">
        <v>100</v>
      </c>
      <c r="B52" s="12" t="s">
        <v>70</v>
      </c>
    </row>
    <row r="53" spans="1:2" ht="20.100000000000001" customHeight="1">
      <c r="A53" s="324" t="s">
        <v>100</v>
      </c>
      <c r="B53" s="12" t="s">
        <v>70</v>
      </c>
    </row>
  </sheetData>
  <dataConsolidate link="1"/>
  <phoneticPr fontId="87" type="noConversion"/>
  <hyperlinks>
    <hyperlink ref="N11" xr:uid="{311A5516-26D7-4C35-A172-11E955FA1CDD}"/>
    <hyperlink ref="N3" r:id="rId1" xr:uid="{29EED689-FB77-4748-89FA-371A2E465403}"/>
    <hyperlink ref="N4" r:id="rId2" location="fpstate=ive&amp;vld=cid:b55a173d,vid:xNx16-QIJ_A,st:3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" xr:uid="{AECCA9F2-E914-4D3A-87CC-78B67DE50173}"/>
    <hyperlink ref="N5" r:id="rId3" location="fpstate=ive&amp;vld=cid:b55a173d,vid:xNx16-QIJ_A,st:0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" xr:uid="{B6FE9256-4A1B-48F0-BF3F-ACE2B2DD8C1E}"/>
    <hyperlink ref="N6" r:id="rId4" xr:uid="{905D1D74-4CEE-4146-BBF9-F0D05737989F}"/>
    <hyperlink ref="N7" r:id="rId5" xr:uid="{0E5CEF79-401B-436A-835B-157C13C0BAF3}"/>
    <hyperlink ref="N8" r:id="rId6" xr:uid="{E6830D1B-C045-4CCF-BA6E-E96BA3871552}"/>
    <hyperlink ref="N9" r:id="rId7" xr:uid="{6D2CC969-78E3-481F-A40B-70038FD8997E}"/>
    <hyperlink ref="N10" r:id="rId8" xr:uid="{0BF0B26B-E6A7-4285-81D7-FC8F36C0FD2B}"/>
    <hyperlink ref="N12" r:id="rId9" xr:uid="{C34494FC-A72E-4A2A-8346-0CF45E40C626}"/>
    <hyperlink ref="N13" r:id="rId10" xr:uid="{06DF1331-2394-48A4-9EC7-E8C5559D1D99}"/>
    <hyperlink ref="N14" r:id="rId11" xr:uid="{AC4E640C-8136-405B-A691-4226736DBECA}"/>
    <hyperlink ref="N15" r:id="rId12" xr:uid="{4D799F0C-8809-4FA2-88AB-AE21757CB91D}"/>
    <hyperlink ref="N16" r:id="rId13" xr:uid="{9E7FC88A-8C83-45A0-A5B2-2E7C43288163}"/>
    <hyperlink ref="N17" r:id="rId14" xr:uid="{12D2E975-F2F3-46CB-A42F-CFB9B2C9295E}"/>
    <hyperlink ref="N18" r:id="rId15" xr:uid="{1ADCBE61-2174-4BA5-84F7-0B5F0A654680}"/>
    <hyperlink ref="N19" r:id="rId16" xr:uid="{09DF45BF-58B4-49ED-ABD1-6B7EA6AED284}"/>
    <hyperlink ref="N20" r:id="rId17" xr:uid="{3EC0BE78-931D-4556-88AD-8F213271D344}"/>
    <hyperlink ref="N21" r:id="rId18" xr:uid="{CC4B8A6A-50C6-4AC0-9866-346D94EFD62A}"/>
    <hyperlink ref="N22" r:id="rId19" xr:uid="{33DD44B4-D56E-488D-8D1E-0678A6B65B9D}"/>
    <hyperlink ref="N23" r:id="rId20" xr:uid="{9F8C3C32-E170-4220-88CB-BF801BAB847D}"/>
    <hyperlink ref="N24" r:id="rId21" xr:uid="{7DBB5CD6-D3D4-4DA5-9CEF-AB74E8DFFC48}"/>
    <hyperlink ref="N25" r:id="rId22" xr:uid="{06E25F7A-7FF7-448C-A50F-6A8D8DD171D1}"/>
    <hyperlink ref="N26" r:id="rId23" xr:uid="{5F2B31DD-B1BE-4744-B9F6-FDBD480894A6}"/>
    <hyperlink ref="N27" r:id="rId24" xr:uid="{85F75A94-3CD9-4254-87E0-F96568D1A241}"/>
    <hyperlink ref="N28" r:id="rId25" xr:uid="{5779A42E-763B-417A-8E50-6B18B44568EE}"/>
    <hyperlink ref="N29" r:id="rId26" xr:uid="{5EF48163-9B1A-4148-8731-22C2BDE95726}"/>
    <hyperlink ref="N30" r:id="rId27" xr:uid="{04D7F0C6-F24E-4859-829F-DCF839018AF3}"/>
    <hyperlink ref="N31" r:id="rId28" xr:uid="{58907CDB-95B1-4D5F-9C59-238B67BA8D5F}"/>
    <hyperlink ref="N32" r:id="rId29" xr:uid="{F2F133C4-BC68-4579-9B1E-01CBC6052189}"/>
    <hyperlink ref="N33" r:id="rId30" xr:uid="{21E23488-DB84-478A-A53B-320A7A291ADD}"/>
    <hyperlink ref="N34" r:id="rId31" xr:uid="{1EE83B68-96CE-446F-AA4C-8668C136DA97}"/>
    <hyperlink ref="N35" r:id="rId32" xr:uid="{91BA54F6-6F3F-499C-936C-7A816FEBDC69}"/>
    <hyperlink ref="R3" location="'STD_F'!C123" display="Link" xr:uid="{5164ECA3-B954-499F-86D0-AB95C34DB91A}"/>
  </hyperlinks>
  <pageMargins left="0.7" right="0.7" top="0.78740157499999996" bottom="0.78740157499999996" header="0.3" footer="0.3"/>
  <pageSetup paperSize="9" orientation="portrait"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E036-9E83-4CDA-996C-9AF5DABCC93D}">
  <sheetPr codeName="Tabelle2"/>
  <dimension ref="A1:P57"/>
  <sheetViews>
    <sheetView workbookViewId="0">
      <pane ySplit="1" topLeftCell="A2" activePane="bottomLeft" state="frozen"/>
      <selection activeCell="K2" sqref="K2"/>
      <selection pane="bottomLeft" activeCell="N10" sqref="N10"/>
    </sheetView>
  </sheetViews>
  <sheetFormatPr baseColWidth="10" defaultColWidth="11.5546875" defaultRowHeight="15.6"/>
  <cols>
    <col min="1" max="1" width="8.33203125" style="320" customWidth="1"/>
    <col min="2" max="10" width="3.6640625" style="33" bestFit="1" customWidth="1"/>
    <col min="11" max="11" width="6.6640625" bestFit="1" customWidth="1"/>
    <col min="12" max="12" width="26.109375" style="79" customWidth="1"/>
    <col min="13" max="13" width="12" style="17" bestFit="1" customWidth="1"/>
    <col min="14" max="14" width="21.5546875" style="17" customWidth="1"/>
    <col min="15" max="15" width="52.44140625" style="76" customWidth="1"/>
    <col min="16" max="16384" width="11.5546875" style="17"/>
  </cols>
  <sheetData>
    <row r="1" spans="1:16" s="2" customFormat="1" ht="55.2" customHeight="1">
      <c r="A1" s="315" t="s">
        <v>94</v>
      </c>
      <c r="B1" s="405" t="str">
        <f>def!B1</f>
        <v>Alles</v>
      </c>
      <c r="C1" s="231" t="str">
        <f>def!C1</f>
        <v>Gruppe 1</v>
      </c>
      <c r="D1" s="231" t="str">
        <f>def!D1</f>
        <v>Gruppe 2</v>
      </c>
      <c r="E1" s="231" t="str">
        <f>def!E1</f>
        <v>Yael</v>
      </c>
      <c r="F1" s="231" t="str">
        <f>def!F1</f>
        <v>Gruppe 4</v>
      </c>
      <c r="G1" s="231" t="str">
        <f>def!G1</f>
        <v>Hans</v>
      </c>
      <c r="H1" s="231" t="str">
        <f>def!H1</f>
        <v>Rust</v>
      </c>
      <c r="I1" s="231" t="str">
        <f>def!I1</f>
        <v>Rust26</v>
      </c>
      <c r="J1" s="231" t="str">
        <f>def!J1</f>
        <v>Sonst</v>
      </c>
      <c r="K1" s="231" t="str">
        <f>def!K1</f>
        <v>Buch + Basic</v>
      </c>
      <c r="L1" s="77" t="s">
        <v>68</v>
      </c>
      <c r="M1" s="24" t="s">
        <v>69</v>
      </c>
      <c r="N1" s="24" t="s">
        <v>14</v>
      </c>
      <c r="O1" s="23" t="s">
        <v>95</v>
      </c>
    </row>
    <row r="2" spans="1:16" s="2" customFormat="1" ht="25.2" customHeight="1">
      <c r="A2" s="316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O2" s="11"/>
    </row>
    <row r="3" spans="1:16" s="2" customFormat="1" ht="25.2" customHeight="1">
      <c r="A3" s="317" t="s">
        <v>99</v>
      </c>
      <c r="B3" s="36" t="s">
        <v>70</v>
      </c>
      <c r="C3" s="36" t="s">
        <v>70</v>
      </c>
      <c r="D3" s="225" t="s">
        <v>70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145</v>
      </c>
      <c r="O3" s="11"/>
      <c r="P3" s="145" t="s">
        <v>298</v>
      </c>
    </row>
    <row r="4" spans="1:16" s="2" customFormat="1" ht="25.2" customHeight="1">
      <c r="A4" s="317" t="s">
        <v>98</v>
      </c>
      <c r="B4" s="353" t="s">
        <v>70</v>
      </c>
      <c r="C4" s="353" t="s">
        <v>70</v>
      </c>
      <c r="D4" s="354" t="s">
        <v>70</v>
      </c>
      <c r="E4" s="37"/>
      <c r="F4" s="37"/>
      <c r="G4" s="37"/>
      <c r="H4" s="37"/>
      <c r="I4" s="37"/>
      <c r="J4" s="37"/>
      <c r="L4" s="1"/>
      <c r="M4" s="4"/>
      <c r="N4" s="119" t="s">
        <v>795</v>
      </c>
      <c r="O4" s="11"/>
      <c r="P4" s="145" t="s">
        <v>298</v>
      </c>
    </row>
    <row r="5" spans="1:16" s="2" customFormat="1" ht="25.2" customHeight="1">
      <c r="A5" s="317" t="s">
        <v>98</v>
      </c>
      <c r="B5" s="357" t="s">
        <v>70</v>
      </c>
      <c r="C5" s="353"/>
      <c r="D5" s="354"/>
      <c r="E5" s="37"/>
      <c r="F5" s="37"/>
      <c r="G5" s="37"/>
      <c r="H5" s="37"/>
      <c r="I5" s="37"/>
      <c r="J5" s="37"/>
      <c r="K5" s="358" t="s">
        <v>70</v>
      </c>
      <c r="L5" s="1"/>
      <c r="M5" s="4"/>
      <c r="N5" s="119" t="s">
        <v>798</v>
      </c>
      <c r="O5" s="359" t="s">
        <v>799</v>
      </c>
      <c r="P5" s="145" t="s">
        <v>298</v>
      </c>
    </row>
    <row r="6" spans="1:16" s="2" customFormat="1" ht="25.2" customHeight="1">
      <c r="A6" s="317" t="s">
        <v>98</v>
      </c>
      <c r="B6" s="357" t="s">
        <v>70</v>
      </c>
      <c r="C6" s="353"/>
      <c r="D6" s="354"/>
      <c r="E6" s="37"/>
      <c r="F6" s="37"/>
      <c r="G6" s="37"/>
      <c r="H6" s="37"/>
      <c r="I6" s="37"/>
      <c r="J6" s="37"/>
      <c r="K6" s="358" t="s">
        <v>70</v>
      </c>
      <c r="L6" s="1"/>
      <c r="M6" s="4"/>
      <c r="N6" s="119" t="s">
        <v>800</v>
      </c>
      <c r="O6" s="359" t="s">
        <v>801</v>
      </c>
      <c r="P6" s="145" t="s">
        <v>298</v>
      </c>
    </row>
    <row r="7" spans="1:16" s="2" customFormat="1" ht="25.2" customHeight="1">
      <c r="A7" s="317" t="s">
        <v>99</v>
      </c>
      <c r="B7" s="36" t="s">
        <v>70</v>
      </c>
      <c r="C7" s="273" t="s">
        <v>70</v>
      </c>
      <c r="D7" s="225" t="s">
        <v>70</v>
      </c>
      <c r="E7" s="37"/>
      <c r="F7" s="37"/>
      <c r="G7" s="37"/>
      <c r="H7" s="37"/>
      <c r="I7" s="37"/>
      <c r="J7" s="37"/>
      <c r="L7" s="1" t="s">
        <v>26</v>
      </c>
      <c r="M7" s="4"/>
      <c r="N7" s="119" t="s">
        <v>146</v>
      </c>
      <c r="O7" s="11"/>
      <c r="P7" s="145" t="s">
        <v>298</v>
      </c>
    </row>
    <row r="8" spans="1:16" s="2" customFormat="1" ht="25.2" customHeight="1">
      <c r="A8" s="317" t="s">
        <v>99</v>
      </c>
      <c r="B8" s="36" t="s">
        <v>70</v>
      </c>
      <c r="C8" s="36"/>
      <c r="D8" s="225" t="s">
        <v>70</v>
      </c>
      <c r="E8" s="37"/>
      <c r="F8" s="37"/>
      <c r="G8" s="37"/>
      <c r="H8" s="37"/>
      <c r="I8" s="37"/>
      <c r="J8" s="37"/>
      <c r="L8" s="1" t="s">
        <v>5</v>
      </c>
      <c r="M8" s="4"/>
      <c r="N8" s="119" t="s">
        <v>147</v>
      </c>
      <c r="O8" s="11"/>
      <c r="P8" s="145" t="s">
        <v>298</v>
      </c>
    </row>
    <row r="9" spans="1:16" s="2" customFormat="1" ht="25.2" customHeight="1">
      <c r="A9" s="317" t="s">
        <v>98</v>
      </c>
      <c r="B9" s="36" t="s">
        <v>70</v>
      </c>
      <c r="C9" s="36"/>
      <c r="D9" s="225" t="s">
        <v>70</v>
      </c>
      <c r="E9" s="37"/>
      <c r="F9" s="37"/>
      <c r="G9" s="37"/>
      <c r="H9" s="37"/>
      <c r="I9" s="37"/>
      <c r="J9" s="37"/>
      <c r="L9" s="1"/>
      <c r="M9" s="4"/>
      <c r="N9" s="119" t="s">
        <v>148</v>
      </c>
      <c r="O9" s="88" t="s">
        <v>214</v>
      </c>
      <c r="P9" s="145" t="s">
        <v>298</v>
      </c>
    </row>
    <row r="10" spans="1:16" s="2" customFormat="1" ht="25.2" customHeight="1">
      <c r="A10" s="317" t="s">
        <v>98</v>
      </c>
      <c r="B10" s="36" t="s">
        <v>70</v>
      </c>
      <c r="C10" s="36"/>
      <c r="D10" s="225" t="s">
        <v>70</v>
      </c>
      <c r="E10" s="37"/>
      <c r="F10" s="37"/>
      <c r="G10" s="37"/>
      <c r="H10" s="37"/>
      <c r="I10" s="37"/>
      <c r="J10" s="37"/>
      <c r="L10" s="1"/>
      <c r="M10" s="4"/>
      <c r="N10" s="119" t="s">
        <v>213</v>
      </c>
      <c r="O10" s="88" t="s">
        <v>215</v>
      </c>
      <c r="P10" s="145" t="s">
        <v>298</v>
      </c>
    </row>
    <row r="11" spans="1:16" s="2" customFormat="1" ht="25.2" customHeight="1">
      <c r="A11" s="317" t="s">
        <v>98</v>
      </c>
      <c r="B11" s="36" t="s">
        <v>70</v>
      </c>
      <c r="C11" s="36"/>
      <c r="D11" s="225" t="s">
        <v>70</v>
      </c>
      <c r="E11" s="37"/>
      <c r="F11" s="37"/>
      <c r="G11" s="37"/>
      <c r="H11" s="37"/>
      <c r="I11" s="37"/>
      <c r="J11" s="37"/>
      <c r="L11" s="1"/>
      <c r="M11" s="4"/>
      <c r="N11" s="119" t="s">
        <v>216</v>
      </c>
      <c r="O11" s="89" t="s">
        <v>217</v>
      </c>
      <c r="P11" s="145" t="s">
        <v>298</v>
      </c>
    </row>
    <row r="12" spans="1:16" s="2" customFormat="1" ht="25.2" customHeight="1">
      <c r="A12" s="317" t="s">
        <v>99</v>
      </c>
      <c r="B12" s="36" t="s">
        <v>70</v>
      </c>
      <c r="C12" s="36"/>
      <c r="D12" s="225" t="s">
        <v>70</v>
      </c>
      <c r="E12" s="37"/>
      <c r="F12" s="37"/>
      <c r="G12" s="37"/>
      <c r="H12" s="37"/>
      <c r="I12" s="37"/>
      <c r="J12" s="37"/>
      <c r="L12" s="1" t="s">
        <v>67</v>
      </c>
      <c r="M12" s="355"/>
      <c r="N12" s="119" t="s">
        <v>149</v>
      </c>
      <c r="O12" s="359" t="s">
        <v>801</v>
      </c>
      <c r="P12" s="145" t="s">
        <v>298</v>
      </c>
    </row>
    <row r="13" spans="1:16" s="2" customFormat="1" ht="25.2" customHeight="1">
      <c r="A13" s="317" t="s">
        <v>98</v>
      </c>
      <c r="B13" s="353" t="s">
        <v>70</v>
      </c>
      <c r="C13" s="36"/>
      <c r="D13" s="354" t="s">
        <v>70</v>
      </c>
      <c r="E13" s="37"/>
      <c r="F13" s="37"/>
      <c r="G13" s="37"/>
      <c r="H13" s="37"/>
      <c r="I13" s="37"/>
      <c r="J13" s="37"/>
      <c r="L13" s="1"/>
      <c r="M13" s="4"/>
      <c r="N13" s="119" t="s">
        <v>794</v>
      </c>
      <c r="O13" s="356" t="s">
        <v>793</v>
      </c>
      <c r="P13" s="145" t="s">
        <v>298</v>
      </c>
    </row>
    <row r="14" spans="1:16" s="2" customFormat="1" ht="25.2" customHeight="1">
      <c r="A14" s="317" t="s">
        <v>99</v>
      </c>
      <c r="B14" s="36" t="s">
        <v>70</v>
      </c>
      <c r="C14" s="36"/>
      <c r="D14" s="37"/>
      <c r="E14" s="37"/>
      <c r="F14" s="37"/>
      <c r="G14" s="37"/>
      <c r="H14" s="37" t="s">
        <v>70</v>
      </c>
      <c r="I14" s="37"/>
      <c r="J14" s="37"/>
      <c r="L14" s="1" t="s">
        <v>194</v>
      </c>
      <c r="M14" s="4"/>
      <c r="N14" s="119" t="s">
        <v>268</v>
      </c>
      <c r="O14" s="11"/>
      <c r="P14" s="145" t="s">
        <v>298</v>
      </c>
    </row>
    <row r="15" spans="1:16" s="2" customFormat="1" ht="25.2" customHeight="1">
      <c r="A15" s="317" t="s">
        <v>99</v>
      </c>
      <c r="B15" s="36" t="s">
        <v>70</v>
      </c>
      <c r="C15" s="36"/>
      <c r="D15" s="37"/>
      <c r="E15" s="37"/>
      <c r="F15" s="37"/>
      <c r="G15" s="37" t="s">
        <v>70</v>
      </c>
      <c r="H15" s="37"/>
      <c r="I15" s="37"/>
      <c r="J15" s="37"/>
      <c r="L15" s="295" t="s">
        <v>724</v>
      </c>
      <c r="M15" s="4"/>
      <c r="N15" s="119" t="s">
        <v>269</v>
      </c>
      <c r="O15" s="11"/>
      <c r="P15" s="145" t="s">
        <v>298</v>
      </c>
    </row>
    <row r="16" spans="1:16" s="2" customFormat="1" ht="25.2" customHeight="1">
      <c r="A16" s="317" t="s">
        <v>98</v>
      </c>
      <c r="B16" s="36" t="s">
        <v>70</v>
      </c>
      <c r="C16" s="36"/>
      <c r="D16" s="37"/>
      <c r="E16" s="37"/>
      <c r="F16" s="37"/>
      <c r="G16" s="37" t="s">
        <v>70</v>
      </c>
      <c r="H16" s="37"/>
      <c r="I16" s="37"/>
      <c r="J16" s="37"/>
      <c r="L16" s="1"/>
      <c r="M16" s="4"/>
      <c r="N16" s="119" t="s">
        <v>283</v>
      </c>
      <c r="O16" s="11"/>
      <c r="P16" s="145" t="s">
        <v>298</v>
      </c>
    </row>
    <row r="17" spans="1:16" s="2" customFormat="1" ht="25.2" customHeight="1">
      <c r="A17" s="317" t="s">
        <v>99</v>
      </c>
      <c r="B17" s="36" t="s">
        <v>70</v>
      </c>
      <c r="C17" s="36"/>
      <c r="D17" s="37"/>
      <c r="E17" s="37"/>
      <c r="F17" s="37"/>
      <c r="G17" s="37"/>
      <c r="H17" s="37"/>
      <c r="I17" s="37"/>
      <c r="J17" s="91" t="s">
        <v>70</v>
      </c>
      <c r="L17" s="92" t="s">
        <v>227</v>
      </c>
      <c r="M17" s="93" t="s">
        <v>228</v>
      </c>
      <c r="N17" s="119" t="s">
        <v>226</v>
      </c>
      <c r="O17" s="11"/>
      <c r="P17" s="145" t="s">
        <v>298</v>
      </c>
    </row>
    <row r="18" spans="1:16" s="2" customFormat="1" ht="25.2" customHeight="1">
      <c r="A18" s="317" t="s">
        <v>98</v>
      </c>
      <c r="B18" s="36" t="s">
        <v>70</v>
      </c>
      <c r="C18" s="36"/>
      <c r="D18" s="37"/>
      <c r="E18" s="37"/>
      <c r="F18" s="37"/>
      <c r="G18" s="37"/>
      <c r="H18" s="37"/>
      <c r="I18" s="37"/>
      <c r="J18" s="37"/>
      <c r="L18" s="1"/>
      <c r="M18" s="4"/>
      <c r="N18" s="119" t="s">
        <v>229</v>
      </c>
      <c r="O18" s="11"/>
      <c r="P18" s="145" t="s">
        <v>298</v>
      </c>
    </row>
    <row r="19" spans="1:16" s="2" customFormat="1" ht="25.2" customHeight="1">
      <c r="A19" s="317" t="s">
        <v>99</v>
      </c>
      <c r="B19" s="36" t="s">
        <v>70</v>
      </c>
      <c r="C19" s="36"/>
      <c r="D19" s="37"/>
      <c r="E19" s="122" t="s">
        <v>70</v>
      </c>
      <c r="F19" s="37"/>
      <c r="G19" s="37"/>
      <c r="H19" s="37"/>
      <c r="I19" s="37"/>
      <c r="J19" s="37"/>
      <c r="L19" s="123" t="s">
        <v>263</v>
      </c>
      <c r="M19" s="4"/>
      <c r="N19" s="119" t="s">
        <v>270</v>
      </c>
      <c r="O19" s="11"/>
      <c r="P19" s="145" t="s">
        <v>298</v>
      </c>
    </row>
    <row r="20" spans="1:16" s="2" customFormat="1" ht="25.2" customHeight="1">
      <c r="A20" s="317" t="s">
        <v>99</v>
      </c>
      <c r="B20" s="36" t="s">
        <v>70</v>
      </c>
      <c r="C20" s="36"/>
      <c r="D20" s="37"/>
      <c r="E20" s="37"/>
      <c r="F20" s="37"/>
      <c r="G20" s="37"/>
      <c r="H20" s="37"/>
      <c r="I20" s="37"/>
      <c r="J20" s="37"/>
      <c r="K20" s="36" t="s">
        <v>70</v>
      </c>
      <c r="L20" s="370" t="s">
        <v>332</v>
      </c>
      <c r="M20" s="4"/>
      <c r="N20" s="119" t="s">
        <v>389</v>
      </c>
      <c r="O20" s="374" t="s">
        <v>339</v>
      </c>
      <c r="P20" s="145" t="s">
        <v>298</v>
      </c>
    </row>
    <row r="21" spans="1:16" s="2" customFormat="1" ht="25.2" customHeight="1">
      <c r="A21" s="317" t="s">
        <v>98</v>
      </c>
      <c r="B21" s="36" t="s">
        <v>70</v>
      </c>
      <c r="C21" s="36"/>
      <c r="D21" s="37"/>
      <c r="E21" s="37"/>
      <c r="F21" s="37"/>
      <c r="G21" s="37"/>
      <c r="H21" s="37"/>
      <c r="I21" s="37"/>
      <c r="J21" s="37"/>
      <c r="K21" s="36" t="s">
        <v>70</v>
      </c>
      <c r="L21" s="1"/>
      <c r="M21" s="4"/>
      <c r="N21" s="119" t="s">
        <v>390</v>
      </c>
      <c r="O21" s="374" t="s">
        <v>340</v>
      </c>
      <c r="P21" s="145" t="s">
        <v>298</v>
      </c>
    </row>
    <row r="22" spans="1:16" s="2" customFormat="1" ht="25.2" customHeight="1">
      <c r="A22" s="317" t="s">
        <v>98</v>
      </c>
      <c r="B22" s="36" t="s">
        <v>70</v>
      </c>
      <c r="C22" s="36"/>
      <c r="D22" s="37"/>
      <c r="E22" s="37"/>
      <c r="F22" s="37"/>
      <c r="G22" s="37"/>
      <c r="H22" s="37"/>
      <c r="I22" s="37"/>
      <c r="J22" s="37"/>
      <c r="K22" s="36" t="s">
        <v>70</v>
      </c>
      <c r="L22" s="1"/>
      <c r="M22" s="4"/>
      <c r="N22" s="119" t="s">
        <v>391</v>
      </c>
      <c r="O22" s="374" t="s">
        <v>842</v>
      </c>
      <c r="P22" s="145" t="s">
        <v>298</v>
      </c>
    </row>
    <row r="23" spans="1:16" s="2" customFormat="1" ht="25.2" customHeight="1">
      <c r="A23" s="317" t="s">
        <v>99</v>
      </c>
      <c r="B23" s="36" t="s">
        <v>70</v>
      </c>
      <c r="C23" s="36"/>
      <c r="D23" s="37"/>
      <c r="E23" s="37"/>
      <c r="F23" s="37"/>
      <c r="G23" s="37"/>
      <c r="H23" s="37"/>
      <c r="I23" s="37"/>
      <c r="J23" s="37"/>
      <c r="K23" s="36"/>
      <c r="L23" s="370" t="s">
        <v>841</v>
      </c>
      <c r="M23" s="4"/>
      <c r="N23" s="119" t="s">
        <v>839</v>
      </c>
      <c r="O23" s="11"/>
      <c r="P23" s="145" t="s">
        <v>298</v>
      </c>
    </row>
    <row r="24" spans="1:16" s="2" customFormat="1" ht="25.2" customHeight="1">
      <c r="A24" s="317" t="s">
        <v>99</v>
      </c>
      <c r="B24" s="36" t="s">
        <v>70</v>
      </c>
      <c r="C24" s="36"/>
      <c r="D24" s="37"/>
      <c r="E24" s="37"/>
      <c r="F24" s="37"/>
      <c r="G24" s="37"/>
      <c r="H24" s="37"/>
      <c r="I24" s="37"/>
      <c r="J24" s="440" t="s">
        <v>70</v>
      </c>
      <c r="K24" s="36"/>
      <c r="L24" s="441" t="s">
        <v>969</v>
      </c>
      <c r="M24" s="4"/>
      <c r="N24" s="369" t="s">
        <v>968</v>
      </c>
      <c r="O24" s="442" t="s">
        <v>970</v>
      </c>
      <c r="P24" s="145" t="s">
        <v>298</v>
      </c>
    </row>
    <row r="25" spans="1:16" s="2" customFormat="1" ht="25.2" customHeight="1">
      <c r="A25" s="317" t="s">
        <v>98</v>
      </c>
      <c r="B25" s="36" t="s">
        <v>70</v>
      </c>
      <c r="C25" s="36"/>
      <c r="D25" s="37"/>
      <c r="E25" s="37"/>
      <c r="F25" s="37"/>
      <c r="G25" s="37"/>
      <c r="H25" s="37"/>
      <c r="I25" s="37"/>
      <c r="J25" s="440" t="s">
        <v>70</v>
      </c>
      <c r="K25" s="444" t="s">
        <v>70</v>
      </c>
      <c r="L25" s="1"/>
      <c r="M25" s="4"/>
      <c r="N25" s="119" t="s">
        <v>971</v>
      </c>
      <c r="O25" s="442" t="s">
        <v>974</v>
      </c>
      <c r="P25" s="145" t="s">
        <v>298</v>
      </c>
    </row>
    <row r="26" spans="1:16" s="2" customFormat="1" ht="25.2" customHeight="1">
      <c r="A26" s="317" t="s">
        <v>98</v>
      </c>
      <c r="B26" s="36" t="s">
        <v>70</v>
      </c>
      <c r="D26" s="37"/>
      <c r="E26" s="37"/>
      <c r="F26" s="37"/>
      <c r="G26" s="37"/>
      <c r="H26" s="37"/>
      <c r="I26" s="37"/>
      <c r="J26" s="440" t="s">
        <v>70</v>
      </c>
      <c r="K26" s="443" t="s">
        <v>70</v>
      </c>
      <c r="L26" s="1"/>
      <c r="M26" s="4"/>
      <c r="N26" s="119" t="s">
        <v>972</v>
      </c>
      <c r="O26" s="442" t="s">
        <v>975</v>
      </c>
      <c r="P26" s="145" t="s">
        <v>298</v>
      </c>
    </row>
    <row r="27" spans="1:16" s="2" customFormat="1" ht="25.2" customHeight="1">
      <c r="A27" s="317" t="s">
        <v>100</v>
      </c>
      <c r="B27" s="36" t="s">
        <v>70</v>
      </c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82"/>
      <c r="O27" s="11"/>
      <c r="P27" s="144"/>
    </row>
    <row r="28" spans="1:16" s="2" customFormat="1" ht="25.2" customHeight="1">
      <c r="A28" s="317" t="s">
        <v>100</v>
      </c>
      <c r="B28" s="36" t="s">
        <v>70</v>
      </c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82"/>
      <c r="O28" s="11"/>
      <c r="P28" s="144"/>
    </row>
    <row r="29" spans="1:16" s="2" customFormat="1" ht="25.2" customHeight="1">
      <c r="A29" s="317" t="s">
        <v>100</v>
      </c>
      <c r="B29" s="36" t="s">
        <v>70</v>
      </c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82"/>
      <c r="O29" s="11"/>
      <c r="P29" s="144"/>
    </row>
    <row r="30" spans="1:16" s="2" customFormat="1" ht="25.2" customHeight="1">
      <c r="A30" s="317" t="s">
        <v>100</v>
      </c>
      <c r="B30" s="36" t="s">
        <v>70</v>
      </c>
      <c r="C30" s="420">
        <f>COUNTIF(A:A,"def")</f>
        <v>11</v>
      </c>
      <c r="D30" s="37"/>
      <c r="E30" s="37"/>
      <c r="F30" s="37"/>
      <c r="G30" s="37"/>
      <c r="H30" s="37"/>
      <c r="I30" s="37"/>
      <c r="J30" s="37"/>
      <c r="L30" s="1"/>
      <c r="M30" s="4"/>
      <c r="N30" s="82"/>
      <c r="O30" s="11"/>
      <c r="P30" s="144"/>
    </row>
    <row r="31" spans="1:16" s="2" customFormat="1" ht="25.2" customHeight="1">
      <c r="A31" s="317" t="s">
        <v>100</v>
      </c>
      <c r="B31" s="36" t="s">
        <v>70</v>
      </c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82"/>
      <c r="O31" s="11"/>
      <c r="P31" s="144"/>
    </row>
    <row r="32" spans="1:16" s="2" customFormat="1" ht="25.2" customHeight="1">
      <c r="A32" s="317" t="s">
        <v>100</v>
      </c>
      <c r="B32" s="36" t="s">
        <v>70</v>
      </c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82"/>
      <c r="O32" s="11"/>
      <c r="P32" s="144"/>
    </row>
    <row r="33" spans="1:16" s="2" customFormat="1" ht="25.2" customHeight="1">
      <c r="A33" s="317" t="s">
        <v>100</v>
      </c>
      <c r="B33" s="36" t="s">
        <v>70</v>
      </c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82"/>
      <c r="O33" s="11"/>
      <c r="P33" s="144"/>
    </row>
    <row r="34" spans="1:16">
      <c r="A34" s="317" t="s">
        <v>100</v>
      </c>
      <c r="B34" s="36" t="s">
        <v>70</v>
      </c>
      <c r="K34" s="163"/>
      <c r="P34" s="149"/>
    </row>
    <row r="35" spans="1:16">
      <c r="A35" s="317" t="s">
        <v>100</v>
      </c>
      <c r="B35" s="36" t="s">
        <v>70</v>
      </c>
      <c r="K35" s="163"/>
      <c r="P35" s="149"/>
    </row>
    <row r="36" spans="1:16">
      <c r="A36" s="317" t="s">
        <v>100</v>
      </c>
      <c r="B36" s="36" t="s">
        <v>70</v>
      </c>
      <c r="K36" s="163"/>
      <c r="P36" s="149"/>
    </row>
    <row r="37" spans="1:16">
      <c r="A37" s="317" t="s">
        <v>100</v>
      </c>
      <c r="B37" s="36" t="s">
        <v>70</v>
      </c>
      <c r="K37" s="163"/>
      <c r="P37" s="149"/>
    </row>
    <row r="38" spans="1:16">
      <c r="A38" s="317" t="s">
        <v>100</v>
      </c>
      <c r="B38" s="36" t="s">
        <v>70</v>
      </c>
      <c r="K38" s="163"/>
      <c r="P38" s="149"/>
    </row>
    <row r="39" spans="1:16">
      <c r="A39" s="317" t="s">
        <v>100</v>
      </c>
      <c r="B39" s="36" t="s">
        <v>70</v>
      </c>
      <c r="K39" s="33"/>
      <c r="P39" s="149"/>
    </row>
    <row r="40" spans="1:16">
      <c r="A40" s="317" t="s">
        <v>100</v>
      </c>
      <c r="B40" s="36" t="s">
        <v>70</v>
      </c>
      <c r="P40" s="149"/>
    </row>
    <row r="41" spans="1:16">
      <c r="A41" s="317" t="s">
        <v>100</v>
      </c>
      <c r="B41" s="36" t="s">
        <v>70</v>
      </c>
      <c r="P41" s="149"/>
    </row>
    <row r="42" spans="1:16">
      <c r="A42" s="317" t="s">
        <v>100</v>
      </c>
      <c r="B42" s="36" t="s">
        <v>70</v>
      </c>
      <c r="P42" s="149"/>
    </row>
    <row r="43" spans="1:16">
      <c r="A43" s="317" t="s">
        <v>100</v>
      </c>
      <c r="B43" s="36" t="s">
        <v>70</v>
      </c>
      <c r="P43" s="149"/>
    </row>
    <row r="44" spans="1:16">
      <c r="A44" s="317" t="s">
        <v>100</v>
      </c>
      <c r="B44" s="36" t="s">
        <v>70</v>
      </c>
      <c r="P44" s="149"/>
    </row>
    <row r="45" spans="1:16">
      <c r="A45" s="317" t="s">
        <v>100</v>
      </c>
      <c r="B45" s="36" t="s">
        <v>70</v>
      </c>
      <c r="P45" s="149"/>
    </row>
    <row r="46" spans="1:16">
      <c r="A46" s="317" t="s">
        <v>100</v>
      </c>
      <c r="B46" s="36" t="s">
        <v>70</v>
      </c>
      <c r="P46" s="149"/>
    </row>
    <row r="47" spans="1:16">
      <c r="A47" s="317" t="s">
        <v>100</v>
      </c>
      <c r="B47" s="36" t="s">
        <v>70</v>
      </c>
      <c r="P47" s="149"/>
    </row>
    <row r="48" spans="1:16">
      <c r="A48" s="317" t="s">
        <v>100</v>
      </c>
      <c r="B48" s="36" t="s">
        <v>70</v>
      </c>
      <c r="P48" s="149"/>
    </row>
    <row r="49" spans="1:16">
      <c r="A49" s="317" t="s">
        <v>100</v>
      </c>
      <c r="B49" s="36" t="s">
        <v>70</v>
      </c>
      <c r="P49" s="149"/>
    </row>
    <row r="50" spans="1:16">
      <c r="A50" s="317" t="s">
        <v>100</v>
      </c>
      <c r="B50" s="36" t="s">
        <v>70</v>
      </c>
      <c r="P50" s="149"/>
    </row>
    <row r="51" spans="1:16">
      <c r="A51" s="317" t="s">
        <v>100</v>
      </c>
      <c r="B51" s="36" t="s">
        <v>70</v>
      </c>
      <c r="P51" s="149"/>
    </row>
    <row r="52" spans="1:16">
      <c r="A52" s="317" t="s">
        <v>100</v>
      </c>
      <c r="B52" s="36" t="s">
        <v>70</v>
      </c>
      <c r="P52" s="149"/>
    </row>
    <row r="53" spans="1:16">
      <c r="A53" s="317" t="s">
        <v>100</v>
      </c>
      <c r="B53" s="36" t="s">
        <v>70</v>
      </c>
      <c r="P53" s="149"/>
    </row>
    <row r="54" spans="1:16">
      <c r="A54" s="317" t="s">
        <v>100</v>
      </c>
      <c r="B54" s="36" t="s">
        <v>70</v>
      </c>
      <c r="P54" s="149"/>
    </row>
    <row r="55" spans="1:16">
      <c r="A55" s="317" t="s">
        <v>100</v>
      </c>
      <c r="B55" s="36" t="s">
        <v>70</v>
      </c>
      <c r="P55" s="149"/>
    </row>
    <row r="56" spans="1:16">
      <c r="A56" s="317" t="s">
        <v>100</v>
      </c>
      <c r="B56" s="36" t="s">
        <v>70</v>
      </c>
      <c r="P56" s="149"/>
    </row>
    <row r="57" spans="1:16">
      <c r="A57" s="317" t="s">
        <v>100</v>
      </c>
      <c r="B57" s="36" t="s">
        <v>70</v>
      </c>
      <c r="P57" s="149"/>
    </row>
  </sheetData>
  <dataConsolidate link="1"/>
  <hyperlinks>
    <hyperlink ref="N3" r:id="rId1" xr:uid="{DB4592BA-E987-47AC-A0AF-A20DB583E5A5}"/>
    <hyperlink ref="N4" r:id="rId2" xr:uid="{CCDDB6FE-48C5-4B61-9037-86BEB6FD771B}"/>
    <hyperlink ref="N5" r:id="rId3" xr:uid="{31DCCDD5-A95D-435D-B01F-3273DA89B584}"/>
    <hyperlink ref="N6" r:id="rId4" xr:uid="{591C86C0-99F2-41D8-A3E5-4976FB2DEDE9}"/>
    <hyperlink ref="N7" r:id="rId5" xr:uid="{3F6789D8-F0C9-425E-932B-81D02C60606F}"/>
    <hyperlink ref="N8" r:id="rId6" xr:uid="{17B58C37-FFCA-441F-B443-BEFC00F09F12}"/>
    <hyperlink ref="N9" r:id="rId7" xr:uid="{CB6C246B-1C7E-42BE-B484-DF87FF1D2085}"/>
    <hyperlink ref="N10" r:id="rId8" xr:uid="{CE1011FC-9752-4659-8A49-35ED85FC0239}"/>
    <hyperlink ref="N11" r:id="rId9" xr:uid="{59214F8E-7B8E-4BF7-8BBA-8EE085AB65DA}"/>
    <hyperlink ref="N12" r:id="rId10" xr:uid="{3871D320-763D-4731-B070-6C692BEB3769}"/>
    <hyperlink ref="N13" r:id="rId11" xr:uid="{8B70C01C-CD98-45F2-A559-30993E9C1E5D}"/>
    <hyperlink ref="N14" r:id="rId12" xr:uid="{39A0AB56-99A5-47BB-B294-F5C6223C7174}"/>
    <hyperlink ref="N15" r:id="rId13" xr:uid="{115550B5-82B2-4BE4-83B7-122BE884586B}"/>
    <hyperlink ref="N16" r:id="rId14" xr:uid="{2B348736-7F9C-4B00-A6E0-97CA2659C25C}"/>
    <hyperlink ref="N17" r:id="rId15" xr:uid="{986B1AD5-EB52-45F4-A3CE-ABC2E653F34F}"/>
    <hyperlink ref="N18" r:id="rId16" xr:uid="{59F56BE5-29A2-4DE9-BC1E-1E18B146CA49}"/>
    <hyperlink ref="N19" r:id="rId17" xr:uid="{2C99A120-7586-4C7B-A0BC-27D750E2584B}"/>
    <hyperlink ref="N20" r:id="rId18" xr:uid="{4625FEBC-BFAE-4972-8BF5-3CE3812ADEC8}"/>
    <hyperlink ref="N21" r:id="rId19" xr:uid="{AF24E4F5-99D0-4ACE-BC17-9C50B9230F2E}"/>
    <hyperlink ref="N22" r:id="rId20" xr:uid="{3AF34BD2-CE2F-4D81-8756-C9FB31ACBA6A}"/>
    <hyperlink ref="N23" r:id="rId21" xr:uid="{56DBDA52-53C6-4D08-83DB-0C7EB8454D70}"/>
    <hyperlink ref="N24" r:id="rId22" xr:uid="{CCAA2025-E292-4EDA-A719-85125B4FC575}"/>
    <hyperlink ref="N25" r:id="rId23" xr:uid="{089C1B56-B187-403E-BC2A-7945B019541C}"/>
    <hyperlink ref="N26" r:id="rId24" xr:uid="{10302B7C-2AD8-4710-80F4-AF58FF214BCA}"/>
  </hyperlinks>
  <pageMargins left="0.7" right="0.7" top="0.78740157499999996" bottom="0.78740157499999996" header="0.3" footer="0.3"/>
  <pageSetup paperSize="9" orientation="portrait" r:id="rId2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C2-47E3-49F7-9848-4EFE723BA085}">
  <sheetPr codeName="Tabelle3"/>
  <dimension ref="A1:R75"/>
  <sheetViews>
    <sheetView workbookViewId="0">
      <pane ySplit="1" topLeftCell="A31" activePane="bottomLeft" state="frozen"/>
      <selection activeCell="K2" sqref="K2"/>
      <selection pane="bottomLeft" activeCell="M1" sqref="M1"/>
    </sheetView>
  </sheetViews>
  <sheetFormatPr baseColWidth="10" defaultColWidth="11.5546875" defaultRowHeight="15.6"/>
  <cols>
    <col min="1" max="1" width="8.33203125" style="320" customWidth="1"/>
    <col min="2" max="10" width="3.6640625" style="33" bestFit="1" customWidth="1"/>
    <col min="11" max="11" width="6.6640625" bestFit="1" customWidth="1"/>
    <col min="12" max="12" width="37.33203125" style="79" bestFit="1" customWidth="1"/>
    <col min="13" max="13" width="24.44140625" style="79" customWidth="1"/>
    <col min="14" max="14" width="34.109375" style="128" customWidth="1"/>
    <col min="15" max="15" width="27.6640625" style="18" customWidth="1"/>
    <col min="16" max="16" width="6.33203125" style="17" customWidth="1"/>
    <col min="17" max="16384" width="11.5546875" style="17"/>
  </cols>
  <sheetData>
    <row r="1" spans="1:16" s="2" customFormat="1" ht="55.2" customHeight="1">
      <c r="A1" s="315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126" t="s">
        <v>14</v>
      </c>
      <c r="O1" s="25" t="s">
        <v>95</v>
      </c>
    </row>
    <row r="2" spans="1:16" s="2" customFormat="1" ht="25.2" customHeight="1">
      <c r="A2" s="316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127"/>
      <c r="O2" s="16"/>
    </row>
    <row r="3" spans="1:16" s="2" customFormat="1" ht="25.2" customHeight="1">
      <c r="A3" s="317" t="s">
        <v>99</v>
      </c>
      <c r="B3" s="36" t="s">
        <v>70</v>
      </c>
      <c r="C3" s="232" t="s">
        <v>70</v>
      </c>
      <c r="D3" s="233" t="s">
        <v>70</v>
      </c>
      <c r="E3" s="37"/>
      <c r="F3" s="37"/>
      <c r="G3" s="37"/>
      <c r="H3" s="37"/>
      <c r="I3" s="37"/>
      <c r="J3" s="37"/>
      <c r="L3" s="1" t="s">
        <v>0</v>
      </c>
      <c r="M3" s="84" t="s">
        <v>29</v>
      </c>
      <c r="N3" s="119" t="s">
        <v>102</v>
      </c>
      <c r="O3" s="16"/>
      <c r="P3" s="145" t="s">
        <v>298</v>
      </c>
    </row>
    <row r="4" spans="1:16" s="2" customFormat="1" ht="25.2" customHeight="1">
      <c r="A4" s="317" t="s">
        <v>99</v>
      </c>
      <c r="B4" s="36" t="s">
        <v>70</v>
      </c>
      <c r="C4" s="36" t="s">
        <v>70</v>
      </c>
      <c r="D4" s="37" t="s">
        <v>70</v>
      </c>
      <c r="E4" s="37"/>
      <c r="F4" s="37"/>
      <c r="G4" s="37"/>
      <c r="H4" s="37"/>
      <c r="I4" s="37"/>
      <c r="J4" s="37"/>
      <c r="L4" s="1" t="s">
        <v>22</v>
      </c>
      <c r="M4" s="84" t="s">
        <v>9</v>
      </c>
      <c r="N4" s="119" t="s">
        <v>150</v>
      </c>
      <c r="O4" s="16"/>
      <c r="P4" s="145" t="s">
        <v>298</v>
      </c>
    </row>
    <row r="5" spans="1:16" s="2" customFormat="1" ht="25.2" customHeight="1">
      <c r="A5" s="317" t="s">
        <v>99</v>
      </c>
      <c r="B5" s="36" t="s">
        <v>70</v>
      </c>
      <c r="C5" s="36" t="s">
        <v>70</v>
      </c>
      <c r="D5" s="37" t="s">
        <v>70</v>
      </c>
      <c r="E5" s="37"/>
      <c r="F5" s="37"/>
      <c r="G5" s="37"/>
      <c r="H5" s="37"/>
      <c r="I5" s="37"/>
      <c r="J5" s="37"/>
      <c r="L5" s="1" t="s">
        <v>8</v>
      </c>
      <c r="M5" s="84"/>
      <c r="N5" s="119" t="s">
        <v>102</v>
      </c>
      <c r="O5" s="16"/>
      <c r="P5" s="145" t="s">
        <v>298</v>
      </c>
    </row>
    <row r="6" spans="1:16" s="2" customFormat="1" ht="25.2" customHeight="1">
      <c r="A6" s="317" t="s">
        <v>99</v>
      </c>
      <c r="B6" s="36" t="s">
        <v>70</v>
      </c>
      <c r="C6" s="36" t="s">
        <v>70</v>
      </c>
      <c r="D6" s="37" t="s">
        <v>70</v>
      </c>
      <c r="E6" s="37"/>
      <c r="F6" s="37"/>
      <c r="G6" s="37"/>
      <c r="H6" s="37"/>
      <c r="I6" s="37"/>
      <c r="J6" s="37"/>
      <c r="L6" s="411" t="s">
        <v>890</v>
      </c>
      <c r="M6" s="84"/>
      <c r="N6" s="119" t="s">
        <v>892</v>
      </c>
      <c r="O6" s="16"/>
      <c r="P6" s="145" t="s">
        <v>298</v>
      </c>
    </row>
    <row r="7" spans="1:16" s="2" customFormat="1" ht="25.2" customHeight="1">
      <c r="A7" s="317" t="s">
        <v>98</v>
      </c>
      <c r="B7" s="36" t="s">
        <v>70</v>
      </c>
      <c r="C7" s="36" t="s">
        <v>70</v>
      </c>
      <c r="D7" s="37" t="s">
        <v>70</v>
      </c>
      <c r="E7" s="37"/>
      <c r="F7" s="37"/>
      <c r="G7" s="37"/>
      <c r="H7" s="37"/>
      <c r="I7" s="37"/>
      <c r="J7" s="37"/>
      <c r="L7" s="411"/>
      <c r="N7" s="119" t="s">
        <v>891</v>
      </c>
      <c r="O7" s="1" t="s">
        <v>893</v>
      </c>
      <c r="P7" s="145" t="s">
        <v>298</v>
      </c>
    </row>
    <row r="8" spans="1:16" s="2" customFormat="1" ht="25.2" customHeight="1">
      <c r="A8" s="317" t="s">
        <v>98</v>
      </c>
      <c r="B8" s="412" t="s">
        <v>70</v>
      </c>
      <c r="C8" s="412" t="s">
        <v>70</v>
      </c>
      <c r="D8" s="413" t="s">
        <v>70</v>
      </c>
      <c r="E8" s="37"/>
      <c r="F8" s="37"/>
      <c r="G8" s="37"/>
      <c r="H8" s="37"/>
      <c r="I8" s="37"/>
      <c r="J8" s="37"/>
      <c r="L8" s="411"/>
      <c r="N8" s="119" t="s">
        <v>894</v>
      </c>
      <c r="O8" s="1" t="s">
        <v>895</v>
      </c>
      <c r="P8" s="145" t="s">
        <v>298</v>
      </c>
    </row>
    <row r="9" spans="1:16" s="2" customFormat="1" ht="25.2" customHeight="1">
      <c r="A9" s="317" t="s">
        <v>99</v>
      </c>
      <c r="B9" s="36" t="s">
        <v>70</v>
      </c>
      <c r="C9" s="36" t="s">
        <v>70</v>
      </c>
      <c r="D9" s="37" t="s">
        <v>70</v>
      </c>
      <c r="E9" s="37"/>
      <c r="F9" s="37"/>
      <c r="G9" s="37"/>
      <c r="H9" s="37"/>
      <c r="I9" s="37"/>
      <c r="J9" s="37"/>
      <c r="L9" s="1" t="s">
        <v>7</v>
      </c>
      <c r="M9" s="84"/>
      <c r="N9" s="119" t="s">
        <v>151</v>
      </c>
      <c r="O9" s="16"/>
      <c r="P9" s="145" t="s">
        <v>298</v>
      </c>
    </row>
    <row r="10" spans="1:16" s="2" customFormat="1" ht="25.2" customHeight="1">
      <c r="A10" s="317" t="s">
        <v>99</v>
      </c>
      <c r="B10" s="36" t="s">
        <v>70</v>
      </c>
      <c r="C10" s="31"/>
      <c r="D10" s="32" t="s">
        <v>70</v>
      </c>
      <c r="E10" s="32"/>
      <c r="F10" s="32"/>
      <c r="G10" s="32"/>
      <c r="H10" s="32"/>
      <c r="I10" s="32"/>
      <c r="J10" s="32"/>
      <c r="L10" s="221" t="s">
        <v>628</v>
      </c>
      <c r="M10" s="222"/>
      <c r="N10" s="119" t="s">
        <v>152</v>
      </c>
      <c r="O10" s="16"/>
      <c r="P10" s="145" t="s">
        <v>298</v>
      </c>
    </row>
    <row r="11" spans="1:16" s="2" customFormat="1" ht="25.2" customHeight="1">
      <c r="A11" s="317" t="s">
        <v>99</v>
      </c>
      <c r="B11" s="36" t="s">
        <v>70</v>
      </c>
      <c r="C11" s="36" t="s">
        <v>70</v>
      </c>
      <c r="D11" s="37" t="s">
        <v>70</v>
      </c>
      <c r="E11" s="37"/>
      <c r="F11" s="37"/>
      <c r="G11" s="37"/>
      <c r="H11" s="37"/>
      <c r="I11" s="37"/>
      <c r="J11" s="37"/>
      <c r="L11" s="1" t="s">
        <v>6</v>
      </c>
      <c r="M11" s="84"/>
      <c r="N11" s="119" t="s">
        <v>262</v>
      </c>
      <c r="O11" s="16"/>
      <c r="P11" s="145" t="s">
        <v>298</v>
      </c>
    </row>
    <row r="12" spans="1:16" s="2" customFormat="1" ht="25.2" customHeight="1">
      <c r="A12" s="321" t="s">
        <v>99</v>
      </c>
      <c r="B12" s="36" t="s">
        <v>70</v>
      </c>
      <c r="C12" s="36"/>
      <c r="D12" s="37" t="s">
        <v>70</v>
      </c>
      <c r="E12" s="37"/>
      <c r="F12" s="37"/>
      <c r="G12" s="37"/>
      <c r="H12" s="37"/>
      <c r="I12" s="37"/>
      <c r="J12" s="37"/>
      <c r="L12" s="221" t="s">
        <v>618</v>
      </c>
      <c r="M12" s="222" t="s">
        <v>619</v>
      </c>
      <c r="N12" s="119" t="s">
        <v>153</v>
      </c>
      <c r="O12" s="16"/>
      <c r="P12" s="145" t="s">
        <v>298</v>
      </c>
    </row>
    <row r="13" spans="1:16" s="2" customFormat="1" ht="25.2" customHeight="1">
      <c r="A13" s="317" t="s">
        <v>98</v>
      </c>
      <c r="B13" s="36" t="s">
        <v>70</v>
      </c>
      <c r="C13" s="36"/>
      <c r="D13" s="37"/>
      <c r="E13" s="37"/>
      <c r="F13" s="37"/>
      <c r="G13" s="37"/>
      <c r="H13" s="37"/>
      <c r="I13" s="37"/>
      <c r="J13" s="37"/>
      <c r="M13" s="226" t="s">
        <v>627</v>
      </c>
      <c r="N13" s="119"/>
      <c r="O13" s="1" t="s">
        <v>105</v>
      </c>
      <c r="P13" s="285" t="s">
        <v>719</v>
      </c>
    </row>
    <row r="14" spans="1:16" s="2" customFormat="1" ht="25.2" customHeight="1">
      <c r="A14" s="317" t="s">
        <v>99</v>
      </c>
      <c r="B14" s="243" t="s">
        <v>70</v>
      </c>
      <c r="C14" s="36"/>
      <c r="D14" s="244" t="s">
        <v>70</v>
      </c>
      <c r="E14" s="37"/>
      <c r="F14" s="37"/>
      <c r="G14" s="37"/>
      <c r="H14" s="37"/>
      <c r="I14" s="37"/>
      <c r="J14" s="37"/>
      <c r="L14" s="221" t="s">
        <v>661</v>
      </c>
      <c r="M14" s="245" t="s">
        <v>16</v>
      </c>
      <c r="N14" s="119" t="s">
        <v>662</v>
      </c>
      <c r="O14" s="251" t="s">
        <v>663</v>
      </c>
      <c r="P14" s="145" t="s">
        <v>298</v>
      </c>
    </row>
    <row r="15" spans="1:16" s="2" customFormat="1" ht="25.2" customHeight="1">
      <c r="A15" s="317" t="s">
        <v>98</v>
      </c>
      <c r="B15" s="243" t="s">
        <v>70</v>
      </c>
      <c r="C15" s="36"/>
      <c r="D15" s="244" t="s">
        <v>70</v>
      </c>
      <c r="E15" s="37"/>
      <c r="F15" s="37"/>
      <c r="G15" s="37"/>
      <c r="H15" s="37"/>
      <c r="I15" s="37"/>
      <c r="J15" s="37"/>
      <c r="L15" s="221"/>
      <c r="M15" s="245"/>
      <c r="N15" s="119" t="s">
        <v>665</v>
      </c>
      <c r="O15" s="251" t="s">
        <v>666</v>
      </c>
      <c r="P15" s="145" t="s">
        <v>298</v>
      </c>
    </row>
    <row r="16" spans="1:16" s="2" customFormat="1" ht="25.2" customHeight="1">
      <c r="A16" s="317" t="s">
        <v>98</v>
      </c>
      <c r="B16" s="243" t="s">
        <v>70</v>
      </c>
      <c r="C16" s="36"/>
      <c r="D16" s="244" t="s">
        <v>70</v>
      </c>
      <c r="E16" s="37"/>
      <c r="F16" s="37"/>
      <c r="G16" s="37"/>
      <c r="H16" s="37"/>
      <c r="I16" s="37"/>
      <c r="J16" s="37"/>
      <c r="L16" s="221"/>
      <c r="M16" s="245"/>
      <c r="N16" s="119" t="s">
        <v>664</v>
      </c>
      <c r="O16" s="251"/>
      <c r="P16" s="145" t="s">
        <v>298</v>
      </c>
    </row>
    <row r="17" spans="1:16" s="2" customFormat="1" ht="25.2" customHeight="1">
      <c r="A17" s="317" t="s">
        <v>99</v>
      </c>
      <c r="B17" s="36" t="s">
        <v>70</v>
      </c>
      <c r="C17" s="36"/>
      <c r="D17" s="37"/>
      <c r="E17" s="37"/>
      <c r="F17" s="37"/>
      <c r="G17" s="37"/>
      <c r="H17" s="37"/>
      <c r="I17" s="37"/>
      <c r="J17" s="37"/>
      <c r="L17" s="1" t="s">
        <v>15</v>
      </c>
      <c r="M17" s="224" t="s">
        <v>23</v>
      </c>
      <c r="N17" s="119" t="s">
        <v>154</v>
      </c>
      <c r="O17" s="16"/>
      <c r="P17" s="145" t="s">
        <v>298</v>
      </c>
    </row>
    <row r="18" spans="1:16" s="2" customFormat="1" ht="25.2" customHeight="1">
      <c r="A18" s="317" t="s">
        <v>99</v>
      </c>
      <c r="B18" s="36" t="s">
        <v>70</v>
      </c>
      <c r="C18" s="287" t="s">
        <v>70</v>
      </c>
      <c r="D18" s="37" t="s">
        <v>70</v>
      </c>
      <c r="E18" s="37"/>
      <c r="F18" s="37"/>
      <c r="G18" s="37"/>
      <c r="H18" s="37"/>
      <c r="I18" s="37"/>
      <c r="J18" s="37"/>
      <c r="L18" s="1" t="s">
        <v>37</v>
      </c>
      <c r="M18" s="451" t="s">
        <v>981</v>
      </c>
      <c r="N18" s="119" t="s">
        <v>155</v>
      </c>
      <c r="O18" s="1" t="s">
        <v>625</v>
      </c>
      <c r="P18" s="145" t="s">
        <v>298</v>
      </c>
    </row>
    <row r="19" spans="1:16" s="2" customFormat="1" ht="25.2" customHeight="1">
      <c r="A19" s="317" t="s">
        <v>98</v>
      </c>
      <c r="B19" s="2" t="s">
        <v>70</v>
      </c>
      <c r="C19" s="31"/>
      <c r="D19" s="288" t="s">
        <v>70</v>
      </c>
      <c r="E19" s="32"/>
      <c r="F19" s="32"/>
      <c r="G19" s="32"/>
      <c r="H19" s="32"/>
      <c r="I19" s="32"/>
      <c r="J19" s="32"/>
      <c r="L19" s="1"/>
      <c r="M19" s="84"/>
      <c r="N19" s="119" t="s">
        <v>624</v>
      </c>
      <c r="O19" s="266" t="s">
        <v>626</v>
      </c>
      <c r="P19" s="145" t="s">
        <v>298</v>
      </c>
    </row>
    <row r="20" spans="1:16" s="2" customFormat="1" ht="25.2" customHeight="1">
      <c r="A20" s="317" t="s">
        <v>99</v>
      </c>
      <c r="B20" s="448" t="s">
        <v>70</v>
      </c>
      <c r="C20" s="31"/>
      <c r="D20" s="449" t="s">
        <v>70</v>
      </c>
      <c r="E20" s="32"/>
      <c r="F20" s="32"/>
      <c r="G20" s="32"/>
      <c r="H20" s="32"/>
      <c r="I20" s="32"/>
      <c r="J20" s="32"/>
      <c r="L20" s="450" t="s">
        <v>980</v>
      </c>
      <c r="M20" s="84"/>
      <c r="N20" s="119" t="s">
        <v>979</v>
      </c>
      <c r="O20" s="266"/>
      <c r="P20" s="145"/>
    </row>
    <row r="21" spans="1:16" s="2" customFormat="1" ht="25.2" customHeight="1">
      <c r="A21" s="317" t="s">
        <v>99</v>
      </c>
      <c r="B21" s="223" t="s">
        <v>70</v>
      </c>
      <c r="C21" s="31"/>
      <c r="D21" s="288" t="s">
        <v>70</v>
      </c>
      <c r="E21" s="32"/>
      <c r="F21" s="32"/>
      <c r="G21" s="32"/>
      <c r="H21" s="32"/>
      <c r="I21" s="32"/>
      <c r="J21" s="32"/>
      <c r="L21" s="221" t="s">
        <v>620</v>
      </c>
      <c r="M21" s="84"/>
      <c r="N21" s="119" t="s">
        <v>156</v>
      </c>
      <c r="O21" s="1" t="s">
        <v>622</v>
      </c>
      <c r="P21" s="145" t="s">
        <v>298</v>
      </c>
    </row>
    <row r="22" spans="1:16" s="2" customFormat="1" ht="25.2" customHeight="1">
      <c r="A22" s="317" t="s">
        <v>98</v>
      </c>
      <c r="B22" s="223" t="s">
        <v>70</v>
      </c>
      <c r="C22" s="31"/>
      <c r="D22" s="225" t="s">
        <v>70</v>
      </c>
      <c r="E22" s="32"/>
      <c r="F22" s="32"/>
      <c r="G22" s="32"/>
      <c r="H22" s="32"/>
      <c r="I22" s="32"/>
      <c r="J22" s="32"/>
      <c r="L22" s="221"/>
      <c r="M22" s="84"/>
      <c r="N22" s="119" t="s">
        <v>621</v>
      </c>
      <c r="O22" s="1" t="s">
        <v>623</v>
      </c>
      <c r="P22" s="145" t="s">
        <v>298</v>
      </c>
    </row>
    <row r="23" spans="1:16" s="2" customFormat="1" ht="78">
      <c r="A23" s="318" t="s">
        <v>97</v>
      </c>
      <c r="B23" s="36" t="s">
        <v>70</v>
      </c>
      <c r="C23" s="287" t="s">
        <v>70</v>
      </c>
      <c r="D23" s="37" t="s">
        <v>70</v>
      </c>
      <c r="E23" s="37"/>
      <c r="F23" s="37"/>
      <c r="G23" s="37"/>
      <c r="H23" s="37"/>
      <c r="I23" s="37"/>
      <c r="J23" s="37"/>
      <c r="L23" s="84" t="s">
        <v>47</v>
      </c>
      <c r="M23" s="84" t="s">
        <v>48</v>
      </c>
      <c r="N23" s="125"/>
      <c r="O23" s="18"/>
      <c r="P23" s="144"/>
    </row>
    <row r="24" spans="1:16" s="2" customFormat="1" ht="25.2" customHeight="1">
      <c r="A24" s="317" t="s">
        <v>99</v>
      </c>
      <c r="B24" s="37" t="s">
        <v>70</v>
      </c>
      <c r="C24" s="36"/>
      <c r="D24" s="37"/>
      <c r="E24" s="37"/>
      <c r="F24" s="37"/>
      <c r="G24" s="37" t="s">
        <v>70</v>
      </c>
      <c r="H24" s="37"/>
      <c r="I24" s="37"/>
      <c r="J24" s="37"/>
      <c r="L24" s="1" t="s">
        <v>184</v>
      </c>
      <c r="M24" s="11" t="s">
        <v>143</v>
      </c>
      <c r="N24" s="119" t="s">
        <v>271</v>
      </c>
      <c r="O24" s="1"/>
      <c r="P24" s="145" t="s">
        <v>298</v>
      </c>
    </row>
    <row r="25" spans="1:16" s="2" customFormat="1" ht="25.2" customHeight="1">
      <c r="A25" s="317" t="s">
        <v>99</v>
      </c>
      <c r="B25" s="37" t="s">
        <v>70</v>
      </c>
      <c r="C25" s="36"/>
      <c r="D25" s="37"/>
      <c r="E25" s="37"/>
      <c r="F25" s="37"/>
      <c r="G25" s="37" t="s">
        <v>70</v>
      </c>
      <c r="H25" s="37"/>
      <c r="I25" s="37"/>
      <c r="J25" s="37"/>
      <c r="L25" s="332" t="s">
        <v>739</v>
      </c>
      <c r="M25" s="11" t="s">
        <v>143</v>
      </c>
      <c r="N25" s="119" t="s">
        <v>272</v>
      </c>
      <c r="O25" s="1" t="s">
        <v>185</v>
      </c>
      <c r="P25" s="165" t="s">
        <v>754</v>
      </c>
    </row>
    <row r="26" spans="1:16" s="2" customFormat="1" ht="25.2" customHeight="1">
      <c r="A26" s="317" t="s">
        <v>98</v>
      </c>
      <c r="B26" s="37" t="s">
        <v>70</v>
      </c>
      <c r="C26" s="36"/>
      <c r="D26" s="37"/>
      <c r="E26" s="37"/>
      <c r="F26" s="37"/>
      <c r="G26" s="37" t="s">
        <v>70</v>
      </c>
      <c r="H26" s="37"/>
      <c r="I26" s="37"/>
      <c r="J26" s="37"/>
      <c r="L26" s="1"/>
      <c r="M26" s="11"/>
      <c r="N26" s="119" t="s">
        <v>273</v>
      </c>
      <c r="O26" s="1" t="s">
        <v>186</v>
      </c>
      <c r="P26" s="145" t="s">
        <v>298</v>
      </c>
    </row>
    <row r="27" spans="1:16" s="2" customFormat="1" ht="25.2" customHeight="1">
      <c r="A27" s="317" t="s">
        <v>98</v>
      </c>
      <c r="B27" s="37" t="s">
        <v>70</v>
      </c>
      <c r="C27" s="36"/>
      <c r="D27" s="37"/>
      <c r="E27" s="37"/>
      <c r="F27" s="37"/>
      <c r="G27" s="37" t="s">
        <v>70</v>
      </c>
      <c r="H27" s="37"/>
      <c r="I27" s="37"/>
      <c r="J27" s="37"/>
      <c r="L27" s="1"/>
      <c r="M27" s="11"/>
      <c r="N27" s="119" t="s">
        <v>274</v>
      </c>
      <c r="O27" s="1" t="s">
        <v>187</v>
      </c>
      <c r="P27" s="145" t="s">
        <v>298</v>
      </c>
    </row>
    <row r="28" spans="1:16" s="2" customFormat="1" ht="25.2" customHeight="1">
      <c r="A28" s="317" t="s">
        <v>99</v>
      </c>
      <c r="B28" s="37" t="s">
        <v>70</v>
      </c>
      <c r="C28" s="36"/>
      <c r="D28" s="37"/>
      <c r="E28" s="37"/>
      <c r="F28" s="37"/>
      <c r="G28" s="37" t="s">
        <v>70</v>
      </c>
      <c r="H28" s="37"/>
      <c r="I28" s="37"/>
      <c r="J28" s="37"/>
      <c r="L28" s="1" t="s">
        <v>188</v>
      </c>
      <c r="M28" s="11" t="s">
        <v>143</v>
      </c>
      <c r="N28" s="119" t="s">
        <v>275</v>
      </c>
      <c r="O28" s="1"/>
      <c r="P28" s="145" t="s">
        <v>298</v>
      </c>
    </row>
    <row r="29" spans="1:16" s="2" customFormat="1" ht="25.2" customHeight="1">
      <c r="A29" s="317" t="s">
        <v>99</v>
      </c>
      <c r="B29" s="37" t="s">
        <v>70</v>
      </c>
      <c r="C29" s="36"/>
      <c r="D29" s="37"/>
      <c r="E29" s="37"/>
      <c r="F29" s="37"/>
      <c r="G29" s="37" t="s">
        <v>70</v>
      </c>
      <c r="H29" s="37"/>
      <c r="I29" s="37"/>
      <c r="J29" s="37"/>
      <c r="L29" s="1" t="s">
        <v>189</v>
      </c>
      <c r="M29" s="11" t="s">
        <v>143</v>
      </c>
      <c r="N29" s="119" t="s">
        <v>276</v>
      </c>
      <c r="O29" s="1"/>
      <c r="P29" s="165" t="s">
        <v>754</v>
      </c>
    </row>
    <row r="30" spans="1:16" s="2" customFormat="1" ht="25.2" customHeight="1">
      <c r="A30" s="317" t="s">
        <v>99</v>
      </c>
      <c r="B30" s="37" t="s">
        <v>70</v>
      </c>
      <c r="C30" s="36"/>
      <c r="D30" s="37"/>
      <c r="E30" s="37"/>
      <c r="F30" s="37"/>
      <c r="G30" s="37" t="s">
        <v>70</v>
      </c>
      <c r="H30" s="37"/>
      <c r="I30" s="37"/>
      <c r="J30" s="37"/>
      <c r="L30" s="1" t="s">
        <v>190</v>
      </c>
      <c r="M30" s="11" t="s">
        <v>143</v>
      </c>
      <c r="N30" s="119" t="s">
        <v>277</v>
      </c>
      <c r="O30" s="1"/>
      <c r="P30" s="145" t="s">
        <v>298</v>
      </c>
    </row>
    <row r="31" spans="1:16" s="2" customFormat="1" ht="25.2" customHeight="1">
      <c r="A31" s="317" t="s">
        <v>99</v>
      </c>
      <c r="B31" s="37" t="s">
        <v>70</v>
      </c>
      <c r="C31" s="36"/>
      <c r="D31" s="37"/>
      <c r="E31" s="37"/>
      <c r="F31" s="37"/>
      <c r="G31" s="37" t="s">
        <v>70</v>
      </c>
      <c r="H31" s="37"/>
      <c r="I31" s="37"/>
      <c r="J31" s="37"/>
      <c r="L31" s="1" t="s">
        <v>183</v>
      </c>
      <c r="M31" s="11" t="s">
        <v>143</v>
      </c>
      <c r="N31" s="119" t="s">
        <v>278</v>
      </c>
      <c r="O31" s="1"/>
      <c r="P31" s="145" t="s">
        <v>298</v>
      </c>
    </row>
    <row r="32" spans="1:16" s="2" customFormat="1" ht="25.2" customHeight="1">
      <c r="A32" s="317" t="s">
        <v>99</v>
      </c>
      <c r="B32" s="37" t="s">
        <v>70</v>
      </c>
      <c r="C32" s="36"/>
      <c r="D32" s="37"/>
      <c r="E32" s="37"/>
      <c r="F32" s="37"/>
      <c r="G32" s="37"/>
      <c r="H32" s="37" t="s">
        <v>70</v>
      </c>
      <c r="I32" s="37"/>
      <c r="J32" s="37"/>
      <c r="L32" s="1" t="s">
        <v>195</v>
      </c>
      <c r="M32" s="11"/>
      <c r="N32" s="119" t="s">
        <v>279</v>
      </c>
      <c r="O32" s="1"/>
      <c r="P32" s="145" t="s">
        <v>298</v>
      </c>
    </row>
    <row r="33" spans="1:18" s="2" customFormat="1" ht="25.2" customHeight="1">
      <c r="A33" s="317" t="s">
        <v>99</v>
      </c>
      <c r="B33" s="37" t="s">
        <v>70</v>
      </c>
      <c r="C33" s="36"/>
      <c r="D33" s="37"/>
      <c r="E33" s="37"/>
      <c r="F33" s="37"/>
      <c r="G33" s="37"/>
      <c r="H33" s="37" t="s">
        <v>70</v>
      </c>
      <c r="I33" s="37"/>
      <c r="J33" s="37"/>
      <c r="L33" s="1" t="s">
        <v>196</v>
      </c>
      <c r="M33" s="11"/>
      <c r="N33" s="119" t="s">
        <v>280</v>
      </c>
      <c r="P33" s="145" t="s">
        <v>298</v>
      </c>
    </row>
    <row r="34" spans="1:18" s="2" customFormat="1" ht="25.2" customHeight="1">
      <c r="A34" s="317" t="s">
        <v>99</v>
      </c>
      <c r="B34" s="37" t="s">
        <v>70</v>
      </c>
      <c r="C34" s="36"/>
      <c r="D34" s="37"/>
      <c r="E34" s="37"/>
      <c r="F34" s="37"/>
      <c r="G34" s="37"/>
      <c r="H34" s="37" t="s">
        <v>70</v>
      </c>
      <c r="I34" s="37"/>
      <c r="J34" s="37"/>
      <c r="L34" s="96" t="s">
        <v>257</v>
      </c>
      <c r="M34" s="11"/>
      <c r="N34" s="119" t="s">
        <v>284</v>
      </c>
      <c r="P34" s="145" t="s">
        <v>298</v>
      </c>
    </row>
    <row r="35" spans="1:18" s="2" customFormat="1" ht="25.2" customHeight="1">
      <c r="A35" s="317" t="s">
        <v>99</v>
      </c>
      <c r="B35" s="37" t="s">
        <v>70</v>
      </c>
      <c r="C35" s="36"/>
      <c r="D35" s="37"/>
      <c r="E35" s="37"/>
      <c r="F35" s="37"/>
      <c r="G35" s="37"/>
      <c r="H35" s="37"/>
      <c r="I35" s="37" t="s">
        <v>70</v>
      </c>
      <c r="J35" s="37"/>
      <c r="L35" s="96" t="s">
        <v>258</v>
      </c>
      <c r="M35" s="11"/>
      <c r="N35" s="119" t="s">
        <v>286</v>
      </c>
      <c r="P35" s="145" t="s">
        <v>298</v>
      </c>
    </row>
    <row r="36" spans="1:18" s="2" customFormat="1" ht="25.2" customHeight="1">
      <c r="A36" s="317" t="s">
        <v>99</v>
      </c>
      <c r="B36" s="37" t="s">
        <v>70</v>
      </c>
      <c r="C36" s="36"/>
      <c r="D36" s="37"/>
      <c r="E36" s="37"/>
      <c r="F36" s="37"/>
      <c r="G36" s="37"/>
      <c r="H36" s="37"/>
      <c r="I36" s="37" t="s">
        <v>70</v>
      </c>
      <c r="J36" s="37"/>
      <c r="L36" s="96" t="s">
        <v>259</v>
      </c>
      <c r="M36" s="11"/>
      <c r="N36" s="119" t="s">
        <v>285</v>
      </c>
      <c r="P36" s="145" t="s">
        <v>298</v>
      </c>
      <c r="R36" s="82"/>
    </row>
    <row r="37" spans="1:18" s="2" customFormat="1" ht="25.2" customHeight="1">
      <c r="A37" s="317" t="s">
        <v>99</v>
      </c>
      <c r="B37" s="146" t="s">
        <v>70</v>
      </c>
      <c r="C37" s="36"/>
      <c r="D37" s="37"/>
      <c r="E37" s="37"/>
      <c r="F37" s="37"/>
      <c r="G37" s="37"/>
      <c r="H37" s="37"/>
      <c r="I37" s="37"/>
      <c r="K37" s="143" t="s">
        <v>70</v>
      </c>
      <c r="L37" s="332" t="s">
        <v>739</v>
      </c>
      <c r="M37" s="11"/>
      <c r="N37" s="119" t="s">
        <v>512</v>
      </c>
      <c r="O37" s="1"/>
      <c r="P37" s="145" t="s">
        <v>298</v>
      </c>
    </row>
    <row r="38" spans="1:18" s="2" customFormat="1" ht="25.2" customHeight="1">
      <c r="A38" s="317" t="s">
        <v>98</v>
      </c>
      <c r="B38" s="146" t="s">
        <v>70</v>
      </c>
      <c r="C38" s="36"/>
      <c r="D38" s="37"/>
      <c r="E38" s="37"/>
      <c r="F38" s="37"/>
      <c r="G38" s="37"/>
      <c r="H38" s="37"/>
      <c r="I38" s="37"/>
      <c r="K38" s="146" t="s">
        <v>70</v>
      </c>
      <c r="L38" s="167"/>
      <c r="M38" s="1"/>
      <c r="N38" s="119" t="s">
        <v>511</v>
      </c>
      <c r="O38" s="1"/>
      <c r="P38" s="145" t="s">
        <v>298</v>
      </c>
    </row>
    <row r="39" spans="1:18" s="2" customFormat="1" ht="25.2" customHeight="1">
      <c r="A39" s="317" t="s">
        <v>98</v>
      </c>
      <c r="B39" s="146" t="s">
        <v>70</v>
      </c>
      <c r="C39" s="36"/>
      <c r="D39" s="37"/>
      <c r="E39" s="37"/>
      <c r="F39" s="37"/>
      <c r="G39" s="37"/>
      <c r="H39" s="37"/>
      <c r="I39" s="37"/>
      <c r="J39" s="37"/>
      <c r="K39" s="146" t="s">
        <v>70</v>
      </c>
      <c r="L39" s="1"/>
      <c r="M39" s="11"/>
      <c r="N39" s="119" t="s">
        <v>505</v>
      </c>
      <c r="O39" s="177" t="s">
        <v>185</v>
      </c>
      <c r="P39" s="145" t="s">
        <v>298</v>
      </c>
    </row>
    <row r="40" spans="1:18" s="2" customFormat="1" ht="25.2" customHeight="1">
      <c r="A40" s="317" t="s">
        <v>98</v>
      </c>
      <c r="B40" s="146" t="s">
        <v>70</v>
      </c>
      <c r="C40" s="36"/>
      <c r="D40" s="37"/>
      <c r="E40" s="37"/>
      <c r="F40" s="37"/>
      <c r="G40" s="37"/>
      <c r="H40" s="37"/>
      <c r="I40" s="37"/>
      <c r="J40" s="37"/>
      <c r="K40" s="146" t="s">
        <v>70</v>
      </c>
      <c r="L40" s="1"/>
      <c r="M40" s="11"/>
      <c r="N40" s="119" t="s">
        <v>506</v>
      </c>
      <c r="O40" s="177" t="s">
        <v>187</v>
      </c>
      <c r="P40" s="145" t="s">
        <v>298</v>
      </c>
    </row>
    <row r="41" spans="1:18" s="2" customFormat="1" ht="25.2" customHeight="1">
      <c r="A41" s="317" t="s">
        <v>98</v>
      </c>
      <c r="B41" s="146" t="s">
        <v>70</v>
      </c>
      <c r="C41" s="36"/>
      <c r="D41" s="37"/>
      <c r="E41" s="37"/>
      <c r="F41" s="37"/>
      <c r="G41" s="37"/>
      <c r="H41" s="37"/>
      <c r="I41" s="37"/>
      <c r="K41" s="146" t="s">
        <v>70</v>
      </c>
      <c r="L41" s="1"/>
      <c r="M41" s="11"/>
      <c r="N41" s="119" t="s">
        <v>507</v>
      </c>
      <c r="O41" s="177" t="s">
        <v>186</v>
      </c>
      <c r="P41" s="145" t="s">
        <v>298</v>
      </c>
    </row>
    <row r="42" spans="1:18" s="2" customFormat="1" ht="25.2" customHeight="1">
      <c r="A42" s="317" t="s">
        <v>98</v>
      </c>
      <c r="B42" s="146" t="s">
        <v>70</v>
      </c>
      <c r="C42" s="36"/>
      <c r="D42" s="37"/>
      <c r="E42" s="37"/>
      <c r="F42" s="37"/>
      <c r="G42" s="37"/>
      <c r="H42" s="37"/>
      <c r="I42" s="37"/>
      <c r="J42" s="37"/>
      <c r="K42" s="167" t="s">
        <v>70</v>
      </c>
      <c r="L42" s="1"/>
      <c r="M42" s="1"/>
      <c r="N42" s="119" t="s">
        <v>509</v>
      </c>
      <c r="O42" s="177" t="s">
        <v>513</v>
      </c>
      <c r="P42" s="145" t="s">
        <v>298</v>
      </c>
    </row>
    <row r="43" spans="1:18" s="2" customFormat="1" ht="25.2" customHeight="1">
      <c r="A43" s="317" t="s">
        <v>99</v>
      </c>
      <c r="B43" s="146" t="s">
        <v>70</v>
      </c>
      <c r="C43" s="36"/>
      <c r="D43" s="37"/>
      <c r="E43" s="37"/>
      <c r="F43" s="37"/>
      <c r="G43" s="176" t="s">
        <v>70</v>
      </c>
      <c r="H43" s="37"/>
      <c r="I43" s="37"/>
      <c r="J43" s="37"/>
      <c r="L43" s="178" t="s">
        <v>510</v>
      </c>
      <c r="M43" s="178"/>
      <c r="N43" s="119" t="s">
        <v>508</v>
      </c>
      <c r="P43" s="165" t="s">
        <v>754</v>
      </c>
    </row>
    <row r="44" spans="1:18" s="2" customFormat="1" ht="25.2" customHeight="1">
      <c r="A44" s="317" t="s">
        <v>99</v>
      </c>
      <c r="B44" s="146" t="s">
        <v>70</v>
      </c>
      <c r="C44" s="36"/>
      <c r="D44" s="37"/>
      <c r="E44" s="37"/>
      <c r="F44" s="37"/>
      <c r="G44" s="176" t="s">
        <v>70</v>
      </c>
      <c r="H44" s="37"/>
      <c r="I44" s="37"/>
      <c r="J44" s="37"/>
      <c r="L44" s="178" t="s">
        <v>518</v>
      </c>
      <c r="M44" s="178" t="s">
        <v>527</v>
      </c>
      <c r="N44" s="119" t="s">
        <v>514</v>
      </c>
      <c r="P44" s="145" t="s">
        <v>298</v>
      </c>
    </row>
    <row r="45" spans="1:18" s="2" customFormat="1" ht="25.2" customHeight="1">
      <c r="A45" s="317" t="s">
        <v>99</v>
      </c>
      <c r="B45" s="146" t="s">
        <v>70</v>
      </c>
      <c r="C45" s="36"/>
      <c r="D45" s="37"/>
      <c r="E45" s="37"/>
      <c r="F45" s="37"/>
      <c r="G45" s="176" t="s">
        <v>70</v>
      </c>
      <c r="H45" s="37"/>
      <c r="I45" s="37"/>
      <c r="J45" s="37"/>
      <c r="L45" s="178" t="s">
        <v>522</v>
      </c>
      <c r="M45" s="178" t="s">
        <v>526</v>
      </c>
      <c r="N45" s="119" t="s">
        <v>515</v>
      </c>
      <c r="P45" s="145" t="s">
        <v>298</v>
      </c>
    </row>
    <row r="46" spans="1:18" s="2" customFormat="1" ht="25.2" customHeight="1">
      <c r="A46" s="317" t="s">
        <v>99</v>
      </c>
      <c r="B46" s="146" t="s">
        <v>70</v>
      </c>
      <c r="C46" s="36"/>
      <c r="D46" s="37"/>
      <c r="E46" s="37"/>
      <c r="F46" s="37"/>
      <c r="G46" s="176" t="s">
        <v>70</v>
      </c>
      <c r="H46" s="37"/>
      <c r="I46" s="37"/>
      <c r="J46" s="37"/>
      <c r="L46" s="178" t="s">
        <v>520</v>
      </c>
      <c r="M46" s="253" t="s">
        <v>678</v>
      </c>
      <c r="N46" s="119" t="s">
        <v>516</v>
      </c>
      <c r="P46" s="145" t="s">
        <v>298</v>
      </c>
    </row>
    <row r="47" spans="1:18" s="2" customFormat="1" ht="25.2" customHeight="1">
      <c r="A47" s="317" t="s">
        <v>99</v>
      </c>
      <c r="B47" s="146" t="s">
        <v>70</v>
      </c>
      <c r="C47" s="36"/>
      <c r="D47" s="37"/>
      <c r="E47" s="37"/>
      <c r="F47" s="37"/>
      <c r="G47" s="176" t="s">
        <v>70</v>
      </c>
      <c r="H47" s="37"/>
      <c r="I47" s="37"/>
      <c r="J47" s="37"/>
      <c r="L47" s="178" t="s">
        <v>521</v>
      </c>
      <c r="M47" s="178" t="s">
        <v>525</v>
      </c>
      <c r="N47" s="119" t="s">
        <v>517</v>
      </c>
      <c r="P47" s="145" t="s">
        <v>298</v>
      </c>
    </row>
    <row r="48" spans="1:18" s="2" customFormat="1" ht="25.2" customHeight="1">
      <c r="A48" s="317" t="s">
        <v>99</v>
      </c>
      <c r="B48" s="146" t="s">
        <v>70</v>
      </c>
      <c r="C48" s="36"/>
      <c r="D48" s="37"/>
      <c r="E48" s="37"/>
      <c r="F48" s="37"/>
      <c r="G48" s="176" t="s">
        <v>70</v>
      </c>
      <c r="H48" s="37"/>
      <c r="I48" s="37"/>
      <c r="J48" s="37"/>
      <c r="L48" s="178" t="s">
        <v>519</v>
      </c>
      <c r="M48" s="178" t="s">
        <v>524</v>
      </c>
      <c r="N48" s="119" t="s">
        <v>523</v>
      </c>
      <c r="P48" s="145" t="s">
        <v>298</v>
      </c>
    </row>
    <row r="49" spans="1:16" s="2" customFormat="1" ht="25.2" customHeight="1">
      <c r="A49" s="317" t="s">
        <v>99</v>
      </c>
      <c r="B49" s="146" t="s">
        <v>70</v>
      </c>
      <c r="C49" s="36"/>
      <c r="D49" s="37"/>
      <c r="E49" s="37"/>
      <c r="F49" s="37"/>
      <c r="G49" s="176" t="s">
        <v>70</v>
      </c>
      <c r="H49" s="37"/>
      <c r="I49" s="37"/>
      <c r="J49" s="37"/>
      <c r="L49" s="370" t="s">
        <v>843</v>
      </c>
      <c r="M49" s="178"/>
      <c r="N49" s="119" t="s">
        <v>529</v>
      </c>
      <c r="P49" s="165" t="s">
        <v>754</v>
      </c>
    </row>
    <row r="50" spans="1:16" s="2" customFormat="1" ht="25.2" customHeight="1">
      <c r="A50" s="317" t="s">
        <v>99</v>
      </c>
      <c r="B50" s="146" t="s">
        <v>70</v>
      </c>
      <c r="C50" s="36"/>
      <c r="D50" s="37"/>
      <c r="E50" s="37"/>
      <c r="F50" s="37"/>
      <c r="G50" s="176"/>
      <c r="H50" s="37"/>
      <c r="I50" s="37"/>
      <c r="J50" s="180" t="s">
        <v>70</v>
      </c>
      <c r="L50" s="178" t="s">
        <v>530</v>
      </c>
      <c r="M50" s="178" t="s">
        <v>531</v>
      </c>
      <c r="N50" s="119" t="s">
        <v>528</v>
      </c>
      <c r="P50" s="145" t="s">
        <v>298</v>
      </c>
    </row>
    <row r="51" spans="1:16" s="2" customFormat="1" ht="25.2" customHeight="1">
      <c r="A51" s="317" t="s">
        <v>99</v>
      </c>
      <c r="B51" s="146" t="s">
        <v>70</v>
      </c>
      <c r="C51" s="36"/>
      <c r="D51" s="37"/>
      <c r="E51" s="37"/>
      <c r="F51" s="37"/>
      <c r="G51" s="176"/>
      <c r="H51" s="37"/>
      <c r="I51" s="37"/>
      <c r="J51" s="37"/>
      <c r="L51" s="178" t="s">
        <v>536</v>
      </c>
      <c r="M51" s="178" t="s">
        <v>535</v>
      </c>
      <c r="N51" s="119" t="s">
        <v>532</v>
      </c>
      <c r="P51" s="145" t="s">
        <v>298</v>
      </c>
    </row>
    <row r="52" spans="1:16" s="2" customFormat="1" ht="25.2" customHeight="1">
      <c r="A52" s="317" t="s">
        <v>99</v>
      </c>
      <c r="B52" s="146" t="s">
        <v>70</v>
      </c>
      <c r="C52" s="36"/>
      <c r="D52" s="37"/>
      <c r="E52" s="37"/>
      <c r="F52" s="37"/>
      <c r="G52" s="176"/>
      <c r="H52" s="37"/>
      <c r="I52" s="37"/>
      <c r="J52" s="37"/>
      <c r="L52" s="178" t="s">
        <v>519</v>
      </c>
      <c r="M52" s="178" t="s">
        <v>534</v>
      </c>
      <c r="N52" s="119" t="s">
        <v>533</v>
      </c>
      <c r="P52" s="145" t="s">
        <v>298</v>
      </c>
    </row>
    <row r="53" spans="1:16" s="2" customFormat="1" ht="25.2" customHeight="1">
      <c r="A53" s="317" t="s">
        <v>99</v>
      </c>
      <c r="B53" s="146" t="s">
        <v>70</v>
      </c>
      <c r="C53" s="36"/>
      <c r="D53" s="37"/>
      <c r="E53" s="180" t="s">
        <v>70</v>
      </c>
      <c r="F53" s="37"/>
      <c r="G53" s="176"/>
      <c r="H53" s="37"/>
      <c r="I53" s="37"/>
      <c r="J53" s="37"/>
      <c r="L53" s="178" t="s">
        <v>538</v>
      </c>
      <c r="M53" s="179" t="s">
        <v>539</v>
      </c>
      <c r="N53" s="119" t="s">
        <v>537</v>
      </c>
      <c r="P53" s="145" t="s">
        <v>298</v>
      </c>
    </row>
    <row r="54" spans="1:16" s="2" customFormat="1" ht="25.2" customHeight="1">
      <c r="A54" s="317" t="s">
        <v>99</v>
      </c>
      <c r="B54" s="367" t="s">
        <v>70</v>
      </c>
      <c r="C54" s="36"/>
      <c r="D54" s="37"/>
      <c r="E54" s="367" t="s">
        <v>70</v>
      </c>
      <c r="F54" s="37"/>
      <c r="G54" s="176"/>
      <c r="H54" s="37"/>
      <c r="I54" s="37"/>
      <c r="J54" s="37"/>
      <c r="L54" s="368" t="s">
        <v>815</v>
      </c>
      <c r="M54" s="11"/>
      <c r="N54" s="119" t="s">
        <v>814</v>
      </c>
      <c r="P54" s="145" t="s">
        <v>298</v>
      </c>
    </row>
    <row r="55" spans="1:16" s="2" customFormat="1" ht="25.2" customHeight="1">
      <c r="A55" s="317" t="s">
        <v>99</v>
      </c>
      <c r="B55" s="367" t="s">
        <v>70</v>
      </c>
      <c r="C55" s="36"/>
      <c r="D55" s="37"/>
      <c r="E55" s="37"/>
      <c r="F55" s="37"/>
      <c r="G55" s="176"/>
      <c r="H55" s="37"/>
      <c r="I55" s="37"/>
      <c r="J55" s="37"/>
      <c r="L55" s="370" t="s">
        <v>817</v>
      </c>
      <c r="M55" s="11"/>
      <c r="N55" s="119" t="s">
        <v>816</v>
      </c>
      <c r="P55" s="145" t="s">
        <v>298</v>
      </c>
    </row>
    <row r="56" spans="1:16" s="2" customFormat="1" ht="25.2" customHeight="1">
      <c r="A56" s="317" t="s">
        <v>99</v>
      </c>
      <c r="B56" s="367" t="s">
        <v>70</v>
      </c>
      <c r="C56" s="36"/>
      <c r="D56" s="37"/>
      <c r="E56" s="37"/>
      <c r="F56" s="37"/>
      <c r="G56" s="176"/>
      <c r="H56" s="37"/>
      <c r="I56" s="37"/>
      <c r="J56" s="37"/>
      <c r="K56" s="438" t="s">
        <v>70</v>
      </c>
      <c r="L56" s="437" t="s">
        <v>963</v>
      </c>
      <c r="M56" s="11"/>
      <c r="N56" s="119" t="s">
        <v>964</v>
      </c>
      <c r="P56" s="145" t="s">
        <v>298</v>
      </c>
    </row>
    <row r="57" spans="1:16" s="2" customFormat="1" ht="25.2" customHeight="1">
      <c r="A57" s="317" t="s">
        <v>98</v>
      </c>
      <c r="B57" s="367" t="s">
        <v>70</v>
      </c>
      <c r="C57" s="36"/>
      <c r="D57" s="37"/>
      <c r="E57" s="37"/>
      <c r="F57" s="37"/>
      <c r="G57" s="176"/>
      <c r="H57" s="37"/>
      <c r="I57" s="37"/>
      <c r="J57" s="37"/>
      <c r="K57" s="438" t="s">
        <v>70</v>
      </c>
      <c r="L57" s="178"/>
      <c r="M57" s="11"/>
      <c r="N57" s="119" t="s">
        <v>964</v>
      </c>
      <c r="P57" s="145" t="s">
        <v>298</v>
      </c>
    </row>
    <row r="58" spans="1:16" s="2" customFormat="1" ht="25.2" customHeight="1">
      <c r="A58" s="317" t="s">
        <v>99</v>
      </c>
      <c r="B58" s="367" t="s">
        <v>70</v>
      </c>
      <c r="C58" s="36"/>
      <c r="D58" s="37"/>
      <c r="E58" s="37"/>
      <c r="F58" s="37"/>
      <c r="G58" s="176"/>
      <c r="H58" s="37"/>
      <c r="I58" s="37"/>
      <c r="J58" s="37"/>
      <c r="K58" s="438" t="s">
        <v>70</v>
      </c>
      <c r="L58" s="437" t="s">
        <v>966</v>
      </c>
      <c r="M58" s="11"/>
      <c r="N58" s="119" t="s">
        <v>965</v>
      </c>
      <c r="P58" s="145" t="s">
        <v>298</v>
      </c>
    </row>
    <row r="59" spans="1:16" s="2" customFormat="1" ht="25.2" customHeight="1">
      <c r="A59" s="317" t="s">
        <v>100</v>
      </c>
      <c r="B59" s="367" t="s">
        <v>70</v>
      </c>
      <c r="C59" s="36"/>
      <c r="D59" s="37"/>
      <c r="E59" s="37"/>
      <c r="F59" s="37"/>
      <c r="G59" s="176"/>
      <c r="H59" s="37"/>
      <c r="I59" s="37"/>
      <c r="J59" s="37"/>
      <c r="L59" s="178"/>
      <c r="M59" s="11"/>
      <c r="N59" s="119"/>
      <c r="P59" s="144"/>
    </row>
    <row r="60" spans="1:16" s="2" customFormat="1" ht="25.2" customHeight="1">
      <c r="A60" s="317" t="s">
        <v>100</v>
      </c>
      <c r="B60" s="367" t="s">
        <v>70</v>
      </c>
      <c r="C60" s="36"/>
      <c r="D60" s="37"/>
      <c r="E60" s="37"/>
      <c r="F60" s="37"/>
      <c r="G60" s="176"/>
      <c r="H60" s="37"/>
      <c r="I60" s="37"/>
      <c r="J60" s="37"/>
      <c r="L60" s="178"/>
      <c r="M60" s="11"/>
      <c r="N60" s="119"/>
      <c r="P60" s="144"/>
    </row>
    <row r="61" spans="1:16" s="2" customFormat="1" ht="25.2" customHeight="1">
      <c r="A61" s="317" t="s">
        <v>100</v>
      </c>
      <c r="B61" s="367" t="s">
        <v>70</v>
      </c>
      <c r="C61" s="36"/>
      <c r="D61" s="37"/>
      <c r="E61" s="37"/>
      <c r="F61" s="37"/>
      <c r="G61" s="176"/>
      <c r="H61" s="37"/>
      <c r="I61" s="37"/>
      <c r="J61" s="37"/>
      <c r="L61" s="178"/>
      <c r="M61" s="11"/>
      <c r="N61" s="119"/>
      <c r="P61" s="144"/>
    </row>
    <row r="62" spans="1:16" s="2" customFormat="1" ht="25.2" customHeight="1">
      <c r="A62" s="317" t="s">
        <v>100</v>
      </c>
      <c r="B62" s="367" t="s">
        <v>70</v>
      </c>
      <c r="C62" s="36"/>
      <c r="D62" s="37"/>
      <c r="E62" s="37"/>
      <c r="F62" s="37"/>
      <c r="G62" s="176"/>
      <c r="H62" s="37"/>
      <c r="I62" s="37"/>
      <c r="J62" s="37"/>
      <c r="L62" s="178"/>
      <c r="M62" s="11"/>
      <c r="N62" s="119"/>
      <c r="P62" s="144"/>
    </row>
    <row r="63" spans="1:16" s="2" customFormat="1" ht="25.2" customHeight="1">
      <c r="A63" s="317" t="s">
        <v>100</v>
      </c>
      <c r="B63" s="367" t="s">
        <v>70</v>
      </c>
      <c r="C63" s="36"/>
      <c r="D63" s="37"/>
      <c r="E63" s="37"/>
      <c r="F63" s="37"/>
      <c r="G63" s="176"/>
      <c r="H63" s="37"/>
      <c r="I63" s="37"/>
      <c r="J63" s="37"/>
      <c r="L63" s="178"/>
      <c r="M63" s="11"/>
      <c r="N63" s="119"/>
      <c r="P63" s="144"/>
    </row>
    <row r="64" spans="1:16" s="2" customFormat="1" ht="25.2" customHeight="1">
      <c r="A64" s="317" t="s">
        <v>100</v>
      </c>
      <c r="B64" s="367" t="s">
        <v>70</v>
      </c>
      <c r="C64" s="36"/>
      <c r="D64" s="37"/>
      <c r="E64" s="37"/>
      <c r="F64" s="37"/>
      <c r="G64" s="176"/>
      <c r="H64" s="37"/>
      <c r="I64" s="37"/>
      <c r="J64" s="37"/>
      <c r="L64" s="178"/>
      <c r="M64" s="11"/>
      <c r="N64" s="119"/>
      <c r="P64" s="144"/>
    </row>
    <row r="65" spans="1:16" s="2" customFormat="1" ht="25.2" customHeight="1">
      <c r="A65" s="317" t="s">
        <v>100</v>
      </c>
      <c r="B65" s="367" t="s">
        <v>70</v>
      </c>
      <c r="C65" s="36"/>
      <c r="D65" s="37"/>
      <c r="E65" s="37"/>
      <c r="F65" s="37"/>
      <c r="G65" s="176"/>
      <c r="H65" s="37"/>
      <c r="I65" s="37"/>
      <c r="J65" s="37"/>
      <c r="L65" s="178"/>
      <c r="M65" s="11"/>
      <c r="N65" s="119"/>
      <c r="P65" s="144"/>
    </row>
    <row r="66" spans="1:16" s="2" customFormat="1" ht="25.2" customHeight="1">
      <c r="A66" s="317" t="s">
        <v>100</v>
      </c>
      <c r="B66" s="367" t="s">
        <v>70</v>
      </c>
      <c r="C66" s="36"/>
      <c r="D66" s="37"/>
      <c r="E66" s="37"/>
      <c r="F66" s="37"/>
      <c r="G66" s="176"/>
      <c r="H66" s="37"/>
      <c r="I66" s="37"/>
      <c r="J66" s="37"/>
      <c r="L66" s="178"/>
      <c r="M66" s="11"/>
      <c r="N66" s="119"/>
      <c r="P66" s="144"/>
    </row>
    <row r="67" spans="1:16" s="2" customFormat="1" ht="25.2" customHeight="1">
      <c r="A67" s="317" t="s">
        <v>100</v>
      </c>
      <c r="B67" s="367" t="s">
        <v>70</v>
      </c>
      <c r="C67" s="36"/>
      <c r="D67" s="37"/>
      <c r="E67" s="37"/>
      <c r="F67" s="37"/>
      <c r="G67" s="176"/>
      <c r="H67" s="37"/>
      <c r="I67" s="37"/>
      <c r="J67" s="37"/>
      <c r="L67" s="178"/>
      <c r="M67" s="11"/>
      <c r="N67" s="119"/>
      <c r="P67" s="144"/>
    </row>
    <row r="68" spans="1:16" s="2" customFormat="1" ht="25.2" customHeight="1">
      <c r="A68" s="317" t="s">
        <v>100</v>
      </c>
      <c r="B68" s="367" t="s">
        <v>70</v>
      </c>
      <c r="C68" s="36"/>
      <c r="D68" s="37"/>
      <c r="E68" s="37"/>
      <c r="F68" s="37"/>
      <c r="G68" s="176"/>
      <c r="H68" s="37"/>
      <c r="I68" s="37"/>
      <c r="J68" s="37"/>
      <c r="L68" s="178"/>
      <c r="M68" s="11"/>
      <c r="N68" s="119"/>
      <c r="P68" s="144"/>
    </row>
    <row r="69" spans="1:16" s="2" customFormat="1" ht="25.2" customHeight="1">
      <c r="A69" s="317" t="s">
        <v>100</v>
      </c>
      <c r="B69" s="367" t="s">
        <v>70</v>
      </c>
      <c r="C69" s="36"/>
      <c r="D69" s="37"/>
      <c r="E69" s="37"/>
      <c r="F69" s="37"/>
      <c r="G69" s="176"/>
      <c r="H69" s="37"/>
      <c r="I69" s="37"/>
      <c r="J69" s="37"/>
      <c r="L69" s="178"/>
      <c r="M69" s="11"/>
      <c r="N69" s="119"/>
      <c r="P69" s="144"/>
    </row>
    <row r="70" spans="1:16" s="2" customFormat="1" ht="25.2" customHeight="1">
      <c r="A70" s="317" t="s">
        <v>100</v>
      </c>
      <c r="B70" s="367" t="s">
        <v>70</v>
      </c>
      <c r="C70" s="36"/>
      <c r="D70" s="37"/>
      <c r="E70" s="37"/>
      <c r="F70" s="37"/>
      <c r="G70" s="176"/>
      <c r="H70" s="37"/>
      <c r="I70" s="37"/>
      <c r="J70" s="37"/>
      <c r="L70" s="178"/>
      <c r="M70" s="11"/>
      <c r="N70" s="119"/>
      <c r="P70" s="144"/>
    </row>
    <row r="71" spans="1:16" s="2" customFormat="1" ht="25.2" customHeight="1">
      <c r="A71" s="317" t="s">
        <v>100</v>
      </c>
      <c r="B71" s="367" t="s">
        <v>70</v>
      </c>
      <c r="C71" s="36"/>
      <c r="D71" s="37"/>
      <c r="E71" s="37"/>
      <c r="F71" s="37"/>
      <c r="G71" s="176"/>
      <c r="H71" s="37"/>
      <c r="I71" s="37"/>
      <c r="J71" s="37"/>
      <c r="L71" s="178"/>
      <c r="M71" s="11"/>
      <c r="N71" s="119"/>
      <c r="P71" s="144"/>
    </row>
    <row r="72" spans="1:16" s="2" customFormat="1" ht="25.2" customHeight="1">
      <c r="A72" s="317" t="s">
        <v>100</v>
      </c>
      <c r="B72" s="367" t="s">
        <v>70</v>
      </c>
      <c r="C72" s="36"/>
      <c r="D72" s="37"/>
      <c r="E72" s="37"/>
      <c r="F72" s="37"/>
      <c r="G72" s="176"/>
      <c r="H72" s="37"/>
      <c r="I72" s="37"/>
      <c r="J72" s="37"/>
      <c r="L72" s="178"/>
      <c r="M72" s="11"/>
      <c r="N72" s="119"/>
      <c r="P72" s="144"/>
    </row>
    <row r="73" spans="1:16" s="2" customFormat="1" ht="25.2" customHeight="1">
      <c r="A73" s="317" t="s">
        <v>100</v>
      </c>
      <c r="B73" s="367" t="s">
        <v>70</v>
      </c>
      <c r="C73" s="36"/>
      <c r="D73" s="37"/>
      <c r="E73" s="37"/>
      <c r="F73" s="37"/>
      <c r="G73" s="176"/>
      <c r="H73" s="37"/>
      <c r="I73" s="37"/>
      <c r="J73" s="37"/>
      <c r="L73" s="178"/>
      <c r="M73" s="11"/>
      <c r="N73" s="119"/>
      <c r="P73" s="144"/>
    </row>
    <row r="74" spans="1:16" s="2" customFormat="1" ht="25.2" customHeight="1">
      <c r="A74" s="317" t="s">
        <v>100</v>
      </c>
      <c r="B74" s="367" t="s">
        <v>70</v>
      </c>
      <c r="C74" s="36"/>
      <c r="D74" s="37"/>
      <c r="E74" s="37"/>
      <c r="F74" s="37"/>
      <c r="G74" s="176"/>
      <c r="H74" s="37"/>
      <c r="I74" s="37"/>
      <c r="J74" s="37"/>
      <c r="L74" s="178"/>
      <c r="M74" s="11"/>
      <c r="N74" s="119"/>
      <c r="P74" s="144"/>
    </row>
    <row r="75" spans="1:16" s="2" customFormat="1" ht="25.2" customHeight="1">
      <c r="A75" s="317" t="s">
        <v>100</v>
      </c>
      <c r="B75" s="367" t="s">
        <v>70</v>
      </c>
      <c r="C75" s="36"/>
      <c r="D75" s="37"/>
      <c r="E75" s="37"/>
      <c r="F75" s="37"/>
      <c r="G75" s="176"/>
      <c r="H75" s="37"/>
      <c r="I75" s="37"/>
      <c r="J75" s="37"/>
      <c r="L75" s="178"/>
      <c r="M75" s="11"/>
      <c r="N75" s="119"/>
      <c r="P75" s="144"/>
    </row>
  </sheetData>
  <phoneticPr fontId="87" type="noConversion"/>
  <hyperlinks>
    <hyperlink ref="N25" r:id="rId1" xr:uid="{3EE1CDE2-D251-4806-B502-0233030A6ED2}"/>
    <hyperlink ref="N29" r:id="rId2" xr:uid="{F56499DE-097E-4E81-8DD1-091A1CB5DE39}"/>
    <hyperlink ref="N43" r:id="rId3" xr:uid="{C3751625-9BE0-45CB-81FE-2D71BBEC8154}"/>
    <hyperlink ref="N49" r:id="rId4" xr:uid="{3E0DB871-1093-4DA4-B6F7-B78FF293DF7C}"/>
    <hyperlink ref="N3" r:id="rId5" xr:uid="{754C352F-8982-4D91-A8FB-BAFCDAC35F25}"/>
    <hyperlink ref="N4" r:id="rId6" xr:uid="{DC1323AF-DD7B-4526-B9B4-5C2AA40780E2}"/>
    <hyperlink ref="N5" r:id="rId7" xr:uid="{A313052C-93BA-40B7-9C63-D40DCADA7FE1}"/>
    <hyperlink ref="N6" r:id="rId8" xr:uid="{61856228-5DF5-4AD8-B2C9-7C60F3F6DC8A}"/>
    <hyperlink ref="N7" r:id="rId9" xr:uid="{09A5D1B3-014B-465C-8DC4-54B9771C1BB3}"/>
    <hyperlink ref="N8" r:id="rId10" xr:uid="{37AB931D-E55E-435C-8F0D-808409DAFC78}"/>
    <hyperlink ref="N9" r:id="rId11" xr:uid="{AB2FC1F1-D138-4506-9C5A-44CCF65A8C0F}"/>
    <hyperlink ref="N10" r:id="rId12" xr:uid="{AD7205A4-AFD6-4721-B22F-80B03CCC701D}"/>
    <hyperlink ref="N11" r:id="rId13" xr:uid="{6D3F5E61-7B2E-42D6-A0E3-D42FA944AEF8}"/>
    <hyperlink ref="N12" r:id="rId14" xr:uid="{F02673C7-9A3C-4E46-A915-BE292163156C}"/>
    <hyperlink ref="N14" r:id="rId15" xr:uid="{EF0BB736-127D-4B44-8A9E-E24079762F24}"/>
    <hyperlink ref="N15" r:id="rId16" xr:uid="{1639B360-2ABC-4538-8C8A-8EE6AB1FFD63}"/>
    <hyperlink ref="N16" r:id="rId17" xr:uid="{C6FF3028-16F7-4401-8699-54CC07AC3361}"/>
    <hyperlink ref="N17" r:id="rId18" xr:uid="{DA2A2843-EA7F-401B-98F9-F96D8D2DD969}"/>
    <hyperlink ref="N18" r:id="rId19" xr:uid="{48DB890C-24BD-4E08-81C5-87CA869FBBBF}"/>
    <hyperlink ref="N19" r:id="rId20" xr:uid="{666FE691-B817-4ADB-AF7E-60133D746546}"/>
    <hyperlink ref="N21" r:id="rId21" xr:uid="{386DCD65-AAC0-40CD-B117-7D5B2EA6F88B}"/>
    <hyperlink ref="N22" r:id="rId22" xr:uid="{9655F710-CEC0-40A2-A2FA-C7F79D89BB69}"/>
    <hyperlink ref="N24" r:id="rId23" xr:uid="{FEC9B45C-BB01-4C16-841D-D81A9FE3D56F}"/>
    <hyperlink ref="N26" r:id="rId24" xr:uid="{F3E96BF1-BAC2-4CB8-9E19-1EDDA8882206}"/>
    <hyperlink ref="N27" r:id="rId25" xr:uid="{0BE56A92-AFA8-4904-8739-2D41F67A49F6}"/>
    <hyperlink ref="N28" r:id="rId26" xr:uid="{AA5EE63A-4942-4881-BFDD-C23861BA20B6}"/>
    <hyperlink ref="N30" r:id="rId27" xr:uid="{C705504F-C47F-48D9-884C-3AA43D4D9DB6}"/>
    <hyperlink ref="N31" r:id="rId28" xr:uid="{48D9D77B-6E6D-4216-97A3-B37EA0038A5D}"/>
    <hyperlink ref="N32" r:id="rId29" xr:uid="{7B248084-88ED-4A87-80F1-F78890A4E2DC}"/>
    <hyperlink ref="N33" r:id="rId30" xr:uid="{87DAE50E-34D6-49C7-A413-CC603C3F5940}"/>
    <hyperlink ref="N34" r:id="rId31" xr:uid="{428A6803-95ED-4AA1-9EBB-F68D2E7E03C7}"/>
    <hyperlink ref="N35" r:id="rId32" xr:uid="{1AE952A3-CEBD-448A-BAC2-62863CA5C0EF}"/>
    <hyperlink ref="N36" r:id="rId33" xr:uid="{6B7C02DB-2193-4FEB-9AFD-170D3538A660}"/>
    <hyperlink ref="N37" r:id="rId34" xr:uid="{5611C50B-FCF8-4478-9D59-878EE8CA8B07}"/>
    <hyperlink ref="N38" r:id="rId35" xr:uid="{E03E733B-2565-43B7-8A42-897AC4D90C22}"/>
    <hyperlink ref="N39" r:id="rId36" xr:uid="{AFD31B63-B14A-42A5-9F3E-CC9F71589B80}"/>
    <hyperlink ref="N40" r:id="rId37" xr:uid="{D8369F93-F7C8-4A98-B31B-99DFEF24C37D}"/>
    <hyperlink ref="N41" r:id="rId38" xr:uid="{9F81CFC3-5042-4A96-8EBA-624BEB2EB313}"/>
    <hyperlink ref="N42" r:id="rId39" xr:uid="{A4ED3F13-6792-4B94-B2D1-29D73AA71B4B}"/>
    <hyperlink ref="N44" r:id="rId40" xr:uid="{5557BCB8-BBC6-4EB6-AAB2-F39345DA39FB}"/>
    <hyperlink ref="N45" r:id="rId41" xr:uid="{408EF092-1F04-4EB4-90F1-4DBAD63AE660}"/>
    <hyperlink ref="N46" r:id="rId42" xr:uid="{037E5221-9D3C-4B84-B462-FA979ECCF569}"/>
    <hyperlink ref="N47" r:id="rId43" xr:uid="{09955F7E-A8F3-47D2-88C8-A07B52D0A7F2}"/>
    <hyperlink ref="N48" r:id="rId44" xr:uid="{0A6F2DC6-5DF5-490D-B409-0E590007DB9C}"/>
    <hyperlink ref="N50" r:id="rId45" xr:uid="{ACC26D4C-7B6F-420F-958E-21B01B8ABFB6}"/>
    <hyperlink ref="N51" r:id="rId46" xr:uid="{B0AEF47C-4D6F-4A48-82D4-8FD3F5878977}"/>
    <hyperlink ref="N52" r:id="rId47" xr:uid="{864F6FBE-98DA-4189-929A-691B92A3C7B0}"/>
    <hyperlink ref="N53" r:id="rId48" xr:uid="{5ABB1C92-D4E2-4CB9-93C3-719113208055}"/>
    <hyperlink ref="N54" r:id="rId49" xr:uid="{19DF83BA-1035-4A47-9171-4AEEB6DCC983}"/>
    <hyperlink ref="N55" r:id="rId50" xr:uid="{0DEBEA87-BEAC-4332-AFBD-3A727E70804A}"/>
    <hyperlink ref="N56" r:id="rId51" xr:uid="{4311FFBB-0332-41F4-ADDA-4B26FA2BD64B}"/>
    <hyperlink ref="N57" r:id="rId52" xr:uid="{4782FAE5-1B97-4C9E-A742-370754808A13}"/>
    <hyperlink ref="N58" r:id="rId53" xr:uid="{4C3DF0EC-1DC4-4880-8856-3CB1BE965F17}"/>
  </hyperlinks>
  <pageMargins left="0.7" right="0.7" top="0.78740157499999996" bottom="0.78740157499999996" header="0.3" footer="0.3"/>
  <pageSetup paperSize="9" orientation="portrait" r:id="rId5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ECE-F425-4318-8E93-AC150C6B7373}">
  <sheetPr codeName="Tabelle4"/>
  <dimension ref="A1:P52"/>
  <sheetViews>
    <sheetView workbookViewId="0">
      <pane ySplit="1" topLeftCell="A2" activePane="bottomLeft" state="frozen"/>
      <selection activeCell="K2" sqref="K2"/>
      <selection pane="bottomLeft" activeCell="U10" sqref="U10"/>
    </sheetView>
  </sheetViews>
  <sheetFormatPr baseColWidth="10" defaultColWidth="11.5546875" defaultRowHeight="15.6"/>
  <cols>
    <col min="1" max="1" width="6.44140625" style="320" bestFit="1" customWidth="1"/>
    <col min="2" max="10" width="3.6640625" style="33" bestFit="1" customWidth="1"/>
    <col min="11" max="11" width="6.6640625" bestFit="1" customWidth="1"/>
    <col min="12" max="12" width="33.44140625" style="79" bestFit="1" customWidth="1"/>
    <col min="13" max="13" width="10.6640625" style="17" bestFit="1" customWidth="1"/>
    <col min="14" max="14" width="41.88671875" style="17" customWidth="1"/>
    <col min="15" max="15" width="33.88671875" style="18" bestFit="1" customWidth="1"/>
    <col min="16" max="16384" width="11.5546875" style="17"/>
  </cols>
  <sheetData>
    <row r="1" spans="1:16" s="2" customFormat="1" ht="55.2" customHeight="1">
      <c r="A1" s="315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24" t="s">
        <v>14</v>
      </c>
      <c r="O1" s="25" t="s">
        <v>95</v>
      </c>
    </row>
    <row r="2" spans="1:16" s="2" customFormat="1" ht="25.2" customHeight="1">
      <c r="A2" s="316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17" t="s">
        <v>99</v>
      </c>
      <c r="B3" s="36" t="s">
        <v>70</v>
      </c>
      <c r="C3" s="36"/>
      <c r="D3" s="37" t="s">
        <v>70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157</v>
      </c>
      <c r="O3" s="16"/>
      <c r="P3" s="144"/>
    </row>
    <row r="4" spans="1:16" s="2" customFormat="1" ht="25.2" customHeight="1">
      <c r="A4" s="317" t="s">
        <v>99</v>
      </c>
      <c r="B4" s="36" t="s">
        <v>70</v>
      </c>
      <c r="C4" s="36"/>
      <c r="D4" s="37" t="s">
        <v>70</v>
      </c>
      <c r="E4" s="37"/>
      <c r="F4" s="37"/>
      <c r="G4" s="37"/>
      <c r="H4" s="37"/>
      <c r="I4" s="37"/>
      <c r="J4" s="37"/>
      <c r="L4" s="1" t="s">
        <v>13</v>
      </c>
      <c r="M4" s="4"/>
      <c r="N4" s="119" t="s">
        <v>158</v>
      </c>
      <c r="O4" s="16"/>
      <c r="P4" s="144"/>
    </row>
    <row r="5" spans="1:16" s="2" customFormat="1" ht="25.2" customHeight="1">
      <c r="A5" s="317" t="s">
        <v>99</v>
      </c>
      <c r="B5" s="243" t="s">
        <v>70</v>
      </c>
      <c r="C5" s="36"/>
      <c r="D5" s="244" t="s">
        <v>70</v>
      </c>
      <c r="E5" s="37"/>
      <c r="F5" s="37"/>
      <c r="G5" s="37"/>
      <c r="H5" s="37"/>
      <c r="I5" s="37"/>
      <c r="J5" s="37"/>
      <c r="L5" s="245" t="s">
        <v>655</v>
      </c>
      <c r="M5" s="246" t="s">
        <v>656</v>
      </c>
      <c r="N5" s="119"/>
      <c r="O5" s="16"/>
      <c r="P5" s="285" t="s">
        <v>719</v>
      </c>
    </row>
    <row r="6" spans="1:16" s="2" customFormat="1" ht="25.2" customHeight="1">
      <c r="A6" s="317" t="s">
        <v>99</v>
      </c>
      <c r="B6" s="36" t="s">
        <v>70</v>
      </c>
      <c r="C6" s="36"/>
      <c r="D6" s="37"/>
      <c r="E6" s="37"/>
      <c r="F6" s="37"/>
      <c r="G6" s="37"/>
      <c r="H6" s="37" t="s">
        <v>70</v>
      </c>
      <c r="I6" s="37"/>
      <c r="J6" s="37"/>
      <c r="L6" s="1" t="s">
        <v>197</v>
      </c>
      <c r="M6" s="4"/>
      <c r="N6" s="119" t="s">
        <v>287</v>
      </c>
      <c r="O6" s="16"/>
      <c r="P6" s="145" t="s">
        <v>298</v>
      </c>
    </row>
    <row r="7" spans="1:16" s="2" customFormat="1" ht="25.2" customHeight="1">
      <c r="A7" s="317" t="s">
        <v>98</v>
      </c>
      <c r="B7" s="36" t="s">
        <v>70</v>
      </c>
      <c r="C7" s="36"/>
      <c r="D7" s="37"/>
      <c r="E7" s="37"/>
      <c r="F7" s="37"/>
      <c r="G7" s="37"/>
      <c r="H7" s="37" t="s">
        <v>70</v>
      </c>
      <c r="I7" s="37"/>
      <c r="J7" s="37"/>
      <c r="M7" s="4"/>
      <c r="N7" s="119" t="s">
        <v>288</v>
      </c>
      <c r="O7" s="1" t="s">
        <v>198</v>
      </c>
      <c r="P7" s="145" t="s">
        <v>298</v>
      </c>
    </row>
    <row r="8" spans="1:16" s="2" customFormat="1" ht="25.2" customHeight="1">
      <c r="A8" s="317" t="s">
        <v>99</v>
      </c>
      <c r="B8" s="36" t="s">
        <v>70</v>
      </c>
      <c r="C8" s="36"/>
      <c r="D8" s="37"/>
      <c r="E8" s="37"/>
      <c r="F8" s="37"/>
      <c r="G8" s="37"/>
      <c r="H8" s="37" t="s">
        <v>70</v>
      </c>
      <c r="I8" s="37"/>
      <c r="J8" s="37"/>
      <c r="L8" s="1" t="s">
        <v>199</v>
      </c>
      <c r="M8" s="4"/>
      <c r="N8" s="119" t="s">
        <v>289</v>
      </c>
      <c r="O8" s="16"/>
      <c r="P8" s="145" t="s">
        <v>298</v>
      </c>
    </row>
    <row r="9" spans="1:16" s="2" customFormat="1" ht="25.2" customHeight="1">
      <c r="A9" s="317" t="s">
        <v>99</v>
      </c>
      <c r="B9" s="90" t="s">
        <v>70</v>
      </c>
      <c r="C9" s="36"/>
      <c r="D9" s="37"/>
      <c r="E9" s="37"/>
      <c r="F9" s="37"/>
      <c r="G9" s="37"/>
      <c r="H9" s="37"/>
      <c r="I9" s="37"/>
      <c r="J9" s="91" t="s">
        <v>70</v>
      </c>
      <c r="L9" s="92" t="s">
        <v>230</v>
      </c>
      <c r="M9" s="93" t="s">
        <v>228</v>
      </c>
      <c r="N9" s="119" t="s">
        <v>290</v>
      </c>
      <c r="O9" s="16"/>
      <c r="P9" s="145" t="s">
        <v>298</v>
      </c>
    </row>
    <row r="10" spans="1:16" s="2" customFormat="1" ht="25.2" customHeight="1">
      <c r="A10" s="317" t="s">
        <v>98</v>
      </c>
      <c r="B10" s="90" t="s">
        <v>70</v>
      </c>
      <c r="C10" s="36"/>
      <c r="D10" s="37"/>
      <c r="E10" s="37"/>
      <c r="F10" s="37"/>
      <c r="G10" s="37"/>
      <c r="H10" s="37"/>
      <c r="I10" s="37"/>
      <c r="J10" s="91"/>
      <c r="L10" s="92"/>
      <c r="M10" s="4"/>
      <c r="N10" s="119" t="s">
        <v>225</v>
      </c>
      <c r="O10" s="16"/>
      <c r="P10" s="144"/>
    </row>
    <row r="11" spans="1:16" s="2" customFormat="1" ht="25.2" customHeight="1">
      <c r="A11" s="317" t="s">
        <v>99</v>
      </c>
      <c r="B11" s="90" t="s">
        <v>70</v>
      </c>
      <c r="C11" s="36"/>
      <c r="D11" s="37"/>
      <c r="E11" s="91" t="s">
        <v>70</v>
      </c>
      <c r="F11" s="37"/>
      <c r="G11" s="37"/>
      <c r="H11" s="37"/>
      <c r="I11" s="37"/>
      <c r="J11" s="37"/>
      <c r="L11" s="92" t="s">
        <v>222</v>
      </c>
      <c r="M11" s="4"/>
      <c r="N11" s="119" t="s">
        <v>291</v>
      </c>
      <c r="O11" s="16"/>
      <c r="P11" s="145" t="s">
        <v>298</v>
      </c>
    </row>
    <row r="12" spans="1:16" s="2" customFormat="1" ht="25.2" customHeight="1">
      <c r="A12" s="317" t="s">
        <v>99</v>
      </c>
      <c r="B12" s="90" t="s">
        <v>70</v>
      </c>
      <c r="C12" s="36"/>
      <c r="D12" s="37"/>
      <c r="E12" s="37"/>
      <c r="F12" s="37"/>
      <c r="G12" s="37"/>
      <c r="H12" s="37"/>
      <c r="I12" s="90" t="s">
        <v>70</v>
      </c>
      <c r="J12" s="91"/>
      <c r="L12" s="96" t="s">
        <v>236</v>
      </c>
      <c r="M12" s="4"/>
      <c r="N12" s="119" t="s">
        <v>292</v>
      </c>
      <c r="O12" s="18"/>
      <c r="P12" s="145" t="s">
        <v>298</v>
      </c>
    </row>
    <row r="13" spans="1:16" s="2" customFormat="1" ht="25.2" customHeight="1">
      <c r="A13" s="317" t="s">
        <v>98</v>
      </c>
      <c r="B13" s="90" t="s">
        <v>70</v>
      </c>
      <c r="C13" s="36"/>
      <c r="D13" s="37"/>
      <c r="E13" s="37"/>
      <c r="F13" s="37"/>
      <c r="G13" s="37"/>
      <c r="H13" s="37"/>
      <c r="I13" s="90" t="s">
        <v>70</v>
      </c>
      <c r="J13" s="37"/>
      <c r="L13" s="1"/>
      <c r="M13" s="4"/>
      <c r="N13" s="119" t="s">
        <v>293</v>
      </c>
      <c r="O13" s="1" t="s">
        <v>237</v>
      </c>
      <c r="P13" s="145" t="s">
        <v>298</v>
      </c>
    </row>
    <row r="14" spans="1:16" s="2" customFormat="1" ht="25.2" customHeight="1">
      <c r="A14" s="317" t="s">
        <v>99</v>
      </c>
      <c r="B14" s="90" t="s">
        <v>70</v>
      </c>
      <c r="C14" s="36"/>
      <c r="D14" s="37"/>
      <c r="E14" s="37"/>
      <c r="F14" s="37"/>
      <c r="G14" s="37"/>
      <c r="H14" s="37"/>
      <c r="I14" s="90" t="s">
        <v>70</v>
      </c>
      <c r="J14" s="37"/>
      <c r="L14" s="96" t="s">
        <v>238</v>
      </c>
      <c r="M14" s="4"/>
      <c r="N14" s="119" t="s">
        <v>295</v>
      </c>
      <c r="O14" s="18"/>
      <c r="P14" s="145" t="s">
        <v>298</v>
      </c>
    </row>
    <row r="15" spans="1:16" s="2" customFormat="1" ht="25.2" customHeight="1">
      <c r="A15" s="317" t="s">
        <v>99</v>
      </c>
      <c r="B15" s="90" t="s">
        <v>70</v>
      </c>
      <c r="C15" s="36"/>
      <c r="D15" s="37"/>
      <c r="E15" s="37"/>
      <c r="F15" s="37"/>
      <c r="G15" s="37"/>
      <c r="H15" s="37"/>
      <c r="I15" s="90" t="s">
        <v>70</v>
      </c>
      <c r="J15" s="37"/>
      <c r="L15" s="96" t="s">
        <v>239</v>
      </c>
      <c r="M15" s="4"/>
      <c r="N15" s="119" t="s">
        <v>294</v>
      </c>
      <c r="O15" s="18"/>
      <c r="P15" s="145" t="s">
        <v>298</v>
      </c>
    </row>
    <row r="16" spans="1:16" s="2" customFormat="1" ht="25.2" customHeight="1">
      <c r="A16" s="317" t="s">
        <v>99</v>
      </c>
      <c r="B16" s="90" t="s">
        <v>70</v>
      </c>
      <c r="C16" s="36"/>
      <c r="D16" s="37"/>
      <c r="E16" s="37"/>
      <c r="F16" s="37"/>
      <c r="G16" s="90" t="s">
        <v>70</v>
      </c>
      <c r="H16" s="37"/>
      <c r="J16" s="37"/>
      <c r="L16" s="96" t="s">
        <v>635</v>
      </c>
      <c r="M16" s="4"/>
      <c r="N16" s="119" t="s">
        <v>635</v>
      </c>
      <c r="O16" s="18"/>
      <c r="P16" s="145" t="s">
        <v>298</v>
      </c>
    </row>
    <row r="17" spans="1:16" s="2" customFormat="1" ht="25.2" customHeight="1">
      <c r="A17" s="317" t="s">
        <v>99</v>
      </c>
      <c r="B17" s="90" t="s">
        <v>70</v>
      </c>
      <c r="C17" s="36"/>
      <c r="D17" s="37"/>
      <c r="E17" s="37"/>
      <c r="F17" s="37"/>
      <c r="G17" s="90" t="s">
        <v>70</v>
      </c>
      <c r="H17" s="37"/>
      <c r="J17" s="37"/>
      <c r="L17" s="96" t="s">
        <v>636</v>
      </c>
      <c r="M17" s="4"/>
      <c r="N17" s="119" t="s">
        <v>636</v>
      </c>
      <c r="O17" s="18"/>
      <c r="P17" s="145" t="s">
        <v>298</v>
      </c>
    </row>
    <row r="18" spans="1:16" s="2" customFormat="1" ht="25.2" customHeight="1">
      <c r="A18" s="317" t="s">
        <v>99</v>
      </c>
      <c r="B18" s="90" t="s">
        <v>70</v>
      </c>
      <c r="C18" s="36"/>
      <c r="D18" s="37"/>
      <c r="E18" s="37"/>
      <c r="F18" s="238"/>
      <c r="G18" s="90" t="s">
        <v>70</v>
      </c>
      <c r="H18" s="37"/>
      <c r="J18" s="37"/>
      <c r="L18" s="96" t="s">
        <v>637</v>
      </c>
      <c r="M18" s="4"/>
      <c r="N18" s="119" t="s">
        <v>637</v>
      </c>
      <c r="O18" s="18"/>
      <c r="P18" s="145" t="s">
        <v>298</v>
      </c>
    </row>
    <row r="19" spans="1:16" s="2" customFormat="1" ht="25.2" customHeight="1">
      <c r="A19" s="317" t="s">
        <v>99</v>
      </c>
      <c r="B19" s="90" t="s">
        <v>70</v>
      </c>
      <c r="C19" s="36"/>
      <c r="D19" s="37"/>
      <c r="E19" s="37"/>
      <c r="F19" s="37"/>
      <c r="G19" s="37"/>
      <c r="H19" s="37"/>
      <c r="I19" s="37"/>
      <c r="J19" s="90" t="s">
        <v>70</v>
      </c>
      <c r="L19" s="240" t="s">
        <v>640</v>
      </c>
      <c r="M19" s="239" t="s">
        <v>332</v>
      </c>
      <c r="N19" s="119" t="s">
        <v>640</v>
      </c>
      <c r="O19" s="240" t="s">
        <v>644</v>
      </c>
      <c r="P19" s="145" t="s">
        <v>298</v>
      </c>
    </row>
    <row r="20" spans="1:16" s="2" customFormat="1" ht="25.2" customHeight="1">
      <c r="A20" s="317" t="s">
        <v>98</v>
      </c>
      <c r="B20" s="90" t="s">
        <v>70</v>
      </c>
      <c r="C20" s="36"/>
      <c r="D20" s="37"/>
      <c r="E20" s="37"/>
      <c r="F20" s="37"/>
      <c r="G20" s="37"/>
      <c r="H20" s="37"/>
      <c r="I20" s="37"/>
      <c r="J20" s="90" t="s">
        <v>70</v>
      </c>
      <c r="L20" s="96"/>
      <c r="M20" s="239" t="s">
        <v>332</v>
      </c>
      <c r="N20" s="119" t="s">
        <v>639</v>
      </c>
      <c r="O20" s="240" t="s">
        <v>645</v>
      </c>
      <c r="P20" s="145" t="s">
        <v>298</v>
      </c>
    </row>
    <row r="21" spans="1:16" s="2" customFormat="1" ht="25.2" customHeight="1">
      <c r="A21" s="317" t="s">
        <v>98</v>
      </c>
      <c r="B21" s="90" t="s">
        <v>70</v>
      </c>
      <c r="C21" s="36"/>
      <c r="D21" s="37"/>
      <c r="E21" s="37"/>
      <c r="F21" s="37"/>
      <c r="G21" s="37"/>
      <c r="H21" s="37"/>
      <c r="I21" s="37"/>
      <c r="J21" s="90" t="s">
        <v>70</v>
      </c>
      <c r="L21" s="96"/>
      <c r="M21" s="239" t="s">
        <v>332</v>
      </c>
      <c r="N21" s="119" t="s">
        <v>638</v>
      </c>
      <c r="O21" s="240" t="s">
        <v>646</v>
      </c>
      <c r="P21" s="145" t="s">
        <v>298</v>
      </c>
    </row>
    <row r="22" spans="1:16" s="2" customFormat="1" ht="25.2" customHeight="1">
      <c r="A22" s="317" t="s">
        <v>98</v>
      </c>
      <c r="B22" s="90" t="s">
        <v>70</v>
      </c>
      <c r="C22" s="36"/>
      <c r="D22" s="37"/>
      <c r="E22" s="37"/>
      <c r="F22" s="37"/>
      <c r="G22" s="37"/>
      <c r="H22" s="37"/>
      <c r="I22" s="37"/>
      <c r="J22" s="90" t="s">
        <v>70</v>
      </c>
      <c r="L22" s="96"/>
      <c r="M22" s="239" t="s">
        <v>332</v>
      </c>
      <c r="N22" s="119" t="s">
        <v>641</v>
      </c>
      <c r="O22" s="240" t="s">
        <v>647</v>
      </c>
      <c r="P22" s="145" t="s">
        <v>298</v>
      </c>
    </row>
    <row r="23" spans="1:16" s="2" customFormat="1" ht="25.2" customHeight="1">
      <c r="A23" s="317" t="s">
        <v>99</v>
      </c>
      <c r="B23" s="90" t="s">
        <v>70</v>
      </c>
      <c r="C23" s="36"/>
      <c r="D23" s="37"/>
      <c r="E23" s="37"/>
      <c r="F23" s="37"/>
      <c r="G23" s="37"/>
      <c r="H23" s="37"/>
      <c r="I23" s="37"/>
      <c r="J23" s="238" t="s">
        <v>70</v>
      </c>
      <c r="L23" s="240" t="s">
        <v>650</v>
      </c>
      <c r="M23" s="239" t="s">
        <v>332</v>
      </c>
      <c r="N23" s="119" t="s">
        <v>642</v>
      </c>
      <c r="O23" s="240" t="s">
        <v>643</v>
      </c>
      <c r="P23" s="145" t="s">
        <v>298</v>
      </c>
    </row>
    <row r="24" spans="1:16" s="2" customFormat="1" ht="25.2" customHeight="1">
      <c r="A24" s="317" t="s">
        <v>99</v>
      </c>
      <c r="B24" s="36"/>
      <c r="C24" s="36"/>
      <c r="D24" s="37"/>
      <c r="E24" s="37"/>
      <c r="F24" s="37"/>
      <c r="G24" s="37"/>
      <c r="H24" s="37"/>
      <c r="I24" s="37"/>
      <c r="J24" s="238" t="s">
        <v>70</v>
      </c>
      <c r="L24" s="96" t="s">
        <v>649</v>
      </c>
      <c r="M24" s="239" t="s">
        <v>392</v>
      </c>
      <c r="N24" s="119" t="s">
        <v>648</v>
      </c>
      <c r="O24" s="18"/>
      <c r="P24" s="145" t="s">
        <v>298</v>
      </c>
    </row>
    <row r="25" spans="1:16" s="2" customFormat="1" ht="25.2" customHeight="1">
      <c r="A25" s="317" t="s">
        <v>99</v>
      </c>
      <c r="B25" s="371" t="s">
        <v>70</v>
      </c>
      <c r="C25" s="36"/>
      <c r="D25" s="37"/>
      <c r="E25" s="37"/>
      <c r="F25" s="37"/>
      <c r="G25" s="37"/>
      <c r="H25" s="37"/>
      <c r="I25" s="37"/>
      <c r="J25" s="37"/>
      <c r="L25" s="370" t="s">
        <v>819</v>
      </c>
      <c r="M25" s="4"/>
      <c r="N25" s="119" t="s">
        <v>818</v>
      </c>
      <c r="O25" s="18"/>
      <c r="P25" s="145" t="s">
        <v>298</v>
      </c>
    </row>
    <row r="26" spans="1:16" s="2" customFormat="1" ht="25.2" customHeight="1">
      <c r="A26" s="317" t="s">
        <v>100</v>
      </c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17"/>
      <c r="O26" s="18"/>
      <c r="P26" s="144"/>
    </row>
    <row r="27" spans="1:16" s="2" customFormat="1" ht="25.2" customHeight="1">
      <c r="A27" s="317" t="s">
        <v>100</v>
      </c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17"/>
      <c r="O27" s="18"/>
      <c r="P27" s="144"/>
    </row>
    <row r="28" spans="1:16" s="2" customFormat="1" ht="25.2" customHeight="1">
      <c r="A28" s="317" t="s">
        <v>100</v>
      </c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17"/>
      <c r="O28" s="18"/>
      <c r="P28" s="144"/>
    </row>
    <row r="29" spans="1:16" s="2" customFormat="1" ht="25.2" customHeight="1">
      <c r="A29" s="317" t="s">
        <v>100</v>
      </c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17"/>
      <c r="O29" s="18"/>
      <c r="P29" s="144"/>
    </row>
    <row r="30" spans="1:16" s="2" customFormat="1" ht="25.2" customHeight="1">
      <c r="A30" s="317" t="s">
        <v>100</v>
      </c>
      <c r="B30" s="36"/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17"/>
      <c r="O30" s="18"/>
      <c r="P30" s="144"/>
    </row>
    <row r="31" spans="1:16" s="2" customFormat="1" ht="25.2" customHeight="1">
      <c r="A31" s="317" t="s">
        <v>100</v>
      </c>
      <c r="B31" s="36"/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17"/>
      <c r="O31" s="18"/>
      <c r="P31" s="144"/>
    </row>
    <row r="32" spans="1:16" s="2" customFormat="1" ht="25.2" customHeight="1">
      <c r="A32" s="317" t="s">
        <v>100</v>
      </c>
      <c r="B32" s="36"/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17"/>
      <c r="O32" s="18"/>
      <c r="P32" s="144"/>
    </row>
    <row r="33" spans="1:16" s="2" customFormat="1" ht="25.2" customHeight="1">
      <c r="A33" s="317" t="s">
        <v>100</v>
      </c>
      <c r="B33" s="36"/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17"/>
      <c r="O33" s="18"/>
      <c r="P33" s="144"/>
    </row>
    <row r="34" spans="1:16" s="2" customFormat="1" ht="25.2" customHeight="1">
      <c r="A34" s="317" t="s">
        <v>100</v>
      </c>
      <c r="B34" s="36"/>
      <c r="C34" s="36"/>
      <c r="D34" s="37"/>
      <c r="E34" s="37"/>
      <c r="F34" s="37"/>
      <c r="G34" s="37"/>
      <c r="H34" s="37"/>
      <c r="I34" s="37"/>
      <c r="J34" s="37"/>
      <c r="L34" s="1"/>
      <c r="M34" s="4"/>
      <c r="N34" s="17"/>
      <c r="O34" s="18"/>
      <c r="P34" s="144"/>
    </row>
    <row r="35" spans="1:16" s="2" customFormat="1" ht="25.2" customHeight="1">
      <c r="A35" s="317" t="s">
        <v>100</v>
      </c>
      <c r="B35" s="36"/>
      <c r="C35" s="36"/>
      <c r="D35" s="37"/>
      <c r="E35" s="37"/>
      <c r="F35" s="37"/>
      <c r="G35" s="37"/>
      <c r="H35" s="37"/>
      <c r="I35" s="37"/>
      <c r="J35" s="37"/>
      <c r="L35" s="1"/>
      <c r="M35" s="4"/>
      <c r="N35" s="17"/>
      <c r="O35" s="18"/>
      <c r="P35" s="144"/>
    </row>
    <row r="36" spans="1:16" s="2" customFormat="1" ht="25.2" customHeight="1">
      <c r="A36" s="317" t="s">
        <v>100</v>
      </c>
      <c r="B36" s="36"/>
      <c r="C36" s="36"/>
      <c r="D36" s="37"/>
      <c r="E36" s="37"/>
      <c r="F36" s="37"/>
      <c r="G36" s="37"/>
      <c r="H36" s="37"/>
      <c r="I36" s="37"/>
      <c r="K36" s="37"/>
      <c r="L36" s="1"/>
      <c r="M36" s="4"/>
      <c r="N36" s="17"/>
      <c r="O36" s="18"/>
      <c r="P36" s="144"/>
    </row>
    <row r="37" spans="1:16" s="2" customFormat="1" ht="25.2" customHeight="1">
      <c r="A37" s="317" t="s">
        <v>100</v>
      </c>
      <c r="B37" s="36"/>
      <c r="C37" s="36"/>
      <c r="D37" s="37"/>
      <c r="E37" s="37"/>
      <c r="F37" s="37"/>
      <c r="G37" s="37"/>
      <c r="H37" s="37"/>
      <c r="I37" s="37"/>
      <c r="J37" s="37"/>
      <c r="L37" s="1"/>
      <c r="M37" s="4"/>
      <c r="N37" s="17"/>
      <c r="O37" s="18"/>
      <c r="P37" s="144"/>
    </row>
    <row r="38" spans="1:16" s="2" customFormat="1" ht="25.2" customHeight="1">
      <c r="A38" s="317" t="s">
        <v>100</v>
      </c>
      <c r="B38" s="36"/>
      <c r="C38" s="36"/>
      <c r="D38" s="37"/>
      <c r="E38" s="37"/>
      <c r="F38" s="37"/>
      <c r="G38" s="37"/>
      <c r="H38" s="37"/>
      <c r="I38" s="37"/>
      <c r="J38" s="37"/>
      <c r="L38" s="1"/>
      <c r="M38" s="4"/>
      <c r="N38" s="17"/>
      <c r="O38" s="18"/>
      <c r="P38" s="144"/>
    </row>
    <row r="39" spans="1:16" s="2" customFormat="1" ht="25.2" customHeight="1">
      <c r="A39" s="317" t="s">
        <v>100</v>
      </c>
      <c r="B39" s="36"/>
      <c r="C39" s="36"/>
      <c r="D39" s="37"/>
      <c r="E39" s="37"/>
      <c r="F39" s="37"/>
      <c r="G39" s="37"/>
      <c r="H39" s="37"/>
      <c r="I39" s="37"/>
      <c r="J39" s="37"/>
      <c r="L39" s="1"/>
      <c r="M39" s="4"/>
      <c r="N39" s="17"/>
      <c r="O39" s="18"/>
      <c r="P39" s="144"/>
    </row>
    <row r="40" spans="1:16" s="2" customFormat="1" ht="25.2" customHeight="1">
      <c r="A40" s="317" t="s">
        <v>100</v>
      </c>
      <c r="B40" s="36"/>
      <c r="C40" s="36"/>
      <c r="D40" s="37"/>
      <c r="E40" s="37"/>
      <c r="F40" s="37"/>
      <c r="G40" s="37"/>
      <c r="H40" s="37"/>
      <c r="I40" s="37"/>
      <c r="J40" s="37"/>
      <c r="L40" s="1"/>
      <c r="M40" s="4"/>
      <c r="N40" s="17"/>
      <c r="O40" s="18"/>
      <c r="P40" s="144"/>
    </row>
    <row r="41" spans="1:16" s="2" customFormat="1" ht="25.2" customHeight="1">
      <c r="A41" s="317" t="s">
        <v>100</v>
      </c>
      <c r="B41" s="36"/>
      <c r="C41" s="36"/>
      <c r="D41" s="37"/>
      <c r="E41" s="37"/>
      <c r="F41" s="37"/>
      <c r="G41" s="37"/>
      <c r="H41" s="37"/>
      <c r="I41" s="37"/>
      <c r="J41" s="37"/>
      <c r="L41" s="1"/>
      <c r="M41" s="4"/>
      <c r="N41" s="17"/>
      <c r="O41" s="18"/>
      <c r="P41" s="144"/>
    </row>
    <row r="42" spans="1:16" s="2" customFormat="1" ht="25.2" customHeight="1">
      <c r="A42" s="317" t="s">
        <v>100</v>
      </c>
      <c r="B42" s="36"/>
      <c r="C42" s="36"/>
      <c r="D42" s="37"/>
      <c r="E42" s="37"/>
      <c r="F42" s="37"/>
      <c r="G42" s="37"/>
      <c r="H42" s="37"/>
      <c r="I42" s="37"/>
      <c r="J42" s="37"/>
      <c r="L42" s="1"/>
      <c r="M42" s="4"/>
      <c r="N42" s="17"/>
      <c r="O42" s="18"/>
      <c r="P42" s="144"/>
    </row>
    <row r="43" spans="1:16" s="2" customFormat="1" ht="25.2" customHeight="1">
      <c r="A43" s="317" t="s">
        <v>100</v>
      </c>
      <c r="B43" s="36"/>
      <c r="C43" s="36"/>
      <c r="D43" s="37"/>
      <c r="E43" s="37"/>
      <c r="F43" s="37"/>
      <c r="G43" s="37"/>
      <c r="H43" s="37"/>
      <c r="I43" s="37"/>
      <c r="J43" s="37"/>
      <c r="L43" s="1"/>
      <c r="M43" s="4"/>
      <c r="N43" s="17"/>
      <c r="O43" s="18"/>
      <c r="P43" s="144"/>
    </row>
    <row r="44" spans="1:16" s="2" customFormat="1" ht="25.2" customHeight="1">
      <c r="A44" s="317" t="s">
        <v>100</v>
      </c>
      <c r="B44" s="36"/>
      <c r="C44" s="36"/>
      <c r="D44" s="37"/>
      <c r="E44" s="37"/>
      <c r="F44" s="37"/>
      <c r="G44" s="37"/>
      <c r="H44" s="37"/>
      <c r="I44" s="37"/>
      <c r="J44" s="37"/>
      <c r="L44" s="1"/>
      <c r="M44" s="4"/>
      <c r="N44" s="17"/>
      <c r="O44" s="18"/>
      <c r="P44" s="144"/>
    </row>
    <row r="45" spans="1:16" s="2" customFormat="1" ht="25.2" customHeight="1">
      <c r="A45" s="317" t="s">
        <v>100</v>
      </c>
      <c r="B45" s="36"/>
      <c r="C45" s="36"/>
      <c r="D45" s="37"/>
      <c r="E45" s="37"/>
      <c r="F45" s="37"/>
      <c r="G45" s="37"/>
      <c r="H45" s="37"/>
      <c r="I45" s="37"/>
      <c r="J45" s="37"/>
      <c r="L45" s="1"/>
      <c r="M45" s="4"/>
      <c r="N45" s="17"/>
      <c r="O45" s="18"/>
      <c r="P45" s="144"/>
    </row>
    <row r="46" spans="1:16" s="2" customFormat="1" ht="25.2" customHeight="1">
      <c r="A46" s="317" t="s">
        <v>100</v>
      </c>
      <c r="B46" s="36"/>
      <c r="C46" s="36"/>
      <c r="D46" s="37"/>
      <c r="E46" s="37"/>
      <c r="F46" s="37"/>
      <c r="G46" s="37"/>
      <c r="H46" s="37"/>
      <c r="I46" s="37"/>
      <c r="J46" s="37"/>
      <c r="L46" s="1"/>
      <c r="M46" s="4"/>
      <c r="N46" s="17"/>
      <c r="O46" s="18"/>
      <c r="P46" s="144"/>
    </row>
    <row r="47" spans="1:16" s="2" customFormat="1" ht="25.2" customHeight="1">
      <c r="A47" s="317" t="s">
        <v>100</v>
      </c>
      <c r="B47" s="36"/>
      <c r="C47" s="36"/>
      <c r="D47" s="37"/>
      <c r="E47" s="37"/>
      <c r="F47" s="37"/>
      <c r="G47" s="37"/>
      <c r="H47" s="37"/>
      <c r="I47" s="37"/>
      <c r="J47" s="37"/>
      <c r="L47" s="1"/>
      <c r="M47" s="4"/>
      <c r="N47" s="17"/>
      <c r="O47" s="18"/>
      <c r="P47" s="144"/>
    </row>
    <row r="48" spans="1:16" s="2" customFormat="1" ht="25.2" customHeight="1">
      <c r="A48" s="317" t="s">
        <v>100</v>
      </c>
      <c r="B48" s="36"/>
      <c r="C48" s="36"/>
      <c r="D48" s="37"/>
      <c r="E48" s="37"/>
      <c r="F48" s="37"/>
      <c r="G48" s="37"/>
      <c r="H48" s="37"/>
      <c r="I48" s="37"/>
      <c r="J48" s="37"/>
      <c r="L48" s="1"/>
      <c r="M48" s="4"/>
      <c r="N48" s="17"/>
      <c r="O48" s="18"/>
      <c r="P48" s="144"/>
    </row>
    <row r="49" spans="1:16" s="2" customFormat="1" ht="25.2" customHeight="1">
      <c r="A49" s="317" t="s">
        <v>100</v>
      </c>
      <c r="B49" s="36"/>
      <c r="C49" s="36"/>
      <c r="D49" s="37"/>
      <c r="E49" s="37"/>
      <c r="F49" s="37"/>
      <c r="G49" s="37"/>
      <c r="H49" s="37"/>
      <c r="I49" s="37"/>
      <c r="J49" s="37"/>
      <c r="L49" s="1"/>
      <c r="M49" s="4"/>
      <c r="N49" s="17"/>
      <c r="O49" s="18"/>
      <c r="P49" s="144"/>
    </row>
    <row r="50" spans="1:16" s="2" customFormat="1" ht="25.2" customHeight="1">
      <c r="A50" s="317" t="s">
        <v>100</v>
      </c>
      <c r="B50" s="36"/>
      <c r="C50" s="36"/>
      <c r="D50" s="37"/>
      <c r="E50" s="37"/>
      <c r="F50" s="37"/>
      <c r="G50" s="37"/>
      <c r="H50" s="37"/>
      <c r="I50" s="37"/>
      <c r="J50" s="37"/>
      <c r="L50" s="1"/>
      <c r="M50" s="4"/>
      <c r="N50" s="17"/>
      <c r="O50" s="18"/>
      <c r="P50" s="144"/>
    </row>
    <row r="51" spans="1:16" s="2" customFormat="1" ht="25.2" customHeight="1">
      <c r="A51" s="317"/>
      <c r="B51" s="36"/>
      <c r="C51" s="36"/>
      <c r="D51" s="37"/>
      <c r="E51" s="37"/>
      <c r="F51" s="37"/>
      <c r="G51" s="37"/>
      <c r="H51" s="37"/>
      <c r="I51" s="37"/>
      <c r="J51" s="37"/>
      <c r="L51" s="1"/>
      <c r="M51" s="4"/>
      <c r="N51" s="17"/>
      <c r="O51" s="18"/>
    </row>
    <row r="52" spans="1:16" s="2" customFormat="1" ht="25.2" customHeight="1">
      <c r="A52" s="317"/>
      <c r="B52" s="36"/>
      <c r="C52" s="36"/>
      <c r="D52" s="37"/>
      <c r="E52" s="37"/>
      <c r="F52" s="37"/>
      <c r="G52" s="37"/>
      <c r="H52" s="37"/>
      <c r="I52" s="37"/>
      <c r="J52" s="37"/>
      <c r="L52" s="1"/>
      <c r="M52" s="4"/>
      <c r="N52" s="17"/>
      <c r="O52" s="18"/>
    </row>
  </sheetData>
  <dataConsolidate/>
  <hyperlinks>
    <hyperlink ref="N3" r:id="rId1" xr:uid="{EB50D37F-8D81-4A2E-AA00-9FEEA72E6884}"/>
    <hyperlink ref="N4" r:id="rId2" xr:uid="{AC0EEA09-8134-4C9A-8EEE-5AC3D3861D9F}"/>
    <hyperlink ref="N10" r:id="rId3" xr:uid="{9F9B5B3C-ECE6-4694-B59F-1B25D9BDC026}"/>
    <hyperlink ref="N6" r:id="rId4" xr:uid="{D2E85DD4-3AEC-4F79-AC0F-A9970A74D9D3}"/>
    <hyperlink ref="N7" r:id="rId5" xr:uid="{300BB0D3-719D-4539-AFC2-C9157B71178E}"/>
    <hyperlink ref="N8" r:id="rId6" xr:uid="{862F2764-B46C-4E0A-A613-97A8C6CA9274}"/>
    <hyperlink ref="N9" r:id="rId7" xr:uid="{34A57002-0721-416F-B70D-79C2BA5430D7}"/>
    <hyperlink ref="N11" r:id="rId8" xr:uid="{DDE411BE-9A86-457F-A314-AD86E4167526}"/>
    <hyperlink ref="N12" r:id="rId9" xr:uid="{CAF9BEB6-6809-4DA9-867E-96B2C60EA65A}"/>
    <hyperlink ref="N13" r:id="rId10" xr:uid="{ADCC83FE-545E-4640-B0D9-C44066785263}"/>
    <hyperlink ref="N14" r:id="rId11" xr:uid="{5857BD71-41DC-404C-8750-8C5213817ACE}"/>
    <hyperlink ref="N15" r:id="rId12" xr:uid="{D24D6982-0479-4935-BBD0-85E9CA6D7F0D}"/>
    <hyperlink ref="N16" r:id="rId13" xr:uid="{160BDEA6-3E22-408D-B677-F3C9210DFD78}"/>
    <hyperlink ref="N17" r:id="rId14" xr:uid="{6887F668-B6E7-4DBD-B872-71D66DF9880F}"/>
    <hyperlink ref="N18" r:id="rId15" xr:uid="{63CBEA39-F93D-46A6-9F61-C4608C03C21C}"/>
    <hyperlink ref="N19" r:id="rId16" xr:uid="{77626532-85BE-4133-8318-247024AC92CA}"/>
    <hyperlink ref="N20" r:id="rId17" xr:uid="{B93DA34B-F223-448E-848C-F280CB83A02A}"/>
    <hyperlink ref="N21" r:id="rId18" xr:uid="{59126805-33CE-4D55-9815-0DCB546F8A01}"/>
    <hyperlink ref="N22" r:id="rId19" xr:uid="{54014936-0533-4BBA-9A96-B2299BFE1BD0}"/>
    <hyperlink ref="N23" r:id="rId20" xr:uid="{9556851E-6CAA-4415-831B-1755124C55EB}"/>
    <hyperlink ref="N24" r:id="rId21" xr:uid="{5E4372C8-00C4-4C91-9B8A-FA8A3CE9DB11}"/>
    <hyperlink ref="N25" r:id="rId22" xr:uid="{86E11804-3824-4982-AE8B-77E3F3DDCC27}"/>
  </hyperlinks>
  <pageMargins left="0.7" right="0.7" top="0.78740157499999996" bottom="0.78740157499999996" header="0.3" footer="0.3"/>
  <pageSetup paperSize="9" orientation="portrait" r:id="rId2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C55C-A7F8-49AB-8DEF-01B9541B4369}">
  <sheetPr codeName="Tabelle5"/>
  <dimension ref="A1:P56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8.33203125" style="320" customWidth="1"/>
    <col min="2" max="2" width="3.6640625" style="33" bestFit="1" customWidth="1"/>
    <col min="3" max="4" width="7.109375" style="33" bestFit="1" customWidth="1"/>
    <col min="5" max="10" width="3.6640625" style="33" bestFit="1" customWidth="1"/>
    <col min="11" max="11" width="6.6640625" bestFit="1" customWidth="1"/>
    <col min="12" max="12" width="17.44140625" style="79" bestFit="1" customWidth="1"/>
    <col min="13" max="13" width="36.33203125" style="17" bestFit="1" customWidth="1"/>
    <col min="14" max="14" width="30.88671875" style="17" customWidth="1"/>
    <col min="15" max="15" width="16.6640625" style="18" bestFit="1" customWidth="1"/>
    <col min="16" max="16384" width="11.5546875" style="17"/>
  </cols>
  <sheetData>
    <row r="1" spans="1:16" s="2" customFormat="1" ht="55.2" customHeight="1">
      <c r="A1" s="317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24" t="s">
        <v>14</v>
      </c>
      <c r="O1" s="25" t="s">
        <v>95</v>
      </c>
    </row>
    <row r="2" spans="1:16" s="2" customFormat="1" ht="25.2" customHeight="1">
      <c r="A2" s="317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17" t="s">
        <v>99</v>
      </c>
      <c r="B3" s="36" t="s">
        <v>70</v>
      </c>
      <c r="C3" s="36" t="s">
        <v>70</v>
      </c>
      <c r="D3" s="37" t="s">
        <v>70</v>
      </c>
      <c r="E3" s="30"/>
      <c r="F3" s="30"/>
      <c r="G3" s="30"/>
      <c r="H3" s="30"/>
      <c r="I3" s="30"/>
      <c r="J3" s="30"/>
      <c r="L3" s="1" t="s">
        <v>0</v>
      </c>
      <c r="M3" s="84" t="s">
        <v>33</v>
      </c>
      <c r="N3" s="119" t="s">
        <v>218</v>
      </c>
      <c r="O3" s="158"/>
      <c r="P3" s="145" t="s">
        <v>298</v>
      </c>
    </row>
    <row r="4" spans="1:16" s="2" customFormat="1" ht="25.2" customHeight="1">
      <c r="A4" s="317" t="s">
        <v>99</v>
      </c>
      <c r="B4" s="36" t="s">
        <v>70</v>
      </c>
      <c r="C4" s="36" t="s">
        <v>70</v>
      </c>
      <c r="D4" s="37" t="s">
        <v>70</v>
      </c>
      <c r="E4" s="30"/>
      <c r="F4" s="30"/>
      <c r="G4" s="30"/>
      <c r="H4" s="30"/>
      <c r="I4" s="30"/>
      <c r="J4" s="30"/>
      <c r="L4" s="1" t="s">
        <v>34</v>
      </c>
      <c r="M4" s="84"/>
      <c r="N4" s="119" t="s">
        <v>159</v>
      </c>
      <c r="O4" s="158"/>
      <c r="P4" s="145" t="s">
        <v>298</v>
      </c>
    </row>
    <row r="5" spans="1:16" s="2" customFormat="1" ht="25.2" customHeight="1">
      <c r="A5" s="317" t="s">
        <v>99</v>
      </c>
      <c r="B5" s="36" t="s">
        <v>70</v>
      </c>
      <c r="C5" s="29"/>
      <c r="D5" s="37" t="s">
        <v>70</v>
      </c>
      <c r="E5" s="30"/>
      <c r="F5" s="30"/>
      <c r="G5" s="30"/>
      <c r="H5" s="30"/>
      <c r="I5" s="30"/>
      <c r="J5" s="30"/>
      <c r="L5" s="1" t="s">
        <v>1</v>
      </c>
      <c r="M5" s="84"/>
      <c r="N5" s="119" t="s">
        <v>160</v>
      </c>
      <c r="O5" s="158"/>
      <c r="P5" s="145" t="s">
        <v>298</v>
      </c>
    </row>
    <row r="6" spans="1:16" s="2" customFormat="1" ht="25.2" customHeight="1">
      <c r="A6" s="317" t="s">
        <v>99</v>
      </c>
      <c r="B6" s="36" t="s">
        <v>70</v>
      </c>
      <c r="C6" s="29"/>
      <c r="D6" s="37" t="s">
        <v>70</v>
      </c>
      <c r="E6" s="30"/>
      <c r="F6" s="30"/>
      <c r="G6" s="30"/>
      <c r="H6" s="30"/>
      <c r="I6" s="30"/>
      <c r="J6" s="30"/>
      <c r="L6" s="1" t="s">
        <v>39</v>
      </c>
      <c r="M6" s="84"/>
      <c r="N6" s="119" t="s">
        <v>161</v>
      </c>
      <c r="O6" s="158"/>
      <c r="P6" s="145" t="s">
        <v>298</v>
      </c>
    </row>
    <row r="7" spans="1:16" s="2" customFormat="1" ht="25.2" customHeight="1">
      <c r="A7" s="317" t="s">
        <v>99</v>
      </c>
      <c r="B7" s="36" t="s">
        <v>70</v>
      </c>
      <c r="C7" s="29"/>
      <c r="D7" s="37" t="s">
        <v>70</v>
      </c>
      <c r="E7" s="30"/>
      <c r="F7" s="30"/>
      <c r="G7" s="30"/>
      <c r="H7" s="30"/>
      <c r="I7" s="30"/>
      <c r="J7" s="30"/>
      <c r="L7" s="1" t="s">
        <v>40</v>
      </c>
      <c r="M7" s="84"/>
      <c r="N7" s="119" t="s">
        <v>162</v>
      </c>
      <c r="O7" s="158"/>
      <c r="P7" s="145" t="s">
        <v>298</v>
      </c>
    </row>
    <row r="8" spans="1:16" s="2" customFormat="1" ht="25.2" customHeight="1">
      <c r="A8" s="317" t="s">
        <v>99</v>
      </c>
      <c r="B8" s="36" t="s">
        <v>70</v>
      </c>
      <c r="C8" s="217" t="s">
        <v>614</v>
      </c>
      <c r="D8" s="217" t="s">
        <v>614</v>
      </c>
      <c r="E8" s="30"/>
      <c r="F8" s="30"/>
      <c r="G8" s="30"/>
      <c r="H8" s="30"/>
      <c r="I8" s="30"/>
      <c r="J8" s="212" t="s">
        <v>70</v>
      </c>
      <c r="L8" s="280" t="s">
        <v>717</v>
      </c>
      <c r="M8" s="84" t="s">
        <v>598</v>
      </c>
      <c r="N8" s="119" t="s">
        <v>605</v>
      </c>
      <c r="O8" s="280" t="s">
        <v>717</v>
      </c>
      <c r="P8" s="145" t="s">
        <v>298</v>
      </c>
    </row>
    <row r="9" spans="1:16" s="2" customFormat="1" ht="25.2" customHeight="1">
      <c r="A9" s="317" t="s">
        <v>98</v>
      </c>
      <c r="B9" s="36" t="s">
        <v>70</v>
      </c>
      <c r="C9" s="215" t="s">
        <v>70</v>
      </c>
      <c r="D9" s="216" t="s">
        <v>70</v>
      </c>
      <c r="E9" s="30"/>
      <c r="F9" s="30"/>
      <c r="G9" s="30"/>
      <c r="H9" s="30"/>
      <c r="I9" s="30"/>
      <c r="J9" s="212" t="s">
        <v>70</v>
      </c>
      <c r="L9" s="208"/>
      <c r="M9" s="84"/>
      <c r="N9" s="119" t="s">
        <v>601</v>
      </c>
      <c r="O9" s="158" t="s">
        <v>599</v>
      </c>
      <c r="P9" s="145" t="s">
        <v>298</v>
      </c>
    </row>
    <row r="10" spans="1:16" s="2" customFormat="1" ht="25.2" customHeight="1">
      <c r="A10" s="317" t="s">
        <v>98</v>
      </c>
      <c r="B10" s="281" t="s">
        <v>70</v>
      </c>
      <c r="C10" s="282" t="s">
        <v>70</v>
      </c>
      <c r="D10" s="283" t="s">
        <v>70</v>
      </c>
      <c r="E10" s="30"/>
      <c r="F10" s="30"/>
      <c r="G10" s="30"/>
      <c r="H10" s="30"/>
      <c r="I10" s="30"/>
      <c r="J10" s="284" t="s">
        <v>70</v>
      </c>
      <c r="L10" s="208"/>
      <c r="M10" s="84"/>
      <c r="N10" s="119" t="s">
        <v>159</v>
      </c>
      <c r="O10" s="158" t="s">
        <v>718</v>
      </c>
      <c r="P10" s="145"/>
    </row>
    <row r="11" spans="1:16" s="2" customFormat="1" ht="25.2" customHeight="1">
      <c r="A11" s="317" t="s">
        <v>98</v>
      </c>
      <c r="B11" s="36" t="s">
        <v>70</v>
      </c>
      <c r="C11" s="215" t="s">
        <v>70</v>
      </c>
      <c r="D11" s="216" t="s">
        <v>70</v>
      </c>
      <c r="E11" s="30"/>
      <c r="F11" s="30"/>
      <c r="G11" s="30"/>
      <c r="H11" s="30"/>
      <c r="I11" s="30"/>
      <c r="J11" s="212" t="s">
        <v>70</v>
      </c>
      <c r="L11" s="208"/>
      <c r="M11" s="84"/>
      <c r="N11" s="119" t="s">
        <v>602</v>
      </c>
      <c r="O11" s="158" t="s">
        <v>600</v>
      </c>
      <c r="P11" s="145" t="s">
        <v>298</v>
      </c>
    </row>
    <row r="12" spans="1:16" s="2" customFormat="1" ht="25.2" customHeight="1">
      <c r="A12" s="317" t="s">
        <v>98</v>
      </c>
      <c r="B12" s="36" t="s">
        <v>70</v>
      </c>
      <c r="C12" s="215" t="s">
        <v>70</v>
      </c>
      <c r="D12" s="216" t="s">
        <v>70</v>
      </c>
      <c r="E12" s="30"/>
      <c r="F12" s="30"/>
      <c r="G12" s="30"/>
      <c r="H12" s="30"/>
      <c r="I12" s="30"/>
      <c r="J12" s="212" t="s">
        <v>70</v>
      </c>
      <c r="L12" s="208"/>
      <c r="M12" s="84"/>
      <c r="N12" s="119" t="s">
        <v>604</v>
      </c>
      <c r="O12" s="158" t="s">
        <v>603</v>
      </c>
      <c r="P12" s="145" t="s">
        <v>298</v>
      </c>
    </row>
    <row r="13" spans="1:16" s="2" customFormat="1" ht="25.2" customHeight="1">
      <c r="A13" s="317" t="s">
        <v>99</v>
      </c>
      <c r="B13" s="36" t="s">
        <v>70</v>
      </c>
      <c r="C13" s="29"/>
      <c r="D13" s="37" t="s">
        <v>70</v>
      </c>
      <c r="E13" s="30"/>
      <c r="F13" s="30"/>
      <c r="G13" s="30"/>
      <c r="H13" s="30"/>
      <c r="I13" s="30"/>
      <c r="J13" s="30"/>
      <c r="L13" s="1" t="s">
        <v>5</v>
      </c>
      <c r="M13" s="84" t="s">
        <v>36</v>
      </c>
      <c r="N13" s="119" t="s">
        <v>162</v>
      </c>
      <c r="O13" s="158"/>
      <c r="P13" s="145" t="s">
        <v>298</v>
      </c>
    </row>
    <row r="14" spans="1:16" s="2" customFormat="1" ht="25.2" customHeight="1">
      <c r="A14" s="317" t="s">
        <v>99</v>
      </c>
      <c r="B14" s="36" t="s">
        <v>70</v>
      </c>
      <c r="C14" s="29"/>
      <c r="D14" s="37" t="s">
        <v>70</v>
      </c>
      <c r="E14" s="30"/>
      <c r="F14" s="30"/>
      <c r="G14" s="30"/>
      <c r="H14" s="30"/>
      <c r="I14" s="30"/>
      <c r="J14" s="30"/>
      <c r="L14" s="1" t="s">
        <v>35</v>
      </c>
      <c r="M14" s="84"/>
      <c r="N14" s="119" t="s">
        <v>163</v>
      </c>
      <c r="O14" s="158"/>
      <c r="P14" s="145" t="s">
        <v>298</v>
      </c>
    </row>
    <row r="15" spans="1:16" s="2" customFormat="1" ht="25.2" customHeight="1">
      <c r="A15" s="317" t="s">
        <v>99</v>
      </c>
      <c r="B15" s="304" t="s">
        <v>70</v>
      </c>
      <c r="C15" s="29"/>
      <c r="D15" s="305" t="s">
        <v>70</v>
      </c>
      <c r="E15" s="30"/>
      <c r="F15" s="30"/>
      <c r="G15" s="30"/>
      <c r="H15" s="30"/>
      <c r="I15" s="30"/>
      <c r="J15" s="30"/>
      <c r="L15" s="307" t="s">
        <v>727</v>
      </c>
      <c r="M15" s="306" t="s">
        <v>725</v>
      </c>
      <c r="N15" s="119" t="s">
        <v>726</v>
      </c>
      <c r="O15" s="158"/>
      <c r="P15" s="145"/>
    </row>
    <row r="16" spans="1:16" s="2" customFormat="1" ht="25.2" customHeight="1">
      <c r="A16" s="317" t="s">
        <v>99</v>
      </c>
      <c r="B16" s="36" t="s">
        <v>70</v>
      </c>
      <c r="C16" s="29"/>
      <c r="D16" s="37"/>
      <c r="E16" s="30"/>
      <c r="F16" s="30"/>
      <c r="G16" s="30"/>
      <c r="H16" s="30" t="s">
        <v>70</v>
      </c>
      <c r="I16" s="30"/>
      <c r="J16" s="30"/>
      <c r="L16" s="1" t="s">
        <v>200</v>
      </c>
      <c r="M16" s="84"/>
      <c r="N16" s="119" t="s">
        <v>296</v>
      </c>
      <c r="O16" s="158"/>
      <c r="P16" s="145" t="s">
        <v>298</v>
      </c>
    </row>
    <row r="17" spans="1:16" s="2" customFormat="1" ht="25.2" customHeight="1">
      <c r="A17" s="317" t="s">
        <v>99</v>
      </c>
      <c r="B17" s="36" t="s">
        <v>70</v>
      </c>
      <c r="C17" s="29"/>
      <c r="D17" s="37"/>
      <c r="E17" s="30"/>
      <c r="F17" s="30"/>
      <c r="G17" s="30"/>
      <c r="H17" s="30"/>
      <c r="I17" s="95" t="s">
        <v>70</v>
      </c>
      <c r="J17" s="30"/>
      <c r="L17" s="1" t="s">
        <v>233</v>
      </c>
      <c r="M17" s="84"/>
      <c r="N17" s="119" t="s">
        <v>297</v>
      </c>
      <c r="O17" s="158"/>
      <c r="P17" s="145" t="s">
        <v>298</v>
      </c>
    </row>
    <row r="18" spans="1:16" s="2" customFormat="1" ht="25.2" customHeight="1">
      <c r="A18" s="317" t="s">
        <v>99</v>
      </c>
      <c r="B18" s="36" t="s">
        <v>70</v>
      </c>
      <c r="C18" s="29"/>
      <c r="D18" s="37"/>
      <c r="E18" s="30"/>
      <c r="F18" s="30"/>
      <c r="G18" s="30"/>
      <c r="H18" s="30"/>
      <c r="I18" s="95" t="s">
        <v>70</v>
      </c>
      <c r="J18" s="30"/>
      <c r="L18" s="309" t="s">
        <v>735</v>
      </c>
      <c r="M18" s="308" t="s">
        <v>734</v>
      </c>
      <c r="N18" s="119" t="s">
        <v>383</v>
      </c>
      <c r="O18" s="158"/>
      <c r="P18" s="145" t="s">
        <v>298</v>
      </c>
    </row>
    <row r="19" spans="1:16" s="2" customFormat="1" ht="25.2" customHeight="1">
      <c r="A19" s="317" t="s">
        <v>99</v>
      </c>
      <c r="B19" s="36" t="s">
        <v>70</v>
      </c>
      <c r="C19" s="29"/>
      <c r="D19" s="37"/>
      <c r="E19" s="30"/>
      <c r="F19" s="30"/>
      <c r="G19" s="30"/>
      <c r="H19" s="30"/>
      <c r="I19" s="95"/>
      <c r="J19" s="36" t="s">
        <v>70</v>
      </c>
      <c r="L19" s="164" t="s">
        <v>379</v>
      </c>
      <c r="M19" s="84"/>
      <c r="N19" s="119" t="s">
        <v>374</v>
      </c>
      <c r="O19" s="158" t="s">
        <v>47</v>
      </c>
      <c r="P19" s="145" t="s">
        <v>298</v>
      </c>
    </row>
    <row r="20" spans="1:16" s="2" customFormat="1" ht="25.2" customHeight="1">
      <c r="A20" s="317" t="s">
        <v>98</v>
      </c>
      <c r="B20" s="36" t="s">
        <v>70</v>
      </c>
      <c r="C20" s="29"/>
      <c r="D20" s="37"/>
      <c r="E20" s="30"/>
      <c r="F20" s="30"/>
      <c r="G20" s="30"/>
      <c r="H20" s="30"/>
      <c r="I20" s="30"/>
      <c r="J20" s="36" t="s">
        <v>70</v>
      </c>
      <c r="L20" s="1"/>
      <c r="M20" s="84"/>
      <c r="N20" s="119" t="s">
        <v>375</v>
      </c>
      <c r="O20" s="158" t="s">
        <v>731</v>
      </c>
      <c r="P20" s="145" t="s">
        <v>298</v>
      </c>
    </row>
    <row r="21" spans="1:16" s="2" customFormat="1" ht="25.2" customHeight="1">
      <c r="A21" s="317" t="s">
        <v>98</v>
      </c>
      <c r="B21" s="36" t="s">
        <v>70</v>
      </c>
      <c r="C21" s="29"/>
      <c r="D21" s="37"/>
      <c r="E21" s="30"/>
      <c r="F21" s="30"/>
      <c r="G21" s="30"/>
      <c r="H21" s="30"/>
      <c r="I21" s="30"/>
      <c r="J21" s="36" t="s">
        <v>70</v>
      </c>
      <c r="L21" s="1"/>
      <c r="M21" s="84"/>
      <c r="N21" s="119" t="s">
        <v>376</v>
      </c>
      <c r="O21" s="158" t="s">
        <v>728</v>
      </c>
      <c r="P21" s="145" t="s">
        <v>298</v>
      </c>
    </row>
    <row r="22" spans="1:16" s="2" customFormat="1" ht="25.2" customHeight="1">
      <c r="A22" s="317" t="s">
        <v>98</v>
      </c>
      <c r="B22" s="36" t="s">
        <v>70</v>
      </c>
      <c r="C22" s="29"/>
      <c r="D22" s="37"/>
      <c r="E22" s="30"/>
      <c r="F22" s="30"/>
      <c r="G22" s="30"/>
      <c r="H22" s="30"/>
      <c r="I22" s="30"/>
      <c r="J22" s="36" t="s">
        <v>70</v>
      </c>
      <c r="L22" s="1"/>
      <c r="M22" s="84"/>
      <c r="N22" s="119" t="s">
        <v>377</v>
      </c>
      <c r="O22" s="158" t="s">
        <v>732</v>
      </c>
      <c r="P22" s="145" t="s">
        <v>298</v>
      </c>
    </row>
    <row r="23" spans="1:16" s="2" customFormat="1" ht="25.2" customHeight="1">
      <c r="A23" s="317" t="s">
        <v>98</v>
      </c>
      <c r="B23" s="36" t="s">
        <v>70</v>
      </c>
      <c r="C23" s="29"/>
      <c r="D23" s="37"/>
      <c r="E23" s="30"/>
      <c r="F23" s="30"/>
      <c r="G23" s="30"/>
      <c r="H23" s="30"/>
      <c r="I23" s="30"/>
      <c r="J23" s="36" t="s">
        <v>70</v>
      </c>
      <c r="L23" s="1"/>
      <c r="M23" s="4"/>
      <c r="N23" s="119" t="s">
        <v>380</v>
      </c>
      <c r="O23" s="158" t="s">
        <v>729</v>
      </c>
      <c r="P23" s="145" t="s">
        <v>298</v>
      </c>
    </row>
    <row r="24" spans="1:16" s="2" customFormat="1" ht="25.2" customHeight="1">
      <c r="A24" s="317" t="s">
        <v>98</v>
      </c>
      <c r="B24" s="36" t="s">
        <v>70</v>
      </c>
      <c r="C24" s="29"/>
      <c r="D24" s="37"/>
      <c r="E24" s="30"/>
      <c r="F24" s="30"/>
      <c r="G24" s="30"/>
      <c r="H24" s="30"/>
      <c r="I24" s="30"/>
      <c r="J24" s="36" t="s">
        <v>70</v>
      </c>
      <c r="L24" s="1"/>
      <c r="M24" s="4"/>
      <c r="N24" s="119" t="s">
        <v>381</v>
      </c>
      <c r="O24" s="158" t="s">
        <v>733</v>
      </c>
      <c r="P24" s="145" t="s">
        <v>298</v>
      </c>
    </row>
    <row r="25" spans="1:16" s="2" customFormat="1" ht="25.2" customHeight="1">
      <c r="A25" s="317" t="s">
        <v>98</v>
      </c>
      <c r="B25" s="36" t="s">
        <v>70</v>
      </c>
      <c r="C25" s="29"/>
      <c r="D25" s="37"/>
      <c r="E25" s="30"/>
      <c r="F25" s="30"/>
      <c r="G25" s="30"/>
      <c r="H25" s="30"/>
      <c r="I25" s="30"/>
      <c r="J25" s="36" t="s">
        <v>70</v>
      </c>
      <c r="L25" s="1"/>
      <c r="M25" s="4"/>
      <c r="N25" s="119" t="s">
        <v>378</v>
      </c>
      <c r="O25" s="158" t="s">
        <v>730</v>
      </c>
      <c r="P25" s="145" t="s">
        <v>298</v>
      </c>
    </row>
    <row r="26" spans="1:16" s="2" customFormat="1" ht="25.2" customHeight="1">
      <c r="A26" s="317" t="s">
        <v>99</v>
      </c>
      <c r="B26" s="36" t="s">
        <v>70</v>
      </c>
      <c r="C26" s="29"/>
      <c r="D26" s="37"/>
      <c r="E26" s="30"/>
      <c r="F26" s="30"/>
      <c r="G26" s="30"/>
      <c r="H26" s="30"/>
      <c r="I26" s="30"/>
      <c r="J26" s="36" t="s">
        <v>70</v>
      </c>
      <c r="L26" s="164" t="s">
        <v>384</v>
      </c>
      <c r="M26" s="4"/>
      <c r="N26" s="119" t="s">
        <v>388</v>
      </c>
      <c r="O26" s="16"/>
      <c r="P26" s="145" t="s">
        <v>298</v>
      </c>
    </row>
    <row r="27" spans="1:16" s="2" customFormat="1" ht="25.2" customHeight="1">
      <c r="A27" s="317" t="s">
        <v>99</v>
      </c>
      <c r="B27" s="36" t="s">
        <v>70</v>
      </c>
      <c r="C27" s="29"/>
      <c r="D27" s="37"/>
      <c r="E27" s="30"/>
      <c r="F27" s="30"/>
      <c r="G27" s="30"/>
      <c r="H27" s="30"/>
      <c r="I27" s="30"/>
      <c r="J27" s="166" t="s">
        <v>70</v>
      </c>
      <c r="L27" s="164" t="s">
        <v>386</v>
      </c>
      <c r="M27" s="4"/>
      <c r="N27" s="119" t="s">
        <v>385</v>
      </c>
      <c r="O27" s="16"/>
      <c r="P27" s="145" t="s">
        <v>298</v>
      </c>
    </row>
    <row r="28" spans="1:16" s="2" customFormat="1" ht="25.2" customHeight="1">
      <c r="A28" s="317" t="s">
        <v>99</v>
      </c>
      <c r="B28" s="36" t="s">
        <v>70</v>
      </c>
      <c r="C28" s="29"/>
      <c r="D28" s="37"/>
      <c r="E28" s="30"/>
      <c r="F28" s="30"/>
      <c r="G28" s="30"/>
      <c r="H28" s="30"/>
      <c r="I28" s="30"/>
      <c r="J28" s="166" t="s">
        <v>70</v>
      </c>
      <c r="K28" s="167" t="s">
        <v>70</v>
      </c>
      <c r="L28" s="1"/>
      <c r="M28" s="4"/>
      <c r="N28" s="119" t="s">
        <v>387</v>
      </c>
      <c r="O28" s="16"/>
      <c r="P28" s="145" t="s">
        <v>298</v>
      </c>
    </row>
    <row r="29" spans="1:16" s="2" customFormat="1" ht="25.2" customHeight="1">
      <c r="A29" s="317" t="s">
        <v>100</v>
      </c>
      <c r="B29" s="36"/>
      <c r="C29" s="29"/>
      <c r="D29" s="37"/>
      <c r="E29" s="30"/>
      <c r="F29" s="30"/>
      <c r="G29" s="30"/>
      <c r="H29" s="30"/>
      <c r="I29" s="30"/>
      <c r="J29" s="30"/>
      <c r="L29" s="1"/>
      <c r="M29" s="4"/>
      <c r="O29" s="16"/>
      <c r="P29" s="144"/>
    </row>
    <row r="30" spans="1:16" s="2" customFormat="1" ht="25.2" customHeight="1">
      <c r="A30" s="317"/>
      <c r="B30" s="36"/>
      <c r="C30" s="29"/>
      <c r="D30" s="37"/>
      <c r="E30" s="30"/>
      <c r="F30" s="30"/>
      <c r="G30" s="30"/>
      <c r="H30" s="30"/>
      <c r="I30" s="30"/>
      <c r="J30" s="30"/>
      <c r="L30" s="1"/>
      <c r="M30" s="4"/>
      <c r="N30" s="83"/>
      <c r="O30" s="16"/>
    </row>
    <row r="31" spans="1:16" s="2" customFormat="1" ht="25.2" customHeight="1">
      <c r="A31" s="317"/>
      <c r="B31" s="36"/>
      <c r="C31" s="29"/>
      <c r="D31" s="37"/>
      <c r="E31" s="30"/>
      <c r="F31" s="30"/>
      <c r="G31" s="30"/>
      <c r="H31" s="30"/>
      <c r="I31" s="30"/>
      <c r="J31" s="30"/>
      <c r="L31" s="1"/>
      <c r="M31" s="4"/>
      <c r="N31" s="83"/>
      <c r="O31" s="16"/>
    </row>
    <row r="32" spans="1:16" s="2" customFormat="1" ht="25.2" customHeight="1">
      <c r="A32" s="317"/>
      <c r="B32" s="36"/>
      <c r="C32" s="29"/>
      <c r="D32" s="37"/>
      <c r="E32" s="30"/>
      <c r="F32" s="30"/>
      <c r="G32" s="30"/>
      <c r="H32" s="30"/>
      <c r="I32" s="30"/>
      <c r="J32" s="30"/>
      <c r="L32" s="1"/>
      <c r="M32" s="4"/>
      <c r="N32" s="83"/>
      <c r="O32" s="16"/>
    </row>
    <row r="33" spans="1:15" s="2" customFormat="1" ht="25.2" customHeight="1">
      <c r="A33" s="317"/>
      <c r="B33" s="36"/>
      <c r="C33" s="29"/>
      <c r="D33" s="37"/>
      <c r="E33" s="30"/>
      <c r="F33" s="30"/>
      <c r="G33" s="30"/>
      <c r="H33" s="30"/>
      <c r="I33" s="30"/>
      <c r="J33" s="30"/>
      <c r="L33" s="1"/>
      <c r="M33" s="4"/>
      <c r="N33" s="83"/>
      <c r="O33" s="16"/>
    </row>
    <row r="34" spans="1:15" s="2" customFormat="1" ht="25.2" customHeight="1">
      <c r="A34" s="317"/>
      <c r="B34" s="36"/>
      <c r="C34" s="29"/>
      <c r="D34" s="37"/>
      <c r="E34" s="30"/>
      <c r="F34" s="30"/>
      <c r="G34" s="30"/>
      <c r="H34" s="30"/>
      <c r="I34" s="30"/>
      <c r="J34" s="30"/>
      <c r="L34" s="1"/>
      <c r="M34" s="4"/>
      <c r="N34" s="83"/>
      <c r="O34" s="16"/>
    </row>
    <row r="35" spans="1:15" s="2" customFormat="1" ht="25.2" customHeight="1">
      <c r="A35" s="317"/>
      <c r="B35" s="36"/>
      <c r="C35" s="29"/>
      <c r="D35" s="37"/>
      <c r="E35" s="30"/>
      <c r="F35" s="30"/>
      <c r="G35" s="30"/>
      <c r="H35" s="30"/>
      <c r="I35" s="30"/>
      <c r="J35" s="30"/>
      <c r="L35" s="1"/>
      <c r="M35" s="4"/>
      <c r="N35" s="83"/>
      <c r="O35" s="16"/>
    </row>
    <row r="36" spans="1:15" s="2" customFormat="1" ht="25.2" customHeight="1">
      <c r="A36" s="317"/>
      <c r="B36" s="36"/>
      <c r="C36" s="29"/>
      <c r="D36" s="37"/>
      <c r="E36" s="30"/>
      <c r="F36" s="30"/>
      <c r="G36" s="30"/>
      <c r="H36" s="30"/>
      <c r="I36" s="30"/>
      <c r="J36" s="30"/>
      <c r="L36" s="1"/>
      <c r="M36" s="4"/>
      <c r="N36" s="83"/>
      <c r="O36" s="16"/>
    </row>
    <row r="37" spans="1:15" s="2" customFormat="1" ht="25.2" customHeight="1">
      <c r="A37" s="317"/>
      <c r="B37" s="36"/>
      <c r="C37" s="29"/>
      <c r="D37" s="37"/>
      <c r="E37" s="30"/>
      <c r="F37" s="30"/>
      <c r="G37" s="30"/>
      <c r="H37" s="30"/>
      <c r="I37" s="30"/>
      <c r="J37" s="30"/>
      <c r="L37" s="1"/>
      <c r="M37" s="4"/>
      <c r="N37" s="83"/>
      <c r="O37" s="16"/>
    </row>
    <row r="38" spans="1:15" s="2" customFormat="1" ht="25.2" customHeight="1">
      <c r="A38" s="317"/>
      <c r="B38" s="36"/>
      <c r="C38" s="29"/>
      <c r="D38" s="37"/>
      <c r="E38" s="30"/>
      <c r="F38" s="30"/>
      <c r="G38" s="30"/>
      <c r="H38" s="30"/>
      <c r="I38" s="30"/>
      <c r="J38" s="30"/>
      <c r="L38" s="1"/>
      <c r="M38" s="4"/>
      <c r="N38" s="83"/>
      <c r="O38" s="16"/>
    </row>
    <row r="39" spans="1:15" s="2" customFormat="1" ht="25.2" customHeight="1">
      <c r="A39" s="317"/>
      <c r="B39" s="36"/>
      <c r="C39" s="29"/>
      <c r="D39" s="37"/>
      <c r="E39" s="30"/>
      <c r="F39" s="30"/>
      <c r="G39" s="30"/>
      <c r="H39" s="30"/>
      <c r="I39" s="30"/>
      <c r="J39" s="30"/>
      <c r="L39" s="1"/>
      <c r="M39" s="4"/>
      <c r="N39" s="83"/>
      <c r="O39" s="16"/>
    </row>
    <row r="40" spans="1:15" s="2" customFormat="1" ht="25.2" customHeight="1">
      <c r="A40" s="317"/>
      <c r="B40" s="36"/>
      <c r="C40" s="29"/>
      <c r="D40" s="37"/>
      <c r="E40" s="30"/>
      <c r="F40" s="30"/>
      <c r="G40" s="30"/>
      <c r="H40" s="30"/>
      <c r="I40" s="30"/>
      <c r="J40" s="30"/>
      <c r="L40" s="1"/>
      <c r="M40" s="4"/>
      <c r="N40" s="83"/>
      <c r="O40" s="16"/>
    </row>
    <row r="41" spans="1:15" s="2" customFormat="1" ht="25.2" customHeight="1">
      <c r="A41" s="317"/>
      <c r="B41" s="36"/>
      <c r="C41" s="29"/>
      <c r="D41" s="37"/>
      <c r="E41" s="30"/>
      <c r="F41" s="30"/>
      <c r="G41" s="30"/>
      <c r="H41" s="30"/>
      <c r="I41" s="30"/>
      <c r="K41" s="30"/>
      <c r="L41" s="1"/>
      <c r="M41" s="4"/>
      <c r="N41" s="83"/>
      <c r="O41" s="16"/>
    </row>
    <row r="42" spans="1:15" s="2" customFormat="1" ht="25.2" customHeight="1">
      <c r="A42" s="317"/>
      <c r="B42" s="36"/>
      <c r="C42" s="29"/>
      <c r="D42" s="37"/>
      <c r="E42" s="30"/>
      <c r="F42" s="30"/>
      <c r="G42" s="30"/>
      <c r="H42" s="30"/>
      <c r="I42" s="30"/>
      <c r="J42" s="30"/>
      <c r="L42" s="1"/>
      <c r="M42" s="4"/>
      <c r="N42" s="83"/>
      <c r="O42" s="16"/>
    </row>
    <row r="43" spans="1:15" s="2" customFormat="1" ht="25.2" customHeight="1">
      <c r="A43" s="317"/>
      <c r="B43" s="36"/>
      <c r="C43" s="29"/>
      <c r="D43" s="37"/>
      <c r="E43" s="30"/>
      <c r="F43" s="30"/>
      <c r="G43" s="30"/>
      <c r="H43" s="30"/>
      <c r="I43" s="30"/>
      <c r="J43" s="30"/>
      <c r="L43" s="1"/>
      <c r="M43" s="4"/>
      <c r="N43" s="83"/>
      <c r="O43" s="16"/>
    </row>
    <row r="44" spans="1:15" s="2" customFormat="1" ht="25.2" customHeight="1">
      <c r="A44" s="317"/>
      <c r="B44" s="36"/>
      <c r="C44" s="29"/>
      <c r="D44" s="37"/>
      <c r="E44" s="30"/>
      <c r="F44" s="30"/>
      <c r="G44" s="30"/>
      <c r="H44" s="30"/>
      <c r="I44" s="30"/>
      <c r="J44" s="30"/>
      <c r="L44" s="1"/>
      <c r="M44" s="4"/>
      <c r="N44" s="83"/>
      <c r="O44" s="16"/>
    </row>
    <row r="45" spans="1:15" s="2" customFormat="1" ht="25.2" customHeight="1">
      <c r="A45" s="317"/>
      <c r="B45" s="36"/>
      <c r="C45" s="29"/>
      <c r="D45" s="37"/>
      <c r="E45" s="30"/>
      <c r="F45" s="30"/>
      <c r="G45" s="30"/>
      <c r="H45" s="30"/>
      <c r="I45" s="30"/>
      <c r="J45" s="30"/>
      <c r="L45" s="1"/>
      <c r="M45" s="4"/>
      <c r="N45" s="83"/>
      <c r="O45" s="16"/>
    </row>
    <row r="46" spans="1:15" s="2" customFormat="1" ht="25.2" customHeight="1">
      <c r="A46" s="317"/>
      <c r="B46" s="36"/>
      <c r="C46" s="29"/>
      <c r="D46" s="37"/>
      <c r="E46" s="30"/>
      <c r="F46" s="30"/>
      <c r="G46" s="30"/>
      <c r="H46" s="30"/>
      <c r="I46" s="30"/>
      <c r="J46" s="30"/>
      <c r="L46" s="1"/>
      <c r="M46" s="4"/>
      <c r="N46" s="83"/>
      <c r="O46" s="16"/>
    </row>
    <row r="47" spans="1:15" s="2" customFormat="1" ht="25.2" customHeight="1">
      <c r="A47" s="317"/>
      <c r="B47" s="36"/>
      <c r="C47" s="29"/>
      <c r="D47" s="37"/>
      <c r="E47" s="30"/>
      <c r="F47" s="30"/>
      <c r="G47" s="30"/>
      <c r="H47" s="30"/>
      <c r="I47" s="30"/>
      <c r="J47" s="30"/>
      <c r="L47" s="1"/>
      <c r="M47" s="4"/>
      <c r="N47" s="83"/>
      <c r="O47" s="16"/>
    </row>
    <row r="48" spans="1:15" s="2" customFormat="1" ht="25.2" customHeight="1">
      <c r="A48" s="317"/>
      <c r="B48" s="36"/>
      <c r="C48" s="29"/>
      <c r="D48" s="37"/>
      <c r="E48" s="30"/>
      <c r="F48" s="30"/>
      <c r="G48" s="30"/>
      <c r="H48" s="30"/>
      <c r="I48" s="30"/>
      <c r="J48" s="30"/>
      <c r="L48" s="1"/>
      <c r="M48" s="4"/>
      <c r="N48" s="83"/>
      <c r="O48" s="16"/>
    </row>
    <row r="49" spans="1:15" s="2" customFormat="1" ht="25.2" customHeight="1">
      <c r="A49" s="317"/>
      <c r="B49" s="36"/>
      <c r="C49" s="29"/>
      <c r="D49" s="37"/>
      <c r="E49" s="30"/>
      <c r="F49" s="30"/>
      <c r="G49" s="30"/>
      <c r="H49" s="30"/>
      <c r="I49" s="30"/>
      <c r="J49" s="30"/>
      <c r="L49" s="1"/>
      <c r="M49" s="4"/>
      <c r="N49" s="83"/>
      <c r="O49" s="16"/>
    </row>
    <row r="50" spans="1:15" s="2" customFormat="1" ht="25.2" customHeight="1">
      <c r="A50" s="317"/>
      <c r="B50" s="36"/>
      <c r="C50" s="29"/>
      <c r="D50" s="37"/>
      <c r="E50" s="30"/>
      <c r="F50" s="30"/>
      <c r="G50" s="30"/>
      <c r="H50" s="30"/>
      <c r="I50" s="30"/>
      <c r="J50" s="30"/>
      <c r="L50" s="1"/>
      <c r="M50" s="4"/>
      <c r="N50" s="83"/>
      <c r="O50" s="16"/>
    </row>
    <row r="51" spans="1:15" s="2" customFormat="1" ht="25.2" customHeight="1">
      <c r="A51" s="317"/>
      <c r="B51" s="36"/>
      <c r="C51" s="29"/>
      <c r="D51" s="37"/>
      <c r="E51" s="30"/>
      <c r="F51" s="30"/>
      <c r="G51" s="30"/>
      <c r="H51" s="30"/>
      <c r="I51" s="30"/>
      <c r="J51" s="30"/>
      <c r="L51" s="1"/>
      <c r="M51" s="4"/>
      <c r="N51" s="83"/>
      <c r="O51" s="16"/>
    </row>
    <row r="52" spans="1:15" s="2" customFormat="1" ht="25.2" customHeight="1">
      <c r="A52" s="317"/>
      <c r="B52" s="36"/>
      <c r="C52" s="29"/>
      <c r="D52" s="37"/>
      <c r="E52" s="30"/>
      <c r="F52" s="30"/>
      <c r="G52" s="30"/>
      <c r="H52" s="30"/>
      <c r="I52" s="30"/>
      <c r="J52" s="30"/>
      <c r="L52" s="1"/>
      <c r="M52" s="4"/>
      <c r="N52" s="83"/>
      <c r="O52" s="16"/>
    </row>
    <row r="53" spans="1:15" s="2" customFormat="1" ht="25.2" customHeight="1">
      <c r="A53" s="317"/>
      <c r="B53" s="36"/>
      <c r="C53" s="29"/>
      <c r="D53" s="37"/>
      <c r="E53" s="30"/>
      <c r="F53" s="30"/>
      <c r="G53" s="30"/>
      <c r="H53" s="30"/>
      <c r="I53" s="30"/>
      <c r="J53" s="30"/>
      <c r="L53" s="1"/>
      <c r="M53" s="4"/>
      <c r="N53" s="83"/>
      <c r="O53" s="16"/>
    </row>
    <row r="54" spans="1:15" s="2" customFormat="1" ht="25.2" customHeight="1">
      <c r="A54" s="317"/>
      <c r="B54" s="36"/>
      <c r="C54" s="29"/>
      <c r="D54" s="37"/>
      <c r="E54" s="30"/>
      <c r="F54" s="30"/>
      <c r="G54" s="30"/>
      <c r="H54" s="30"/>
      <c r="I54" s="30"/>
      <c r="J54" s="30"/>
      <c r="L54" s="1"/>
      <c r="M54" s="4"/>
      <c r="N54" s="83"/>
      <c r="O54" s="16"/>
    </row>
    <row r="55" spans="1:15" s="2" customFormat="1" ht="25.2" customHeight="1">
      <c r="A55" s="317"/>
      <c r="B55" s="36"/>
      <c r="C55" s="29"/>
      <c r="D55" s="37"/>
      <c r="E55" s="30"/>
      <c r="F55" s="30"/>
      <c r="G55" s="30"/>
      <c r="H55" s="30"/>
      <c r="I55" s="30"/>
      <c r="J55" s="30"/>
      <c r="L55" s="1"/>
      <c r="M55" s="4"/>
      <c r="N55" s="83"/>
      <c r="O55" s="16"/>
    </row>
    <row r="56" spans="1:15" s="2" customFormat="1" ht="25.2" customHeight="1">
      <c r="A56" s="317"/>
      <c r="B56" s="36"/>
      <c r="C56" s="29"/>
      <c r="D56" s="37"/>
      <c r="E56" s="30"/>
      <c r="F56" s="30"/>
      <c r="G56" s="30"/>
      <c r="H56" s="30"/>
      <c r="I56" s="30"/>
      <c r="J56" s="30"/>
      <c r="L56" s="1"/>
      <c r="M56" s="4"/>
      <c r="N56" s="83"/>
      <c r="O56" s="16"/>
    </row>
  </sheetData>
  <phoneticPr fontId="87" type="noConversion"/>
  <hyperlinks>
    <hyperlink ref="N3" r:id="rId1" xr:uid="{4F783AE9-AC9B-45E8-A292-B45C23614131}"/>
    <hyperlink ref="N4" r:id="rId2" xr:uid="{258D0D72-8F77-4265-BC84-44725DDB05D5}"/>
    <hyperlink ref="N5" r:id="rId3" xr:uid="{ADC451DC-0C60-4CFE-BB11-A21495D237B3}"/>
    <hyperlink ref="N6" r:id="rId4" xr:uid="{5468EE0E-C3E0-413B-B047-C24430E06E07}"/>
    <hyperlink ref="N7" r:id="rId5" xr:uid="{48738AF2-12CE-4C0E-A851-911AE855AAF4}"/>
    <hyperlink ref="N8" r:id="rId6" xr:uid="{60A0B368-1D87-44A3-9B21-326B1893046E}"/>
    <hyperlink ref="N9" r:id="rId7" xr:uid="{50876A1F-8A24-4679-9F73-6AC2F89CC22C}"/>
    <hyperlink ref="N11" r:id="rId8" xr:uid="{A8F90B6A-67DE-40C9-AA34-C841E0C4DD7D}"/>
    <hyperlink ref="N12" r:id="rId9" xr:uid="{82EC37C8-3DE3-4D76-A7CC-B0284DFED8EA}"/>
    <hyperlink ref="N13" r:id="rId10" xr:uid="{39D03699-492E-45AE-9E3C-D4DFC08EE1D5}"/>
    <hyperlink ref="N14" r:id="rId11" xr:uid="{84828062-2C2B-4B35-97CD-2765716673D2}"/>
    <hyperlink ref="N16" r:id="rId12" xr:uid="{E72D03F8-47A7-4A55-B690-4CD83E029C89}"/>
    <hyperlink ref="N17" r:id="rId13" xr:uid="{5572535E-F3C1-4F52-B41F-DF5EA3CB55B1}"/>
    <hyperlink ref="N18" r:id="rId14" xr:uid="{5451566C-E604-481C-8BCA-1CD72BED9836}"/>
    <hyperlink ref="N19" r:id="rId15" xr:uid="{D1AE63FD-DC38-4A86-8C0F-ADE4992BD8BF}"/>
    <hyperlink ref="N20" r:id="rId16" xr:uid="{5E650C5A-BB8D-4E3E-8197-47A429D86A00}"/>
    <hyperlink ref="N21" r:id="rId17" xr:uid="{A5E45778-D99D-49A4-A266-5E9FE5FB5B26}"/>
    <hyperlink ref="N22" r:id="rId18" xr:uid="{1021E485-7F30-420D-8F84-8E0C8AFD41CF}"/>
    <hyperlink ref="N23" r:id="rId19" xr:uid="{20907C2B-FD5C-400D-A358-0731913407D2}"/>
    <hyperlink ref="N24" r:id="rId20" xr:uid="{76821FDE-202A-4277-9987-EB5230BD8933}"/>
    <hyperlink ref="N25" r:id="rId21" xr:uid="{B1B28BE8-EF64-4DA8-8F0D-87063B581758}"/>
    <hyperlink ref="N26" r:id="rId22" xr:uid="{D768ABE4-DFF9-4D25-AA6A-083D387DF00B}"/>
    <hyperlink ref="N27" r:id="rId23" xr:uid="{1FA1BB40-559B-4BC6-A0D0-9059D5527CF4}"/>
    <hyperlink ref="N28" r:id="rId24" xr:uid="{65632F16-2748-41E5-9637-7FF9DB327DC3}"/>
    <hyperlink ref="N10" r:id="rId25" xr:uid="{E86D314B-0E89-4414-9DE7-8E0580C6D385}"/>
  </hyperlinks>
  <pageMargins left="0.7" right="0.7" top="0.78740157499999996" bottom="0.78740157499999996" header="0.3" footer="0.3"/>
  <pageSetup paperSize="9" orientation="portrait" r:id="rId2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8F66-5329-44D9-89B8-0F28AA35D24B}">
  <sheetPr codeName="Tabelle6"/>
  <dimension ref="A1:S102"/>
  <sheetViews>
    <sheetView workbookViewId="0">
      <pane ySplit="1" topLeftCell="A2" activePane="bottomLeft" state="frozen"/>
      <selection activeCell="K2" sqref="K2"/>
      <selection pane="bottomLeft" activeCell="A2" sqref="A2"/>
    </sheetView>
  </sheetViews>
  <sheetFormatPr baseColWidth="10" defaultColWidth="11.5546875" defaultRowHeight="15.6"/>
  <cols>
    <col min="1" max="1" width="8.33203125" style="320" customWidth="1"/>
    <col min="2" max="10" width="3.6640625" style="33" bestFit="1" customWidth="1"/>
    <col min="11" max="11" width="6.6640625" style="174" bestFit="1" customWidth="1"/>
    <col min="12" max="12" width="29" style="79" bestFit="1" customWidth="1"/>
    <col min="13" max="13" width="23.44140625" style="17" bestFit="1" customWidth="1"/>
    <col min="14" max="14" width="40.44140625" style="135" bestFit="1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15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133" t="s">
        <v>14</v>
      </c>
      <c r="O1" s="23" t="s">
        <v>95</v>
      </c>
    </row>
    <row r="2" spans="1:16" s="2" customFormat="1" ht="25.2" customHeight="1">
      <c r="A2" s="316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N2" s="134"/>
      <c r="O2" s="11"/>
    </row>
    <row r="3" spans="1:16" s="2" customFormat="1" ht="25.2" customHeight="1">
      <c r="A3" s="317" t="s">
        <v>99</v>
      </c>
      <c r="B3" s="29" t="s">
        <v>70</v>
      </c>
      <c r="C3" s="29" t="s">
        <v>70</v>
      </c>
      <c r="D3" s="30" t="s">
        <v>70</v>
      </c>
      <c r="E3" s="30"/>
      <c r="F3" s="30"/>
      <c r="G3" s="30"/>
      <c r="H3" s="30"/>
      <c r="I3" s="30"/>
      <c r="J3" s="30"/>
      <c r="L3" s="1" t="s">
        <v>10</v>
      </c>
      <c r="M3" s="245" t="s">
        <v>9</v>
      </c>
      <c r="N3" s="119" t="s">
        <v>164</v>
      </c>
      <c r="O3" s="87" t="s">
        <v>62</v>
      </c>
      <c r="P3" s="144"/>
    </row>
    <row r="4" spans="1:16" s="2" customFormat="1" ht="25.2" customHeight="1">
      <c r="A4" s="317" t="s">
        <v>99</v>
      </c>
      <c r="B4" s="29" t="s">
        <v>70</v>
      </c>
      <c r="C4" s="29" t="s">
        <v>70</v>
      </c>
      <c r="D4" s="30" t="s">
        <v>70</v>
      </c>
      <c r="E4" s="30"/>
      <c r="F4" s="30"/>
      <c r="G4" s="30"/>
      <c r="H4" s="30"/>
      <c r="I4" s="30"/>
      <c r="J4" s="30"/>
      <c r="L4" s="1" t="s">
        <v>25</v>
      </c>
      <c r="M4" s="245" t="s">
        <v>16</v>
      </c>
      <c r="N4" s="119" t="s">
        <v>165</v>
      </c>
      <c r="O4" s="249" t="s">
        <v>117</v>
      </c>
      <c r="P4" s="144"/>
    </row>
    <row r="5" spans="1:16" s="2" customFormat="1" ht="25.2" customHeight="1">
      <c r="A5" s="317" t="s">
        <v>99</v>
      </c>
      <c r="B5" s="29" t="s">
        <v>70</v>
      </c>
      <c r="C5" s="29" t="s">
        <v>70</v>
      </c>
      <c r="D5" s="30" t="s">
        <v>70</v>
      </c>
      <c r="E5" s="30"/>
      <c r="F5" s="30"/>
      <c r="G5" s="30"/>
      <c r="H5" s="30"/>
      <c r="I5" s="30"/>
      <c r="J5" s="30"/>
      <c r="L5" s="1" t="s">
        <v>12</v>
      </c>
      <c r="M5" s="245"/>
      <c r="N5" s="119" t="s">
        <v>166</v>
      </c>
      <c r="O5" s="249" t="s">
        <v>117</v>
      </c>
      <c r="P5" s="144"/>
    </row>
    <row r="6" spans="1:16" s="2" customFormat="1" ht="25.2" customHeight="1">
      <c r="A6" s="317" t="s">
        <v>99</v>
      </c>
      <c r="B6" s="29" t="s">
        <v>70</v>
      </c>
      <c r="C6" s="29"/>
      <c r="D6" s="30" t="s">
        <v>70</v>
      </c>
      <c r="E6" s="30"/>
      <c r="F6" s="30"/>
      <c r="G6" s="30"/>
      <c r="H6" s="30"/>
      <c r="I6" s="30"/>
      <c r="J6" s="30"/>
      <c r="L6" s="1" t="s">
        <v>20</v>
      </c>
      <c r="M6" s="245"/>
      <c r="N6" s="119" t="s">
        <v>688</v>
      </c>
      <c r="O6" s="249" t="s">
        <v>117</v>
      </c>
      <c r="P6" s="144"/>
    </row>
    <row r="7" spans="1:16" s="2" customFormat="1" ht="25.2" customHeight="1">
      <c r="A7" s="317" t="s">
        <v>98</v>
      </c>
      <c r="B7" s="29" t="s">
        <v>70</v>
      </c>
      <c r="C7" s="29"/>
      <c r="D7" s="30" t="s">
        <v>70</v>
      </c>
      <c r="E7" s="30"/>
      <c r="F7" s="30"/>
      <c r="G7" s="30"/>
      <c r="H7" s="30"/>
      <c r="I7" s="30"/>
      <c r="J7" s="30"/>
      <c r="L7" s="1"/>
      <c r="M7" s="245"/>
      <c r="N7" s="119" t="s">
        <v>689</v>
      </c>
      <c r="O7" s="252"/>
      <c r="P7" s="144"/>
    </row>
    <row r="8" spans="1:16" ht="20.100000000000001" customHeight="1">
      <c r="A8" s="317" t="s">
        <v>99</v>
      </c>
      <c r="B8" s="29" t="s">
        <v>70</v>
      </c>
      <c r="C8" s="29"/>
      <c r="D8" s="30"/>
      <c r="E8" s="95" t="s">
        <v>70</v>
      </c>
      <c r="F8" s="30"/>
      <c r="G8" s="30"/>
      <c r="H8" s="30"/>
      <c r="I8" s="30"/>
      <c r="J8" s="30"/>
      <c r="L8" s="96" t="s">
        <v>234</v>
      </c>
      <c r="M8" s="175" t="s">
        <v>221</v>
      </c>
      <c r="N8" s="119" t="s">
        <v>300</v>
      </c>
      <c r="O8" s="249" t="s">
        <v>117</v>
      </c>
      <c r="P8" s="150" t="s">
        <v>298</v>
      </c>
    </row>
    <row r="9" spans="1:16" ht="20.100000000000001" customHeight="1">
      <c r="A9" s="317" t="s">
        <v>99</v>
      </c>
      <c r="B9" s="29" t="s">
        <v>70</v>
      </c>
      <c r="C9" s="29"/>
      <c r="D9" s="30"/>
      <c r="E9" s="121"/>
      <c r="F9" s="30"/>
      <c r="G9" s="30"/>
      <c r="H9" s="30"/>
      <c r="I9" s="95" t="s">
        <v>70</v>
      </c>
      <c r="J9" s="30"/>
      <c r="L9" s="96" t="s">
        <v>235</v>
      </c>
      <c r="M9" s="245"/>
      <c r="N9" s="119" t="s">
        <v>301</v>
      </c>
      <c r="O9" s="11"/>
      <c r="P9" s="150" t="s">
        <v>298</v>
      </c>
    </row>
    <row r="10" spans="1:16" ht="20.100000000000001" customHeight="1">
      <c r="A10" s="317" t="s">
        <v>99</v>
      </c>
      <c r="B10" s="29" t="s">
        <v>70</v>
      </c>
      <c r="C10" s="29"/>
      <c r="D10" s="30"/>
      <c r="E10" s="30"/>
      <c r="F10" s="30"/>
      <c r="G10" s="30"/>
      <c r="H10" s="30"/>
      <c r="I10" s="30"/>
      <c r="J10" s="30"/>
      <c r="K10" s="174" t="s">
        <v>70</v>
      </c>
      <c r="L10" s="164" t="s">
        <v>480</v>
      </c>
      <c r="M10" s="245"/>
      <c r="N10" s="119" t="s">
        <v>473</v>
      </c>
      <c r="O10" s="11"/>
      <c r="P10" s="150" t="s">
        <v>298</v>
      </c>
    </row>
    <row r="11" spans="1:16" ht="20.100000000000001" customHeight="1">
      <c r="A11" s="317" t="s">
        <v>98</v>
      </c>
      <c r="B11" s="29" t="s">
        <v>70</v>
      </c>
      <c r="C11" s="29"/>
      <c r="D11" s="30"/>
      <c r="E11" s="30"/>
      <c r="F11" s="30"/>
      <c r="G11" s="30"/>
      <c r="H11" s="30"/>
      <c r="I11" s="30"/>
      <c r="J11" s="30"/>
      <c r="K11" s="174" t="s">
        <v>70</v>
      </c>
      <c r="L11" s="164" t="s">
        <v>481</v>
      </c>
      <c r="M11" s="245"/>
      <c r="N11" s="119" t="s">
        <v>474</v>
      </c>
      <c r="O11" s="11"/>
      <c r="P11" s="150" t="s">
        <v>298</v>
      </c>
    </row>
    <row r="12" spans="1:16" ht="20.100000000000001" customHeight="1">
      <c r="A12" s="317" t="s">
        <v>99</v>
      </c>
      <c r="B12" s="29" t="s">
        <v>70</v>
      </c>
      <c r="C12" s="29"/>
      <c r="D12" s="30"/>
      <c r="E12" s="30"/>
      <c r="F12" s="30"/>
      <c r="G12" s="166" t="s">
        <v>70</v>
      </c>
      <c r="H12" s="30"/>
      <c r="I12" s="30"/>
      <c r="J12" s="30"/>
      <c r="L12" s="164" t="s">
        <v>482</v>
      </c>
      <c r="M12" s="245" t="s">
        <v>143</v>
      </c>
      <c r="N12" s="119" t="s">
        <v>476</v>
      </c>
      <c r="O12" s="11"/>
      <c r="P12" s="150" t="s">
        <v>298</v>
      </c>
    </row>
    <row r="13" spans="1:16" ht="20.100000000000001" customHeight="1">
      <c r="A13" s="317" t="s">
        <v>99</v>
      </c>
      <c r="B13" s="29" t="s">
        <v>70</v>
      </c>
      <c r="C13" s="29"/>
      <c r="D13" s="30"/>
      <c r="E13" s="30"/>
      <c r="F13" s="30"/>
      <c r="G13" s="166" t="s">
        <v>70</v>
      </c>
      <c r="H13" s="30"/>
      <c r="I13" s="30"/>
      <c r="J13" s="30"/>
      <c r="L13" s="164" t="s">
        <v>483</v>
      </c>
      <c r="M13" s="245" t="s">
        <v>143</v>
      </c>
      <c r="N13" s="119" t="s">
        <v>475</v>
      </c>
      <c r="O13" s="11"/>
      <c r="P13" s="150" t="s">
        <v>298</v>
      </c>
    </row>
    <row r="14" spans="1:16" ht="20.100000000000001" customHeight="1">
      <c r="A14" s="317" t="s">
        <v>99</v>
      </c>
      <c r="B14" s="29" t="s">
        <v>70</v>
      </c>
      <c r="C14" s="29"/>
      <c r="D14" s="30"/>
      <c r="E14" s="30"/>
      <c r="F14" s="30"/>
      <c r="G14" s="166" t="s">
        <v>70</v>
      </c>
      <c r="H14" s="30"/>
      <c r="I14" s="30"/>
      <c r="J14" s="30"/>
      <c r="L14" s="164" t="s">
        <v>482</v>
      </c>
      <c r="M14" s="245" t="s">
        <v>143</v>
      </c>
      <c r="N14" s="119" t="s">
        <v>476</v>
      </c>
      <c r="O14" s="11"/>
      <c r="P14" s="150" t="s">
        <v>298</v>
      </c>
    </row>
    <row r="15" spans="1:16" ht="20.100000000000001" customHeight="1">
      <c r="A15" s="317" t="s">
        <v>99</v>
      </c>
      <c r="B15" s="29" t="s">
        <v>70</v>
      </c>
      <c r="C15" s="29"/>
      <c r="D15" s="30"/>
      <c r="E15" s="30"/>
      <c r="F15" s="30"/>
      <c r="G15" s="166" t="s">
        <v>70</v>
      </c>
      <c r="H15" s="30"/>
      <c r="I15" s="30"/>
      <c r="J15" s="30"/>
      <c r="L15" s="164" t="s">
        <v>484</v>
      </c>
      <c r="M15" s="245" t="s">
        <v>143</v>
      </c>
      <c r="N15" s="119" t="s">
        <v>477</v>
      </c>
      <c r="O15" s="11"/>
      <c r="P15" s="150" t="s">
        <v>298</v>
      </c>
    </row>
    <row r="16" spans="1:16" ht="20.100000000000001" customHeight="1">
      <c r="A16" s="317" t="s">
        <v>99</v>
      </c>
      <c r="B16" s="29" t="s">
        <v>70</v>
      </c>
      <c r="C16" s="29"/>
      <c r="D16" s="30"/>
      <c r="E16" s="30"/>
      <c r="F16" s="30"/>
      <c r="G16" s="166" t="s">
        <v>70</v>
      </c>
      <c r="H16" s="30"/>
      <c r="I16" s="30"/>
      <c r="J16" s="30"/>
      <c r="L16" s="164" t="s">
        <v>485</v>
      </c>
      <c r="M16" s="245" t="s">
        <v>143</v>
      </c>
      <c r="N16" s="119" t="s">
        <v>478</v>
      </c>
      <c r="O16" s="11"/>
      <c r="P16" s="150" t="s">
        <v>298</v>
      </c>
    </row>
    <row r="17" spans="1:16" ht="20.100000000000001" customHeight="1">
      <c r="A17" s="317" t="s">
        <v>99</v>
      </c>
      <c r="B17" s="29" t="s">
        <v>70</v>
      </c>
      <c r="C17" s="29"/>
      <c r="D17" s="30"/>
      <c r="E17" s="30"/>
      <c r="F17" s="30"/>
      <c r="G17" s="166" t="s">
        <v>70</v>
      </c>
      <c r="H17" s="30"/>
      <c r="I17" s="30"/>
      <c r="J17" s="30"/>
      <c r="L17" s="164" t="s">
        <v>486</v>
      </c>
      <c r="M17" s="245" t="s">
        <v>143</v>
      </c>
      <c r="N17" s="119" t="s">
        <v>479</v>
      </c>
      <c r="O17" s="11"/>
      <c r="P17" s="150" t="s">
        <v>298</v>
      </c>
    </row>
    <row r="18" spans="1:16" ht="20.100000000000001" customHeight="1">
      <c r="A18" s="317" t="s">
        <v>99</v>
      </c>
      <c r="B18" s="29" t="s">
        <v>70</v>
      </c>
      <c r="C18" s="29"/>
      <c r="D18" s="30"/>
      <c r="E18" s="30"/>
      <c r="F18" s="30"/>
      <c r="G18" s="30"/>
      <c r="H18" s="30"/>
      <c r="J18" s="166" t="s">
        <v>70</v>
      </c>
      <c r="L18" s="164" t="s">
        <v>493</v>
      </c>
      <c r="M18" s="245" t="s">
        <v>332</v>
      </c>
      <c r="N18" s="119" t="s">
        <v>490</v>
      </c>
      <c r="O18" s="250" t="s">
        <v>340</v>
      </c>
      <c r="P18" s="150" t="s">
        <v>298</v>
      </c>
    </row>
    <row r="19" spans="1:16" ht="20.100000000000001" customHeight="1">
      <c r="A19" s="317" t="s">
        <v>98</v>
      </c>
      <c r="B19" s="29" t="s">
        <v>70</v>
      </c>
      <c r="C19" s="29"/>
      <c r="D19" s="30"/>
      <c r="E19" s="30"/>
      <c r="F19" s="30"/>
      <c r="G19" s="30"/>
      <c r="H19" s="30"/>
      <c r="J19" s="166" t="s">
        <v>70</v>
      </c>
      <c r="L19" s="1"/>
      <c r="M19" s="245" t="s">
        <v>332</v>
      </c>
      <c r="N19" s="119" t="s">
        <v>487</v>
      </c>
      <c r="O19" s="250" t="s">
        <v>340</v>
      </c>
      <c r="P19" s="150" t="s">
        <v>298</v>
      </c>
    </row>
    <row r="20" spans="1:16" ht="20.100000000000001" customHeight="1">
      <c r="A20" s="317" t="s">
        <v>98</v>
      </c>
      <c r="B20" s="29" t="s">
        <v>70</v>
      </c>
      <c r="C20" s="29"/>
      <c r="D20" s="30"/>
      <c r="E20" s="30"/>
      <c r="F20" s="30"/>
      <c r="G20" s="30"/>
      <c r="H20" s="30"/>
      <c r="J20" s="166" t="s">
        <v>70</v>
      </c>
      <c r="L20" s="1"/>
      <c r="M20" s="245" t="s">
        <v>332</v>
      </c>
      <c r="N20" s="119" t="s">
        <v>488</v>
      </c>
      <c r="O20" s="250" t="s">
        <v>494</v>
      </c>
      <c r="P20" s="150" t="s">
        <v>298</v>
      </c>
    </row>
    <row r="21" spans="1:16" ht="20.100000000000001" customHeight="1">
      <c r="A21" s="317" t="s">
        <v>98</v>
      </c>
      <c r="B21" s="29" t="s">
        <v>70</v>
      </c>
      <c r="C21" s="29"/>
      <c r="D21" s="30"/>
      <c r="E21" s="30"/>
      <c r="F21" s="30"/>
      <c r="G21" s="30"/>
      <c r="H21" s="30"/>
      <c r="J21" s="166" t="s">
        <v>70</v>
      </c>
      <c r="L21" s="1"/>
      <c r="M21" s="245" t="s">
        <v>332</v>
      </c>
      <c r="N21" s="119" t="s">
        <v>491</v>
      </c>
      <c r="O21" s="250" t="s">
        <v>339</v>
      </c>
      <c r="P21" s="150" t="s">
        <v>298</v>
      </c>
    </row>
    <row r="22" spans="1:16" ht="20.100000000000001" customHeight="1">
      <c r="A22" s="317" t="s">
        <v>98</v>
      </c>
      <c r="B22" s="29" t="s">
        <v>70</v>
      </c>
      <c r="C22" s="29"/>
      <c r="D22" s="30"/>
      <c r="E22" s="30"/>
      <c r="F22" s="30"/>
      <c r="G22" s="30"/>
      <c r="H22" s="30"/>
      <c r="J22" s="166" t="s">
        <v>70</v>
      </c>
      <c r="L22" s="1"/>
      <c r="M22" s="245" t="s">
        <v>332</v>
      </c>
      <c r="N22" s="119" t="s">
        <v>492</v>
      </c>
      <c r="O22" s="250" t="s">
        <v>339</v>
      </c>
      <c r="P22" s="150" t="s">
        <v>298</v>
      </c>
    </row>
    <row r="23" spans="1:16" ht="20.100000000000001" customHeight="1">
      <c r="A23" s="317" t="s">
        <v>98</v>
      </c>
      <c r="B23" s="29" t="s">
        <v>70</v>
      </c>
      <c r="C23" s="29"/>
      <c r="D23" s="30"/>
      <c r="E23" s="30"/>
      <c r="F23" s="30"/>
      <c r="G23" s="30"/>
      <c r="H23" s="30"/>
      <c r="J23" s="166" t="s">
        <v>70</v>
      </c>
      <c r="L23" s="1"/>
      <c r="M23" s="245" t="s">
        <v>332</v>
      </c>
      <c r="N23" s="119" t="s">
        <v>496</v>
      </c>
      <c r="O23" s="250" t="s">
        <v>495</v>
      </c>
      <c r="P23" s="150" t="s">
        <v>298</v>
      </c>
    </row>
    <row r="24" spans="1:16" ht="20.100000000000001" customHeight="1">
      <c r="A24" s="317" t="s">
        <v>98</v>
      </c>
      <c r="B24" s="29" t="s">
        <v>70</v>
      </c>
      <c r="C24" s="29"/>
      <c r="D24" s="30"/>
      <c r="E24" s="30"/>
      <c r="F24" s="30"/>
      <c r="G24" s="30"/>
      <c r="H24" s="30"/>
      <c r="J24" s="166" t="s">
        <v>70</v>
      </c>
      <c r="L24" s="1"/>
      <c r="M24" s="245" t="s">
        <v>332</v>
      </c>
      <c r="N24" s="119" t="s">
        <v>489</v>
      </c>
      <c r="O24" s="250" t="s">
        <v>493</v>
      </c>
      <c r="P24" s="150" t="s">
        <v>298</v>
      </c>
    </row>
    <row r="25" spans="1:16" ht="20.100000000000001" customHeight="1">
      <c r="A25" s="317" t="s">
        <v>99</v>
      </c>
      <c r="B25" s="29" t="s">
        <v>70</v>
      </c>
      <c r="C25" s="29"/>
      <c r="D25" s="30"/>
      <c r="E25" s="30"/>
      <c r="F25" s="30"/>
      <c r="G25" s="30"/>
      <c r="H25" s="30"/>
      <c r="J25" s="166" t="s">
        <v>70</v>
      </c>
      <c r="L25" s="1" t="s">
        <v>499</v>
      </c>
      <c r="M25" s="245" t="s">
        <v>332</v>
      </c>
      <c r="N25" s="119" t="s">
        <v>497</v>
      </c>
      <c r="O25" s="250" t="s">
        <v>340</v>
      </c>
      <c r="P25" s="150" t="s">
        <v>298</v>
      </c>
    </row>
    <row r="26" spans="1:16" ht="20.100000000000001" customHeight="1">
      <c r="A26" s="317" t="s">
        <v>98</v>
      </c>
      <c r="B26" s="29" t="s">
        <v>70</v>
      </c>
      <c r="C26" s="29"/>
      <c r="D26" s="30"/>
      <c r="E26" s="30"/>
      <c r="F26" s="30"/>
      <c r="G26" s="30"/>
      <c r="H26" s="30"/>
      <c r="J26" s="166" t="s">
        <v>70</v>
      </c>
      <c r="L26" s="1"/>
      <c r="M26" s="245" t="s">
        <v>332</v>
      </c>
      <c r="N26" s="119" t="s">
        <v>498</v>
      </c>
      <c r="O26" s="250" t="s">
        <v>339</v>
      </c>
      <c r="P26" s="150" t="s">
        <v>298</v>
      </c>
    </row>
    <row r="27" spans="1:16" ht="20.100000000000001" customHeight="1">
      <c r="A27" s="317" t="s">
        <v>99</v>
      </c>
      <c r="B27" s="29" t="s">
        <v>70</v>
      </c>
      <c r="C27" s="29"/>
      <c r="D27" s="30"/>
      <c r="E27" s="30"/>
      <c r="F27" s="30"/>
      <c r="G27" s="30"/>
      <c r="H27" s="30"/>
      <c r="J27" s="166" t="s">
        <v>70</v>
      </c>
      <c r="L27" s="275" t="s">
        <v>713</v>
      </c>
      <c r="M27" s="275" t="s">
        <v>332</v>
      </c>
      <c r="N27" s="119" t="s">
        <v>716</v>
      </c>
      <c r="O27" s="250"/>
      <c r="P27" s="150" t="s">
        <v>298</v>
      </c>
    </row>
    <row r="28" spans="1:16" ht="20.100000000000001" customHeight="1">
      <c r="A28" s="317" t="s">
        <v>98</v>
      </c>
      <c r="B28" s="29" t="s">
        <v>70</v>
      </c>
      <c r="C28" s="29"/>
      <c r="D28" s="30"/>
      <c r="E28" s="30"/>
      <c r="F28" s="30"/>
      <c r="G28" s="30"/>
      <c r="H28" s="30"/>
      <c r="J28" s="166" t="s">
        <v>70</v>
      </c>
      <c r="L28" s="1"/>
      <c r="M28" s="245"/>
      <c r="N28" s="119" t="s">
        <v>712</v>
      </c>
      <c r="O28" s="276" t="s">
        <v>9</v>
      </c>
      <c r="P28" s="149"/>
    </row>
    <row r="29" spans="1:16" ht="20.100000000000001" customHeight="1">
      <c r="A29" s="317" t="s">
        <v>99</v>
      </c>
      <c r="B29" s="29" t="s">
        <v>70</v>
      </c>
      <c r="C29" s="29"/>
      <c r="D29" s="30"/>
      <c r="E29" s="30"/>
      <c r="F29" s="30"/>
      <c r="G29" s="30"/>
      <c r="H29" s="30"/>
      <c r="J29" s="166" t="s">
        <v>70</v>
      </c>
      <c r="L29" s="275" t="s">
        <v>714</v>
      </c>
      <c r="M29" s="275" t="s">
        <v>715</v>
      </c>
      <c r="N29" s="119" t="s">
        <v>712</v>
      </c>
      <c r="O29" s="250"/>
      <c r="P29" s="149"/>
    </row>
    <row r="30" spans="1:16" ht="20.100000000000001" customHeight="1">
      <c r="A30" s="317" t="s">
        <v>99</v>
      </c>
      <c r="B30" s="29" t="s">
        <v>70</v>
      </c>
      <c r="C30" s="29"/>
      <c r="D30" s="30"/>
      <c r="E30" s="30"/>
      <c r="F30" s="30"/>
      <c r="G30" s="30"/>
      <c r="H30" s="30"/>
      <c r="J30" s="166"/>
      <c r="K30" s="166" t="s">
        <v>70</v>
      </c>
      <c r="L30" s="1" t="s">
        <v>503</v>
      </c>
      <c r="M30" s="245" t="s">
        <v>504</v>
      </c>
      <c r="N30" s="119" t="s">
        <v>500</v>
      </c>
      <c r="O30" s="250"/>
      <c r="P30" s="150" t="s">
        <v>298</v>
      </c>
    </row>
    <row r="31" spans="1:16" ht="20.100000000000001" customHeight="1">
      <c r="A31" s="317" t="s">
        <v>98</v>
      </c>
      <c r="B31" s="29" t="s">
        <v>70</v>
      </c>
      <c r="C31" s="29"/>
      <c r="D31" s="30"/>
      <c r="E31" s="30"/>
      <c r="F31" s="30"/>
      <c r="G31" s="30"/>
      <c r="H31" s="30"/>
      <c r="J31" s="166"/>
      <c r="K31" s="166" t="s">
        <v>70</v>
      </c>
      <c r="L31" s="1"/>
      <c r="M31" s="245"/>
      <c r="N31" s="119" t="s">
        <v>501</v>
      </c>
      <c r="O31" s="250"/>
      <c r="P31" s="150" t="s">
        <v>298</v>
      </c>
    </row>
    <row r="32" spans="1:16" ht="20.100000000000001" customHeight="1">
      <c r="A32" s="317" t="s">
        <v>98</v>
      </c>
      <c r="B32" s="29" t="s">
        <v>70</v>
      </c>
      <c r="C32" s="29"/>
      <c r="D32" s="30"/>
      <c r="E32" s="30"/>
      <c r="F32" s="30"/>
      <c r="G32" s="30"/>
      <c r="H32" s="30"/>
      <c r="J32" s="166"/>
      <c r="K32" s="174" t="s">
        <v>70</v>
      </c>
      <c r="L32" s="1"/>
      <c r="M32" s="245"/>
      <c r="N32" s="119" t="s">
        <v>502</v>
      </c>
      <c r="O32" s="250"/>
      <c r="P32" s="150" t="s">
        <v>298</v>
      </c>
    </row>
    <row r="33" spans="1:19" ht="20.100000000000001" customHeight="1">
      <c r="A33" s="317" t="s">
        <v>99</v>
      </c>
      <c r="B33" s="29" t="s">
        <v>70</v>
      </c>
      <c r="C33" s="29"/>
      <c r="D33" s="30"/>
      <c r="E33" s="30"/>
      <c r="F33" s="30"/>
      <c r="G33" s="30"/>
      <c r="H33" s="30"/>
      <c r="J33" s="214" t="s">
        <v>70</v>
      </c>
      <c r="K33" s="166" t="s">
        <v>70</v>
      </c>
      <c r="L33" s="213" t="s">
        <v>612</v>
      </c>
      <c r="M33" s="245" t="s">
        <v>610</v>
      </c>
      <c r="N33" s="119" t="s">
        <v>608</v>
      </c>
      <c r="O33" s="250"/>
      <c r="P33" s="150" t="s">
        <v>298</v>
      </c>
    </row>
    <row r="34" spans="1:19" ht="20.100000000000001" customHeight="1">
      <c r="A34" s="317" t="s">
        <v>99</v>
      </c>
      <c r="B34" s="29" t="s">
        <v>70</v>
      </c>
      <c r="C34" s="29"/>
      <c r="D34" s="30"/>
      <c r="E34" s="30"/>
      <c r="F34" s="30"/>
      <c r="G34" s="30"/>
      <c r="H34" s="30"/>
      <c r="J34" s="214" t="s">
        <v>70</v>
      </c>
      <c r="K34" s="166" t="s">
        <v>70</v>
      </c>
      <c r="L34" s="213" t="s">
        <v>613</v>
      </c>
      <c r="M34" s="245" t="s">
        <v>611</v>
      </c>
      <c r="N34" s="119" t="s">
        <v>609</v>
      </c>
      <c r="O34" s="250"/>
      <c r="P34" s="150" t="s">
        <v>298</v>
      </c>
    </row>
    <row r="35" spans="1:19" ht="20.100000000000001" customHeight="1">
      <c r="A35" s="317" t="s">
        <v>99</v>
      </c>
      <c r="B35" s="247" t="s">
        <v>70</v>
      </c>
      <c r="C35" s="29"/>
      <c r="D35" s="30"/>
      <c r="E35" s="30"/>
      <c r="F35" s="30"/>
      <c r="G35" s="30"/>
      <c r="H35" s="30"/>
      <c r="J35" s="248" t="s">
        <v>70</v>
      </c>
      <c r="L35" s="245" t="s">
        <v>660</v>
      </c>
      <c r="M35" s="245" t="s">
        <v>392</v>
      </c>
      <c r="N35" s="119" t="s">
        <v>657</v>
      </c>
      <c r="O35" s="251" t="s">
        <v>659</v>
      </c>
      <c r="P35" s="150" t="s">
        <v>298</v>
      </c>
    </row>
    <row r="36" spans="1:19" ht="20.100000000000001" customHeight="1">
      <c r="A36" s="317" t="s">
        <v>98</v>
      </c>
      <c r="B36" s="247" t="s">
        <v>70</v>
      </c>
      <c r="C36" s="29"/>
      <c r="D36" s="30"/>
      <c r="E36" s="30"/>
      <c r="F36" s="30"/>
      <c r="G36" s="30"/>
      <c r="H36" s="30"/>
      <c r="J36" s="248" t="s">
        <v>70</v>
      </c>
      <c r="L36" s="1"/>
      <c r="N36" s="119" t="s">
        <v>658</v>
      </c>
      <c r="O36" s="250"/>
      <c r="P36" s="150" t="s">
        <v>298</v>
      </c>
    </row>
    <row r="37" spans="1:19" ht="20.100000000000001" customHeight="1">
      <c r="A37" s="317" t="s">
        <v>99</v>
      </c>
      <c r="B37" s="247" t="s">
        <v>70</v>
      </c>
      <c r="C37" s="29"/>
      <c r="D37" s="30"/>
      <c r="E37" s="30"/>
      <c r="F37" s="30"/>
      <c r="G37" s="30"/>
      <c r="H37" s="30"/>
      <c r="J37" s="373" t="s">
        <v>70</v>
      </c>
      <c r="L37" s="370" t="s">
        <v>844</v>
      </c>
      <c r="N37" s="119" t="s">
        <v>683</v>
      </c>
      <c r="O37" s="250"/>
      <c r="P37" s="150" t="s">
        <v>298</v>
      </c>
    </row>
    <row r="38" spans="1:19" ht="20.100000000000001" customHeight="1">
      <c r="A38" s="317" t="s">
        <v>99</v>
      </c>
      <c r="B38" s="247" t="s">
        <v>70</v>
      </c>
      <c r="C38" s="29"/>
      <c r="D38" s="30"/>
      <c r="E38" s="30"/>
      <c r="F38" s="30"/>
      <c r="G38" s="30"/>
      <c r="H38" s="30"/>
      <c r="J38" s="373" t="s">
        <v>70</v>
      </c>
      <c r="L38" s="370" t="s">
        <v>840</v>
      </c>
      <c r="N38" s="119" t="s">
        <v>820</v>
      </c>
      <c r="O38" s="250"/>
      <c r="P38" s="150" t="s">
        <v>298</v>
      </c>
    </row>
    <row r="39" spans="1:19" ht="20.100000000000001" customHeight="1">
      <c r="A39" s="317" t="s">
        <v>98</v>
      </c>
      <c r="B39" s="247" t="s">
        <v>70</v>
      </c>
      <c r="C39" s="29"/>
      <c r="D39" s="30"/>
      <c r="E39" s="30"/>
      <c r="F39" s="30"/>
      <c r="G39" s="30"/>
      <c r="H39" s="30"/>
      <c r="J39" s="375" t="s">
        <v>70</v>
      </c>
      <c r="L39" s="378" t="s">
        <v>849</v>
      </c>
      <c r="N39" s="119"/>
      <c r="O39" s="376" t="s">
        <v>845</v>
      </c>
      <c r="P39" s="149"/>
      <c r="Q39" s="17" t="s">
        <v>846</v>
      </c>
      <c r="R39" s="377" t="str">
        <f>HYPERLINK("#'STD_F'!C" &amp; S39,"Link")</f>
        <v>Link</v>
      </c>
      <c r="S39" s="17">
        <f>MATCH(Q39,STD_F!C:C,0)</f>
        <v>101</v>
      </c>
    </row>
    <row r="40" spans="1:19" ht="20.100000000000001" customHeight="1">
      <c r="A40" s="317" t="s">
        <v>98</v>
      </c>
      <c r="B40" s="247" t="s">
        <v>70</v>
      </c>
      <c r="C40" s="29"/>
      <c r="D40" s="30"/>
      <c r="E40" s="30"/>
      <c r="F40" s="30"/>
      <c r="G40" s="30"/>
      <c r="H40" s="30"/>
      <c r="J40" s="166"/>
      <c r="L40" s="378" t="s">
        <v>856</v>
      </c>
      <c r="N40" s="119"/>
      <c r="O40" s="376" t="s">
        <v>848</v>
      </c>
      <c r="P40" s="149"/>
      <c r="Q40" s="17" t="s">
        <v>855</v>
      </c>
      <c r="R40" s="377" t="str">
        <f>HYPERLINK("#'STD_F'!C" &amp; S40,"Link")</f>
        <v>Link</v>
      </c>
      <c r="S40" s="17">
        <f>MATCH(Q40,STD_F!C:C,0)</f>
        <v>108</v>
      </c>
    </row>
    <row r="41" spans="1:19" ht="20.100000000000001" customHeight="1">
      <c r="A41" s="317" t="s">
        <v>100</v>
      </c>
      <c r="B41" s="247" t="s">
        <v>70</v>
      </c>
      <c r="C41" s="29"/>
      <c r="D41" s="30"/>
      <c r="E41" s="30"/>
      <c r="F41" s="30"/>
      <c r="G41" s="30"/>
      <c r="H41" s="30"/>
      <c r="J41" s="166"/>
      <c r="L41" s="1"/>
      <c r="N41" s="119"/>
      <c r="O41" s="250"/>
      <c r="P41" s="149"/>
    </row>
    <row r="42" spans="1:19" ht="20.100000000000001" customHeight="1">
      <c r="A42" s="317" t="s">
        <v>100</v>
      </c>
      <c r="B42" s="247" t="s">
        <v>70</v>
      </c>
      <c r="C42" s="29"/>
      <c r="D42" s="30"/>
      <c r="E42" s="30"/>
      <c r="F42" s="30"/>
      <c r="G42" s="30"/>
      <c r="H42" s="30"/>
      <c r="J42" s="166"/>
      <c r="L42" s="1"/>
      <c r="N42" s="119"/>
      <c r="O42" s="250"/>
      <c r="P42" s="149"/>
    </row>
    <row r="43" spans="1:19" ht="20.100000000000001" customHeight="1">
      <c r="A43" s="317" t="s">
        <v>100</v>
      </c>
      <c r="B43" s="247" t="s">
        <v>70</v>
      </c>
      <c r="C43" s="29"/>
      <c r="D43" s="30"/>
      <c r="E43" s="30"/>
      <c r="F43" s="30"/>
      <c r="G43" s="30"/>
      <c r="H43" s="30"/>
      <c r="J43" s="166"/>
      <c r="L43" s="1"/>
      <c r="N43" s="119"/>
      <c r="O43" s="250"/>
      <c r="P43" s="149"/>
    </row>
    <row r="44" spans="1:19" ht="20.100000000000001" customHeight="1">
      <c r="A44" s="317" t="s">
        <v>100</v>
      </c>
      <c r="B44" s="247" t="s">
        <v>70</v>
      </c>
      <c r="C44" s="29"/>
      <c r="D44" s="30"/>
      <c r="E44" s="30"/>
      <c r="F44" s="30"/>
      <c r="G44" s="30"/>
      <c r="H44" s="30"/>
      <c r="J44" s="166"/>
      <c r="L44" s="1"/>
      <c r="N44" s="119"/>
      <c r="O44" s="250"/>
      <c r="P44" s="149"/>
    </row>
    <row r="45" spans="1:19" ht="20.100000000000001" customHeight="1">
      <c r="A45" s="317" t="s">
        <v>100</v>
      </c>
      <c r="B45" s="247" t="s">
        <v>70</v>
      </c>
      <c r="C45" s="29"/>
      <c r="D45" s="30"/>
      <c r="E45" s="30"/>
      <c r="F45" s="30"/>
      <c r="G45" s="30"/>
      <c r="H45" s="30"/>
      <c r="J45" s="166"/>
      <c r="L45" s="1"/>
      <c r="N45" s="119"/>
      <c r="O45" s="250"/>
      <c r="P45" s="149"/>
    </row>
    <row r="46" spans="1:19" ht="20.100000000000001" customHeight="1">
      <c r="A46" s="317" t="s">
        <v>100</v>
      </c>
      <c r="B46" s="247" t="s">
        <v>70</v>
      </c>
      <c r="C46" s="29"/>
      <c r="D46" s="30"/>
      <c r="E46" s="30"/>
      <c r="F46" s="30"/>
      <c r="G46" s="30"/>
      <c r="H46" s="30"/>
      <c r="J46" s="166"/>
      <c r="L46" s="1"/>
      <c r="N46" s="119"/>
      <c r="O46" s="250"/>
      <c r="P46" s="149"/>
    </row>
    <row r="47" spans="1:19" ht="20.100000000000001" customHeight="1">
      <c r="A47" s="317" t="s">
        <v>100</v>
      </c>
      <c r="B47" s="247" t="s">
        <v>70</v>
      </c>
      <c r="C47" s="29"/>
      <c r="D47" s="30"/>
      <c r="E47" s="30"/>
      <c r="F47" s="30"/>
      <c r="G47" s="30"/>
      <c r="H47" s="30"/>
      <c r="J47" s="166"/>
      <c r="L47" s="1"/>
      <c r="N47" s="119"/>
      <c r="O47" s="250"/>
      <c r="P47" s="149"/>
    </row>
    <row r="48" spans="1:19" ht="20.100000000000001" customHeight="1">
      <c r="A48" s="317" t="s">
        <v>100</v>
      </c>
      <c r="B48" s="247" t="s">
        <v>70</v>
      </c>
      <c r="C48" s="29"/>
      <c r="D48" s="30"/>
      <c r="E48" s="30"/>
      <c r="F48" s="30"/>
      <c r="G48" s="30"/>
      <c r="H48" s="30"/>
      <c r="J48" s="166"/>
      <c r="L48" s="1"/>
      <c r="N48" s="119"/>
      <c r="O48" s="250"/>
      <c r="P48" s="149"/>
    </row>
    <row r="49" spans="1:16" ht="20.100000000000001" customHeight="1">
      <c r="A49" s="317" t="s">
        <v>100</v>
      </c>
      <c r="B49" s="247" t="s">
        <v>70</v>
      </c>
      <c r="C49" s="29"/>
      <c r="D49" s="30"/>
      <c r="E49" s="30"/>
      <c r="F49" s="30"/>
      <c r="G49" s="30"/>
      <c r="H49" s="30"/>
      <c r="J49" s="166"/>
      <c r="L49" s="1"/>
      <c r="N49" s="119"/>
      <c r="O49" s="250"/>
      <c r="P49" s="149"/>
    </row>
    <row r="50" spans="1:16" ht="20.100000000000001" customHeight="1">
      <c r="A50" s="317" t="s">
        <v>100</v>
      </c>
      <c r="B50" s="247" t="s">
        <v>70</v>
      </c>
      <c r="C50" s="29"/>
      <c r="D50" s="30"/>
      <c r="E50" s="30"/>
      <c r="F50" s="30"/>
      <c r="G50" s="30"/>
      <c r="H50" s="30"/>
      <c r="J50" s="166"/>
      <c r="L50" s="1"/>
      <c r="N50" s="119"/>
      <c r="O50" s="250"/>
      <c r="P50" s="149"/>
    </row>
    <row r="51" spans="1:16" ht="20.100000000000001" customHeight="1">
      <c r="A51" s="317" t="s">
        <v>100</v>
      </c>
      <c r="B51" s="247" t="s">
        <v>70</v>
      </c>
      <c r="C51" s="29"/>
      <c r="D51" s="30"/>
      <c r="E51" s="30"/>
      <c r="F51" s="30"/>
      <c r="G51" s="30"/>
      <c r="H51" s="30"/>
      <c r="J51" s="166"/>
      <c r="L51" s="1"/>
      <c r="N51" s="119"/>
      <c r="O51" s="250"/>
      <c r="P51" s="149"/>
    </row>
    <row r="52" spans="1:16" ht="20.100000000000001" customHeight="1">
      <c r="A52" s="317" t="s">
        <v>100</v>
      </c>
      <c r="B52" s="247" t="s">
        <v>70</v>
      </c>
      <c r="C52" s="29"/>
      <c r="D52" s="30"/>
      <c r="E52" s="30"/>
      <c r="F52" s="30"/>
      <c r="G52" s="30"/>
      <c r="H52" s="30"/>
      <c r="J52" s="166"/>
      <c r="L52" s="1"/>
      <c r="N52" s="119"/>
      <c r="O52" s="250"/>
      <c r="P52" s="149"/>
    </row>
    <row r="53" spans="1:16" ht="20.100000000000001" customHeight="1">
      <c r="A53" s="317" t="s">
        <v>100</v>
      </c>
      <c r="B53" s="247" t="s">
        <v>70</v>
      </c>
      <c r="C53" s="29"/>
      <c r="D53" s="30"/>
      <c r="E53" s="30"/>
      <c r="F53" s="30"/>
      <c r="G53" s="30"/>
      <c r="H53" s="30"/>
      <c r="J53" s="166"/>
      <c r="L53" s="1"/>
      <c r="N53" s="119"/>
      <c r="O53" s="250"/>
      <c r="P53" s="149"/>
    </row>
    <row r="54" spans="1:16" ht="20.100000000000001" customHeight="1">
      <c r="A54" s="317" t="s">
        <v>100</v>
      </c>
      <c r="B54" s="247" t="s">
        <v>70</v>
      </c>
      <c r="C54" s="29"/>
      <c r="D54" s="30"/>
      <c r="E54" s="30"/>
      <c r="F54" s="30"/>
      <c r="G54" s="30"/>
      <c r="H54" s="30"/>
      <c r="J54" s="166"/>
      <c r="L54" s="1"/>
      <c r="N54" s="119"/>
      <c r="O54" s="250"/>
      <c r="P54" s="149"/>
    </row>
    <row r="55" spans="1:16" ht="20.100000000000001" customHeight="1">
      <c r="A55" s="317" t="s">
        <v>100</v>
      </c>
      <c r="B55" s="247" t="s">
        <v>70</v>
      </c>
      <c r="C55" s="29"/>
      <c r="D55" s="30"/>
      <c r="E55" s="30"/>
      <c r="F55" s="30"/>
      <c r="G55" s="30"/>
      <c r="H55" s="30"/>
      <c r="J55" s="166"/>
      <c r="L55" s="1"/>
      <c r="N55" s="119"/>
      <c r="O55" s="250"/>
      <c r="P55" s="149"/>
    </row>
    <row r="56" spans="1:16" ht="20.100000000000001" customHeight="1">
      <c r="A56" s="317" t="s">
        <v>100</v>
      </c>
      <c r="B56" s="247" t="s">
        <v>70</v>
      </c>
      <c r="C56" s="29"/>
      <c r="D56" s="30"/>
      <c r="E56" s="30"/>
      <c r="F56" s="30"/>
      <c r="G56" s="30"/>
      <c r="H56" s="30"/>
      <c r="J56" s="166"/>
      <c r="L56" s="1"/>
      <c r="N56" s="119"/>
      <c r="O56" s="250"/>
      <c r="P56" s="149"/>
    </row>
    <row r="57" spans="1:16" ht="20.100000000000001" customHeight="1">
      <c r="A57" s="317" t="s">
        <v>100</v>
      </c>
      <c r="B57" s="247" t="s">
        <v>70</v>
      </c>
      <c r="C57" s="29"/>
      <c r="D57" s="30"/>
      <c r="E57" s="30"/>
      <c r="F57" s="30"/>
      <c r="G57" s="30"/>
      <c r="H57" s="30"/>
      <c r="J57" s="166"/>
      <c r="L57" s="1"/>
      <c r="N57" s="119"/>
      <c r="O57" s="250"/>
      <c r="P57" s="149"/>
    </row>
    <row r="58" spans="1:16" ht="20.100000000000001" customHeight="1">
      <c r="A58" s="317" t="s">
        <v>100</v>
      </c>
      <c r="B58" s="247" t="s">
        <v>70</v>
      </c>
      <c r="C58" s="29"/>
      <c r="D58" s="30"/>
      <c r="E58" s="30"/>
      <c r="F58" s="30"/>
      <c r="G58" s="30"/>
      <c r="H58" s="30"/>
      <c r="J58" s="166"/>
      <c r="L58" s="1"/>
      <c r="N58" s="119"/>
      <c r="O58" s="250"/>
      <c r="P58" s="149"/>
    </row>
    <row r="59" spans="1:16" ht="20.100000000000001" customHeight="1">
      <c r="A59" s="317" t="s">
        <v>100</v>
      </c>
      <c r="B59" s="247" t="s">
        <v>70</v>
      </c>
      <c r="C59" s="29"/>
      <c r="D59" s="30"/>
      <c r="E59" s="30"/>
      <c r="F59" s="30"/>
      <c r="G59" s="30"/>
      <c r="H59" s="30"/>
      <c r="J59" s="166"/>
      <c r="L59" s="1"/>
      <c r="N59" s="119"/>
      <c r="O59" s="250"/>
      <c r="P59" s="149"/>
    </row>
    <row r="60" spans="1:16" ht="20.100000000000001" customHeight="1">
      <c r="A60" s="317" t="s">
        <v>100</v>
      </c>
      <c r="B60" s="247" t="s">
        <v>70</v>
      </c>
      <c r="C60" s="29"/>
      <c r="D60" s="30"/>
      <c r="E60" s="30"/>
      <c r="F60" s="30"/>
      <c r="G60" s="30"/>
      <c r="H60" s="30"/>
      <c r="J60" s="166"/>
      <c r="L60" s="1"/>
      <c r="N60" s="119"/>
      <c r="O60" s="250"/>
      <c r="P60" s="149"/>
    </row>
    <row r="61" spans="1:16" ht="20.100000000000001" customHeight="1">
      <c r="A61" s="317" t="s">
        <v>100</v>
      </c>
      <c r="B61" s="247" t="s">
        <v>70</v>
      </c>
      <c r="C61" s="29"/>
      <c r="D61" s="30"/>
      <c r="E61" s="30"/>
      <c r="F61" s="30"/>
      <c r="G61" s="30"/>
      <c r="H61" s="30"/>
      <c r="J61" s="166"/>
      <c r="L61" s="1"/>
      <c r="N61" s="119"/>
      <c r="O61" s="250"/>
      <c r="P61" s="149"/>
    </row>
    <row r="62" spans="1:16" ht="20.100000000000001" customHeight="1">
      <c r="A62" s="317" t="s">
        <v>100</v>
      </c>
      <c r="B62" s="247" t="s">
        <v>70</v>
      </c>
      <c r="C62" s="29"/>
      <c r="D62" s="30"/>
      <c r="E62" s="30"/>
      <c r="F62" s="30"/>
      <c r="G62" s="30"/>
      <c r="H62" s="30"/>
      <c r="J62" s="166"/>
      <c r="L62" s="1"/>
      <c r="N62" s="119"/>
      <c r="O62" s="250"/>
      <c r="P62" s="149"/>
    </row>
    <row r="63" spans="1:16" ht="20.100000000000001" customHeight="1">
      <c r="A63" s="317" t="s">
        <v>100</v>
      </c>
      <c r="B63" s="247" t="s">
        <v>70</v>
      </c>
      <c r="C63" s="29"/>
      <c r="D63" s="30"/>
      <c r="E63" s="30"/>
      <c r="F63" s="30"/>
      <c r="G63" s="30"/>
      <c r="H63" s="30"/>
      <c r="J63" s="166"/>
      <c r="L63" s="1"/>
      <c r="N63" s="119"/>
      <c r="O63" s="250"/>
      <c r="P63" s="149"/>
    </row>
    <row r="64" spans="1:16" ht="20.100000000000001" customHeight="1">
      <c r="A64" s="317" t="s">
        <v>100</v>
      </c>
      <c r="B64" s="247" t="s">
        <v>70</v>
      </c>
      <c r="C64" s="29"/>
      <c r="D64" s="30"/>
      <c r="E64" s="30"/>
      <c r="F64" s="30"/>
      <c r="G64" s="30"/>
      <c r="H64" s="30"/>
      <c r="J64" s="166"/>
      <c r="L64" s="1"/>
      <c r="N64" s="119"/>
      <c r="O64" s="250"/>
      <c r="P64" s="149"/>
    </row>
    <row r="65" spans="1:16" ht="20.100000000000001" customHeight="1">
      <c r="A65" s="317" t="s">
        <v>100</v>
      </c>
      <c r="B65" s="247" t="s">
        <v>70</v>
      </c>
      <c r="C65" s="29"/>
      <c r="D65" s="30"/>
      <c r="E65" s="30"/>
      <c r="F65" s="30"/>
      <c r="G65" s="30"/>
      <c r="H65" s="30"/>
      <c r="J65" s="166"/>
      <c r="L65" s="1"/>
      <c r="N65" s="119"/>
      <c r="O65" s="250"/>
      <c r="P65" s="149"/>
    </row>
    <row r="66" spans="1:16" ht="20.100000000000001" customHeight="1">
      <c r="A66" s="317" t="s">
        <v>100</v>
      </c>
      <c r="B66" s="247" t="s">
        <v>70</v>
      </c>
      <c r="C66" s="29"/>
      <c r="D66" s="30"/>
      <c r="E66" s="30"/>
      <c r="F66" s="30"/>
      <c r="G66" s="30"/>
      <c r="H66" s="30"/>
      <c r="J66" s="166"/>
      <c r="L66" s="1"/>
      <c r="N66" s="119"/>
      <c r="O66" s="250"/>
      <c r="P66" s="149"/>
    </row>
    <row r="67" spans="1:16" ht="20.100000000000001" customHeight="1">
      <c r="A67" s="317" t="s">
        <v>100</v>
      </c>
      <c r="B67" s="247" t="s">
        <v>70</v>
      </c>
      <c r="C67" s="29"/>
      <c r="D67" s="30"/>
      <c r="E67" s="30"/>
      <c r="F67" s="30"/>
      <c r="G67" s="30"/>
      <c r="H67" s="30"/>
      <c r="J67" s="166"/>
      <c r="L67" s="1"/>
      <c r="N67" s="119"/>
      <c r="O67" s="250"/>
      <c r="P67" s="149"/>
    </row>
    <row r="68" spans="1:16" ht="20.100000000000001" customHeight="1">
      <c r="A68" s="317" t="s">
        <v>100</v>
      </c>
      <c r="B68" s="247" t="s">
        <v>70</v>
      </c>
      <c r="C68" s="29"/>
      <c r="D68" s="30"/>
      <c r="E68" s="30"/>
      <c r="F68" s="30"/>
      <c r="G68" s="30"/>
      <c r="H68" s="30"/>
      <c r="J68" s="166"/>
      <c r="L68" s="1"/>
      <c r="N68" s="119"/>
      <c r="O68" s="250"/>
      <c r="P68" s="149"/>
    </row>
    <row r="69" spans="1:16" ht="20.100000000000001" customHeight="1">
      <c r="A69" s="317" t="s">
        <v>100</v>
      </c>
      <c r="B69" s="247" t="s">
        <v>70</v>
      </c>
      <c r="C69" s="29"/>
      <c r="D69" s="30"/>
      <c r="E69" s="30"/>
      <c r="F69" s="30"/>
      <c r="G69" s="30"/>
      <c r="H69" s="30"/>
      <c r="J69" s="166"/>
      <c r="L69" s="1"/>
      <c r="N69" s="119"/>
      <c r="O69" s="250"/>
      <c r="P69" s="149"/>
    </row>
    <row r="70" spans="1:16" ht="20.100000000000001" customHeight="1">
      <c r="A70" s="317" t="s">
        <v>100</v>
      </c>
      <c r="B70" s="247" t="s">
        <v>70</v>
      </c>
      <c r="C70" s="29"/>
      <c r="D70" s="30"/>
      <c r="E70" s="30"/>
      <c r="F70" s="30"/>
      <c r="G70" s="30"/>
      <c r="H70" s="30"/>
      <c r="J70" s="166"/>
      <c r="L70" s="1"/>
      <c r="N70" s="119"/>
      <c r="O70" s="250"/>
      <c r="P70" s="149"/>
    </row>
    <row r="71" spans="1:16" ht="20.100000000000001" customHeight="1">
      <c r="A71" s="317" t="s">
        <v>100</v>
      </c>
      <c r="B71" s="247" t="s">
        <v>70</v>
      </c>
      <c r="C71" s="29"/>
      <c r="D71" s="30"/>
      <c r="E71" s="30"/>
      <c r="F71" s="30"/>
      <c r="G71" s="30"/>
      <c r="H71" s="30"/>
      <c r="J71" s="166"/>
      <c r="L71" s="1"/>
      <c r="N71" s="119"/>
      <c r="O71" s="250"/>
      <c r="P71" s="149"/>
    </row>
    <row r="72" spans="1:16" ht="20.100000000000001" customHeight="1">
      <c r="A72" s="317" t="s">
        <v>100</v>
      </c>
      <c r="B72" s="247" t="s">
        <v>70</v>
      </c>
      <c r="C72" s="29"/>
      <c r="D72" s="30"/>
      <c r="E72" s="30"/>
      <c r="F72" s="30"/>
      <c r="G72" s="30"/>
      <c r="H72" s="30"/>
      <c r="J72" s="166"/>
      <c r="L72" s="1"/>
      <c r="N72" s="119"/>
      <c r="O72" s="250"/>
      <c r="P72" s="149"/>
    </row>
    <row r="73" spans="1:16" ht="20.100000000000001" customHeight="1">
      <c r="A73" s="317" t="s">
        <v>100</v>
      </c>
      <c r="B73" s="247" t="s">
        <v>70</v>
      </c>
      <c r="C73" s="29"/>
      <c r="D73" s="30"/>
      <c r="E73" s="30"/>
      <c r="F73" s="30"/>
      <c r="G73" s="30"/>
      <c r="H73" s="30"/>
      <c r="J73" s="166"/>
      <c r="L73" s="1"/>
      <c r="N73" s="119"/>
      <c r="O73" s="250"/>
      <c r="P73" s="149"/>
    </row>
    <row r="74" spans="1:16" ht="20.100000000000001" customHeight="1">
      <c r="A74" s="317" t="s">
        <v>100</v>
      </c>
      <c r="B74" s="247" t="s">
        <v>70</v>
      </c>
      <c r="C74" s="29"/>
      <c r="D74" s="30"/>
      <c r="E74" s="30"/>
      <c r="F74" s="30"/>
      <c r="G74" s="30"/>
      <c r="H74" s="30"/>
      <c r="J74" s="166"/>
      <c r="L74" s="1"/>
      <c r="N74" s="119"/>
      <c r="O74" s="250"/>
      <c r="P74" s="149"/>
    </row>
    <row r="75" spans="1:16" ht="20.100000000000001" customHeight="1">
      <c r="A75" s="317" t="s">
        <v>100</v>
      </c>
      <c r="B75" s="247" t="s">
        <v>70</v>
      </c>
      <c r="C75" s="29"/>
      <c r="D75" s="30"/>
      <c r="E75" s="30"/>
      <c r="F75" s="30"/>
      <c r="G75" s="30"/>
      <c r="H75" s="30"/>
      <c r="J75" s="166"/>
      <c r="L75" s="1"/>
      <c r="N75" s="119"/>
      <c r="O75" s="250"/>
      <c r="P75" s="149"/>
    </row>
    <row r="76" spans="1:16" ht="20.100000000000001" customHeight="1">
      <c r="A76" s="317" t="s">
        <v>100</v>
      </c>
      <c r="B76" s="247" t="s">
        <v>70</v>
      </c>
      <c r="C76" s="29"/>
      <c r="D76" s="30"/>
      <c r="E76" s="30"/>
      <c r="F76" s="30"/>
      <c r="G76" s="30"/>
      <c r="H76" s="30"/>
      <c r="J76" s="166"/>
      <c r="L76" s="1"/>
      <c r="N76" s="119"/>
      <c r="O76" s="250"/>
      <c r="P76" s="149"/>
    </row>
    <row r="77" spans="1:16" ht="20.100000000000001" customHeight="1">
      <c r="A77" s="317" t="s">
        <v>100</v>
      </c>
      <c r="B77" s="247" t="s">
        <v>70</v>
      </c>
      <c r="C77" s="29"/>
      <c r="D77" s="30"/>
      <c r="E77" s="30"/>
      <c r="F77" s="30"/>
      <c r="G77" s="30"/>
      <c r="H77" s="30"/>
      <c r="J77" s="166"/>
      <c r="L77" s="1"/>
      <c r="N77" s="119"/>
      <c r="O77" s="250"/>
      <c r="P77" s="149"/>
    </row>
    <row r="78" spans="1:16" ht="20.100000000000001" customHeight="1">
      <c r="A78" s="317" t="s">
        <v>100</v>
      </c>
      <c r="B78" s="247" t="s">
        <v>70</v>
      </c>
      <c r="C78" s="29"/>
      <c r="D78" s="30"/>
      <c r="E78" s="30"/>
      <c r="F78" s="30"/>
      <c r="G78" s="30"/>
      <c r="H78" s="30"/>
      <c r="J78" s="166"/>
      <c r="L78" s="1"/>
      <c r="N78" s="119"/>
      <c r="O78" s="250"/>
      <c r="P78" s="149"/>
    </row>
    <row r="79" spans="1:16" ht="20.100000000000001" customHeight="1">
      <c r="A79" s="317" t="s">
        <v>100</v>
      </c>
      <c r="B79" s="247" t="s">
        <v>70</v>
      </c>
      <c r="C79" s="29"/>
      <c r="D79" s="30"/>
      <c r="E79" s="30"/>
      <c r="F79" s="30"/>
      <c r="G79" s="30"/>
      <c r="H79" s="30"/>
      <c r="J79" s="166"/>
      <c r="L79" s="1"/>
      <c r="N79" s="119"/>
      <c r="O79" s="250"/>
      <c r="P79" s="149"/>
    </row>
    <row r="80" spans="1:16" ht="20.100000000000001" customHeight="1">
      <c r="A80" s="317" t="s">
        <v>100</v>
      </c>
      <c r="B80" s="247" t="s">
        <v>70</v>
      </c>
      <c r="C80" s="29"/>
      <c r="D80" s="30"/>
      <c r="E80" s="30"/>
      <c r="F80" s="30"/>
      <c r="G80" s="30"/>
      <c r="H80" s="30"/>
      <c r="J80" s="166"/>
      <c r="L80" s="1"/>
      <c r="N80" s="119"/>
      <c r="O80" s="250"/>
      <c r="P80" s="149"/>
    </row>
    <row r="81" spans="1:16" ht="20.100000000000001" customHeight="1">
      <c r="A81" s="317" t="s">
        <v>100</v>
      </c>
      <c r="B81" s="247" t="s">
        <v>70</v>
      </c>
      <c r="C81" s="29"/>
      <c r="D81" s="30"/>
      <c r="E81" s="30"/>
      <c r="F81" s="30"/>
      <c r="G81" s="30"/>
      <c r="H81" s="30"/>
      <c r="J81" s="166"/>
      <c r="L81" s="1"/>
      <c r="N81" s="119"/>
      <c r="O81" s="250"/>
      <c r="P81" s="149"/>
    </row>
    <row r="82" spans="1:16">
      <c r="A82" s="317" t="s">
        <v>100</v>
      </c>
      <c r="B82" s="247" t="s">
        <v>70</v>
      </c>
      <c r="P82" s="149"/>
    </row>
    <row r="83" spans="1:16">
      <c r="A83" s="317" t="s">
        <v>100</v>
      </c>
      <c r="B83" s="247" t="s">
        <v>70</v>
      </c>
      <c r="P83" s="149"/>
    </row>
    <row r="84" spans="1:16">
      <c r="A84" s="317" t="s">
        <v>100</v>
      </c>
      <c r="B84" s="247" t="s">
        <v>70</v>
      </c>
      <c r="P84" s="149"/>
    </row>
    <row r="85" spans="1:16">
      <c r="A85" s="317" t="s">
        <v>100</v>
      </c>
      <c r="B85" s="247" t="s">
        <v>70</v>
      </c>
      <c r="P85" s="149"/>
    </row>
    <row r="86" spans="1:16">
      <c r="A86" s="317" t="s">
        <v>100</v>
      </c>
      <c r="B86" s="247" t="s">
        <v>70</v>
      </c>
      <c r="P86" s="149"/>
    </row>
    <row r="87" spans="1:16">
      <c r="A87" s="317" t="s">
        <v>100</v>
      </c>
      <c r="B87" s="247" t="s">
        <v>70</v>
      </c>
      <c r="P87" s="149"/>
    </row>
    <row r="88" spans="1:16">
      <c r="A88" s="317" t="s">
        <v>100</v>
      </c>
      <c r="B88" s="247" t="s">
        <v>70</v>
      </c>
      <c r="P88" s="149"/>
    </row>
    <row r="89" spans="1:16">
      <c r="A89" s="317" t="s">
        <v>100</v>
      </c>
      <c r="B89" s="247" t="s">
        <v>70</v>
      </c>
      <c r="P89" s="149"/>
    </row>
    <row r="90" spans="1:16">
      <c r="A90" s="317" t="s">
        <v>100</v>
      </c>
      <c r="B90" s="247" t="s">
        <v>70</v>
      </c>
      <c r="P90" s="149"/>
    </row>
    <row r="91" spans="1:16">
      <c r="A91" s="317" t="s">
        <v>100</v>
      </c>
      <c r="B91" s="247" t="s">
        <v>70</v>
      </c>
      <c r="P91" s="149"/>
    </row>
    <row r="92" spans="1:16">
      <c r="A92" s="317" t="s">
        <v>100</v>
      </c>
      <c r="B92" s="247" t="s">
        <v>70</v>
      </c>
      <c r="P92" s="149"/>
    </row>
    <row r="93" spans="1:16">
      <c r="A93" s="317" t="s">
        <v>100</v>
      </c>
      <c r="B93" s="247" t="s">
        <v>70</v>
      </c>
      <c r="P93" s="149"/>
    </row>
    <row r="94" spans="1:16">
      <c r="A94" s="317" t="s">
        <v>100</v>
      </c>
      <c r="B94" s="247" t="s">
        <v>70</v>
      </c>
      <c r="P94" s="149"/>
    </row>
    <row r="95" spans="1:16">
      <c r="A95" s="317" t="s">
        <v>100</v>
      </c>
      <c r="B95" s="247" t="s">
        <v>70</v>
      </c>
      <c r="P95" s="149"/>
    </row>
    <row r="96" spans="1:16">
      <c r="A96" s="317" t="s">
        <v>100</v>
      </c>
      <c r="B96" s="247" t="s">
        <v>70</v>
      </c>
      <c r="P96" s="149"/>
    </row>
    <row r="97" spans="1:16">
      <c r="A97" s="317" t="s">
        <v>100</v>
      </c>
      <c r="B97" s="247" t="s">
        <v>70</v>
      </c>
      <c r="P97" s="149"/>
    </row>
    <row r="98" spans="1:16">
      <c r="A98" s="317" t="s">
        <v>100</v>
      </c>
      <c r="B98" s="247" t="s">
        <v>70</v>
      </c>
      <c r="P98" s="149"/>
    </row>
    <row r="99" spans="1:16">
      <c r="A99" s="317" t="s">
        <v>100</v>
      </c>
      <c r="B99" s="247" t="s">
        <v>70</v>
      </c>
      <c r="P99" s="149"/>
    </row>
    <row r="100" spans="1:16">
      <c r="A100" s="317" t="s">
        <v>100</v>
      </c>
      <c r="B100" s="247" t="s">
        <v>70</v>
      </c>
      <c r="P100" s="149"/>
    </row>
    <row r="101" spans="1:16">
      <c r="A101" s="317" t="s">
        <v>100</v>
      </c>
      <c r="B101" s="247" t="s">
        <v>70</v>
      </c>
      <c r="P101" s="149"/>
    </row>
    <row r="102" spans="1:16">
      <c r="A102" s="317" t="s">
        <v>100</v>
      </c>
      <c r="B102" s="247" t="s">
        <v>70</v>
      </c>
      <c r="P102" s="149"/>
    </row>
  </sheetData>
  <hyperlinks>
    <hyperlink ref="N3" r:id="rId1" xr:uid="{47442661-D5C0-443E-AC3D-C560CD81C27C}"/>
    <hyperlink ref="N4" r:id="rId2" xr:uid="{21BA5784-0EF0-4A3F-BA99-0D2713CB7668}"/>
    <hyperlink ref="N5" r:id="rId3" xr:uid="{94CE498F-79B6-4D59-AE44-BEB42B25AD52}"/>
    <hyperlink ref="N6" r:id="rId4" xr:uid="{A55CB880-077F-43BA-8E89-D7B9A26749BC}"/>
    <hyperlink ref="N7" r:id="rId5" xr:uid="{12ACB88F-F1F1-4F67-9565-5F95D38263B6}"/>
    <hyperlink ref="N8" r:id="rId6" xr:uid="{DDA08E5F-9B95-420A-A3CA-A0BEEE383F0F}"/>
    <hyperlink ref="N9" r:id="rId7" xr:uid="{3700BA90-3384-4EE7-9287-FF7FDF571A8F}"/>
    <hyperlink ref="N10" r:id="rId8" xr:uid="{FC57461B-BCF8-436C-9C5C-00A8FE358CAE}"/>
    <hyperlink ref="N11" r:id="rId9" xr:uid="{15E0ADCB-0D90-4420-AB34-4C0002854CE4}"/>
    <hyperlink ref="N12" r:id="rId10" xr:uid="{FC5D7632-47A6-4B81-9A0C-3AA38471D8D2}"/>
    <hyperlink ref="N13" r:id="rId11" xr:uid="{86C09D5D-3796-45B6-B717-91B02648B654}"/>
    <hyperlink ref="N14" r:id="rId12" xr:uid="{EE4C21CE-BE80-47D4-9482-B9DC4DAF0389}"/>
    <hyperlink ref="N15" r:id="rId13" xr:uid="{36046219-89C3-4656-8AA9-E7774D82C22D}"/>
    <hyperlink ref="N16" r:id="rId14" xr:uid="{31497D3A-EF37-4472-A9FB-9E1825F5A7AB}"/>
    <hyperlink ref="N17" r:id="rId15" xr:uid="{55AB93A4-EE1D-482C-8834-084F1162BAE8}"/>
    <hyperlink ref="N18" r:id="rId16" xr:uid="{450ED69C-D241-42C9-A647-B51349483FA3}"/>
    <hyperlink ref="N19" r:id="rId17" xr:uid="{6EDE1C27-B7BB-4CDD-ADFA-4D5869B49754}"/>
    <hyperlink ref="N20" r:id="rId18" xr:uid="{E674F0EB-3027-4DBD-9565-D79F7B275EBE}"/>
    <hyperlink ref="N21" r:id="rId19" xr:uid="{AF454D79-95B2-4B92-954C-B082F10FDB89}"/>
    <hyperlink ref="N22" r:id="rId20" xr:uid="{7BA6ACD1-E5F3-4DAF-AA31-79A7D196C6F2}"/>
    <hyperlink ref="N23" r:id="rId21" xr:uid="{BAF1050E-7C77-43CF-B05F-139B6E7DEE6C}"/>
    <hyperlink ref="N24" r:id="rId22" xr:uid="{E051EF87-CB21-4E03-87CE-E346FF089EBA}"/>
    <hyperlink ref="N25" r:id="rId23" xr:uid="{C31C396F-525A-45FF-9290-4A6D2D249A60}"/>
    <hyperlink ref="N26" r:id="rId24" xr:uid="{D8C554F7-E327-4137-A2DC-04437E958FA1}"/>
    <hyperlink ref="N27" r:id="rId25" xr:uid="{B57EADCA-A99A-44B1-B340-9DBE29B212E1}"/>
    <hyperlink ref="N30" r:id="rId26" xr:uid="{13A36E4D-3AAC-433A-A68A-569C1F504FC5}"/>
    <hyperlink ref="N31" r:id="rId27" xr:uid="{D8A1D125-DFAB-4F9C-81EA-9C61C0D528CB}"/>
    <hyperlink ref="N32" r:id="rId28" xr:uid="{C0A5D663-CE0B-4220-9FD5-7249A69A6569}"/>
    <hyperlink ref="N33" r:id="rId29" xr:uid="{8B4DF028-51D0-43ED-BAA2-3E17D7DAE83F}"/>
    <hyperlink ref="N34" r:id="rId30" xr:uid="{9822916B-B70F-4C65-ACD8-672EB1E0523C}"/>
    <hyperlink ref="N35" r:id="rId31" xr:uid="{25067B0E-3A45-4031-ACC0-4A9FEF80E88C}"/>
    <hyperlink ref="N36" r:id="rId32" xr:uid="{A017DF9E-7C9D-48D1-8E1B-B8EE5567E462}"/>
    <hyperlink ref="N37" r:id="rId33" xr:uid="{B6103A89-E429-4DDC-8BA1-F705AF5EF0A8}"/>
    <hyperlink ref="N38" r:id="rId34" xr:uid="{5109A3FE-1202-4DDF-B6A9-B495DA0DC78D}"/>
  </hyperlinks>
  <pageMargins left="0.7" right="0.7" top="0.78740157499999996" bottom="0.78740157499999996" header="0.3" footer="0.3"/>
  <pageSetup paperSize="9" orientation="portrait" r:id="rId3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DAF9-4805-4447-B054-57EC80B9EE50}">
  <sheetPr codeName="Tabelle7"/>
  <dimension ref="A1:S50"/>
  <sheetViews>
    <sheetView workbookViewId="0">
      <pane ySplit="1" topLeftCell="A2" activePane="bottomLeft" state="frozen"/>
      <selection activeCell="K2" sqref="K2"/>
      <selection pane="bottomLeft" activeCell="K2" sqref="K2"/>
    </sheetView>
  </sheetViews>
  <sheetFormatPr baseColWidth="10" defaultColWidth="11.5546875" defaultRowHeight="15.6"/>
  <cols>
    <col min="1" max="1" width="8.33203125" style="320" customWidth="1"/>
    <col min="2" max="5" width="3.6640625" style="33" bestFit="1" customWidth="1"/>
    <col min="6" max="6" width="8.109375" style="33" bestFit="1" customWidth="1"/>
    <col min="7" max="10" width="3.6640625" style="33" bestFit="1" customWidth="1"/>
    <col min="11" max="11" width="6.6640625" bestFit="1" customWidth="1"/>
    <col min="12" max="12" width="37.33203125" style="79" customWidth="1"/>
    <col min="13" max="13" width="20.88671875" style="17" customWidth="1"/>
    <col min="14" max="14" width="35.109375" style="103" customWidth="1"/>
    <col min="15" max="15" width="16.6640625" style="76" bestFit="1" customWidth="1"/>
    <col min="16" max="16384" width="11.5546875" style="17"/>
  </cols>
  <sheetData>
    <row r="1" spans="1:19" s="2" customFormat="1" ht="55.2" customHeight="1">
      <c r="A1" s="315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105" t="s">
        <v>14</v>
      </c>
      <c r="O1" s="23" t="s">
        <v>95</v>
      </c>
    </row>
    <row r="2" spans="1:19" s="2" customFormat="1" ht="25.2" customHeight="1">
      <c r="A2" s="317" t="s">
        <v>101</v>
      </c>
      <c r="B2" s="29"/>
      <c r="C2" s="29"/>
      <c r="D2" s="30"/>
      <c r="E2" s="30"/>
      <c r="F2" s="30"/>
      <c r="G2" s="30"/>
      <c r="H2" s="30"/>
      <c r="I2" s="30"/>
      <c r="J2" s="30"/>
      <c r="L2" s="1"/>
      <c r="M2" s="4"/>
      <c r="N2" s="119"/>
      <c r="O2" s="11"/>
    </row>
    <row r="3" spans="1:19" s="2" customFormat="1" ht="25.2" customHeight="1">
      <c r="A3" s="317" t="s">
        <v>99</v>
      </c>
      <c r="B3" s="29" t="s">
        <v>70</v>
      </c>
      <c r="C3" s="29"/>
      <c r="D3" s="30"/>
      <c r="E3" s="30"/>
      <c r="F3" s="30" t="s">
        <v>136</v>
      </c>
      <c r="G3" s="30"/>
      <c r="H3" s="30"/>
      <c r="I3" s="30"/>
      <c r="J3" s="30"/>
      <c r="L3" s="1" t="s">
        <v>38</v>
      </c>
      <c r="M3" s="4" t="s">
        <v>137</v>
      </c>
      <c r="N3" s="119" t="s">
        <v>167</v>
      </c>
      <c r="O3" s="11" t="s">
        <v>96</v>
      </c>
      <c r="P3" s="144"/>
    </row>
    <row r="4" spans="1:19" s="2" customFormat="1" ht="25.2" customHeight="1">
      <c r="A4" s="317" t="s">
        <v>99</v>
      </c>
      <c r="B4" s="29" t="s">
        <v>70</v>
      </c>
      <c r="C4" s="29"/>
      <c r="D4" s="30"/>
      <c r="E4" s="30"/>
      <c r="F4" s="30"/>
      <c r="G4" s="30"/>
      <c r="H4" s="30" t="s">
        <v>70</v>
      </c>
      <c r="I4" s="30"/>
      <c r="J4" s="30"/>
      <c r="L4" s="1" t="s">
        <v>201</v>
      </c>
      <c r="M4" s="4"/>
      <c r="N4" s="119" t="s">
        <v>302</v>
      </c>
      <c r="O4" s="11"/>
      <c r="P4" s="145" t="s">
        <v>298</v>
      </c>
    </row>
    <row r="5" spans="1:19" s="2" customFormat="1" ht="25.2" customHeight="1">
      <c r="A5" s="317" t="s">
        <v>99</v>
      </c>
      <c r="B5" s="29" t="s">
        <v>70</v>
      </c>
      <c r="C5" s="29"/>
      <c r="D5" s="30"/>
      <c r="E5" s="30"/>
      <c r="F5" s="30"/>
      <c r="G5" s="30"/>
      <c r="H5" s="30" t="s">
        <v>70</v>
      </c>
      <c r="I5" s="30"/>
      <c r="J5" s="30"/>
      <c r="L5" s="1" t="s">
        <v>202</v>
      </c>
      <c r="M5" s="4"/>
      <c r="N5" s="119" t="s">
        <v>303</v>
      </c>
      <c r="O5" s="11"/>
      <c r="P5" s="145" t="s">
        <v>298</v>
      </c>
      <c r="Q5" s="2" t="s">
        <v>741</v>
      </c>
      <c r="R5" s="26" t="e">
        <f>HYPERLINK("#'STD_F'!C" &amp; S5,"Link")</f>
        <v>#N/A</v>
      </c>
      <c r="S5" s="2" t="e">
        <f>MATCH(Q5,STD_F!C:C,0)</f>
        <v>#N/A</v>
      </c>
    </row>
    <row r="6" spans="1:19" s="2" customFormat="1" ht="25.2" customHeight="1">
      <c r="A6" s="317" t="s">
        <v>99</v>
      </c>
      <c r="B6" s="29" t="s">
        <v>70</v>
      </c>
      <c r="C6" s="29"/>
      <c r="D6" s="30"/>
      <c r="E6" s="30"/>
      <c r="F6" s="30"/>
      <c r="G6" s="30"/>
      <c r="H6" s="30" t="s">
        <v>70</v>
      </c>
      <c r="I6" s="30"/>
      <c r="J6" s="30"/>
      <c r="L6" s="1" t="s">
        <v>204</v>
      </c>
      <c r="M6" s="4"/>
      <c r="N6" s="119" t="s">
        <v>305</v>
      </c>
      <c r="O6" s="11"/>
      <c r="P6" s="145" t="s">
        <v>298</v>
      </c>
    </row>
    <row r="7" spans="1:19" s="2" customFormat="1" ht="25.2" customHeight="1">
      <c r="A7" s="317" t="s">
        <v>98</v>
      </c>
      <c r="B7" s="29" t="s">
        <v>70</v>
      </c>
      <c r="C7" s="29"/>
      <c r="D7" s="30"/>
      <c r="E7" s="30"/>
      <c r="F7" s="30"/>
      <c r="G7" s="30"/>
      <c r="H7" s="30" t="s">
        <v>70</v>
      </c>
      <c r="I7" s="30"/>
      <c r="J7" s="30"/>
      <c r="L7" s="1" t="s">
        <v>203</v>
      </c>
      <c r="N7" s="119" t="s">
        <v>304</v>
      </c>
      <c r="O7" s="11"/>
      <c r="P7" s="145" t="s">
        <v>298</v>
      </c>
    </row>
    <row r="8" spans="1:19" s="2" customFormat="1" ht="25.2" customHeight="1">
      <c r="A8" s="317" t="s">
        <v>99</v>
      </c>
      <c r="B8" s="29" t="s">
        <v>70</v>
      </c>
      <c r="C8" s="29"/>
      <c r="D8" s="30"/>
      <c r="E8" s="30"/>
      <c r="F8" s="30"/>
      <c r="G8" s="30"/>
      <c r="H8" s="30" t="s">
        <v>70</v>
      </c>
      <c r="I8" s="30"/>
      <c r="J8" s="30"/>
      <c r="L8" s="1" t="s">
        <v>205</v>
      </c>
      <c r="M8" s="4"/>
      <c r="N8" s="119" t="s">
        <v>306</v>
      </c>
      <c r="O8" s="11"/>
      <c r="P8" s="145" t="s">
        <v>298</v>
      </c>
    </row>
    <row r="9" spans="1:19" s="2" customFormat="1" ht="25.2" customHeight="1">
      <c r="A9" s="317" t="s">
        <v>99</v>
      </c>
      <c r="B9" s="29" t="s">
        <v>70</v>
      </c>
      <c r="C9" s="29"/>
      <c r="D9" s="30"/>
      <c r="E9" s="30"/>
      <c r="F9" s="30"/>
      <c r="G9" s="30"/>
      <c r="H9" s="30" t="s">
        <v>70</v>
      </c>
      <c r="I9" s="30"/>
      <c r="J9" s="30"/>
      <c r="L9" s="1" t="s">
        <v>206</v>
      </c>
      <c r="M9" s="4"/>
      <c r="N9" s="119" t="s">
        <v>307</v>
      </c>
      <c r="O9" s="11"/>
      <c r="P9" s="145" t="s">
        <v>298</v>
      </c>
    </row>
    <row r="10" spans="1:19" s="2" customFormat="1" ht="25.2" customHeight="1">
      <c r="A10" s="317" t="s">
        <v>99</v>
      </c>
      <c r="B10" s="29" t="s">
        <v>70</v>
      </c>
      <c r="C10" s="29"/>
      <c r="D10" s="30"/>
      <c r="E10" s="30"/>
      <c r="F10" s="30"/>
      <c r="G10" s="30"/>
      <c r="H10" s="30"/>
      <c r="I10" s="29" t="s">
        <v>70</v>
      </c>
      <c r="J10" s="30"/>
      <c r="L10" s="96" t="s">
        <v>240</v>
      </c>
      <c r="M10" s="4"/>
      <c r="N10" s="119" t="s">
        <v>308</v>
      </c>
      <c r="P10" s="145" t="s">
        <v>298</v>
      </c>
    </row>
    <row r="11" spans="1:19" s="2" customFormat="1" ht="25.2" customHeight="1">
      <c r="A11" s="317" t="s">
        <v>98</v>
      </c>
      <c r="B11" s="29" t="s">
        <v>70</v>
      </c>
      <c r="C11" s="29"/>
      <c r="D11" s="30"/>
      <c r="E11" s="30"/>
      <c r="F11" s="30"/>
      <c r="G11" s="30"/>
      <c r="H11" s="30"/>
      <c r="I11" s="29" t="s">
        <v>70</v>
      </c>
      <c r="J11" s="30"/>
      <c r="L11" s="1"/>
      <c r="M11" s="4"/>
      <c r="N11" s="119" t="s">
        <v>309</v>
      </c>
      <c r="O11" s="98" t="s">
        <v>241</v>
      </c>
      <c r="P11" s="145" t="s">
        <v>298</v>
      </c>
    </row>
    <row r="12" spans="1:19" s="2" customFormat="1" ht="25.2" customHeight="1">
      <c r="A12" s="317" t="s">
        <v>98</v>
      </c>
      <c r="B12" s="29" t="s">
        <v>70</v>
      </c>
      <c r="C12" s="29"/>
      <c r="D12" s="30"/>
      <c r="E12" s="30"/>
      <c r="F12" s="30"/>
      <c r="G12" s="30"/>
      <c r="H12" s="30"/>
      <c r="I12" s="29" t="s">
        <v>70</v>
      </c>
      <c r="J12" s="30"/>
      <c r="L12" s="1"/>
      <c r="M12" s="4"/>
      <c r="N12" s="119" t="s">
        <v>310</v>
      </c>
      <c r="O12" s="11" t="s">
        <v>242</v>
      </c>
      <c r="P12" s="145" t="s">
        <v>298</v>
      </c>
    </row>
    <row r="13" spans="1:19" s="2" customFormat="1" ht="25.2" customHeight="1">
      <c r="A13" s="317" t="s">
        <v>99</v>
      </c>
      <c r="B13" s="29" t="s">
        <v>70</v>
      </c>
      <c r="C13" s="29"/>
      <c r="D13" s="30"/>
      <c r="E13" s="30"/>
      <c r="F13" s="30"/>
      <c r="G13" s="30"/>
      <c r="H13" s="30"/>
      <c r="I13" s="29" t="s">
        <v>70</v>
      </c>
      <c r="J13" s="30"/>
      <c r="L13" s="96" t="s">
        <v>260</v>
      </c>
      <c r="M13" s="4"/>
      <c r="N13" s="119" t="s">
        <v>311</v>
      </c>
      <c r="O13" s="11"/>
      <c r="P13" s="145" t="s">
        <v>298</v>
      </c>
    </row>
    <row r="14" spans="1:19" s="2" customFormat="1" ht="25.2" customHeight="1">
      <c r="A14" s="317" t="s">
        <v>98</v>
      </c>
      <c r="B14" s="97" t="s">
        <v>70</v>
      </c>
      <c r="C14" s="29"/>
      <c r="D14" s="30"/>
      <c r="E14" s="30"/>
      <c r="F14" s="30"/>
      <c r="G14" s="30"/>
      <c r="H14" s="30"/>
      <c r="I14" s="29" t="s">
        <v>70</v>
      </c>
      <c r="J14" s="30"/>
      <c r="M14" s="4"/>
      <c r="N14" s="119" t="s">
        <v>312</v>
      </c>
      <c r="O14" s="96" t="s">
        <v>261</v>
      </c>
      <c r="P14" s="145" t="s">
        <v>298</v>
      </c>
    </row>
    <row r="15" spans="1:19" s="2" customFormat="1" ht="25.2" customHeight="1">
      <c r="A15" s="317" t="s">
        <v>99</v>
      </c>
      <c r="B15" s="210" t="s">
        <v>70</v>
      </c>
      <c r="C15" s="29"/>
      <c r="D15" s="30"/>
      <c r="E15" s="30"/>
      <c r="F15" s="30"/>
      <c r="G15" s="30"/>
      <c r="H15" s="30"/>
      <c r="I15" s="30"/>
      <c r="J15" s="211" t="s">
        <v>70</v>
      </c>
      <c r="L15" s="1"/>
      <c r="M15" s="4"/>
      <c r="N15" s="119" t="s">
        <v>607</v>
      </c>
      <c r="P15" s="145" t="s">
        <v>298</v>
      </c>
    </row>
    <row r="16" spans="1:19" s="2" customFormat="1" ht="25.2" customHeight="1">
      <c r="A16" s="317" t="s">
        <v>99</v>
      </c>
      <c r="B16" s="219" t="s">
        <v>70</v>
      </c>
      <c r="C16" s="29"/>
      <c r="D16" s="220"/>
      <c r="E16" s="30"/>
      <c r="F16" s="30"/>
      <c r="G16" s="30"/>
      <c r="H16" s="30"/>
      <c r="I16" s="30"/>
      <c r="J16" s="211"/>
      <c r="L16" s="221" t="s">
        <v>615</v>
      </c>
      <c r="M16" s="221" t="s">
        <v>616</v>
      </c>
      <c r="N16" s="119"/>
      <c r="O16" s="16"/>
      <c r="P16" s="285" t="s">
        <v>719</v>
      </c>
    </row>
    <row r="17" spans="1:16" s="2" customFormat="1" ht="25.2" customHeight="1">
      <c r="A17" s="317" t="s">
        <v>99</v>
      </c>
      <c r="B17" s="372" t="s">
        <v>70</v>
      </c>
      <c r="C17" s="29"/>
      <c r="D17" s="30"/>
      <c r="E17" s="30"/>
      <c r="F17" s="30"/>
      <c r="G17" s="30"/>
      <c r="H17" s="30"/>
      <c r="I17" s="30"/>
      <c r="J17" s="30"/>
      <c r="L17" s="221" t="s">
        <v>617</v>
      </c>
      <c r="M17" s="221" t="s">
        <v>616</v>
      </c>
      <c r="N17" s="119"/>
      <c r="O17" s="11"/>
      <c r="P17" s="285" t="s">
        <v>719</v>
      </c>
    </row>
    <row r="18" spans="1:16" s="2" customFormat="1" ht="25.2" customHeight="1">
      <c r="A18" s="317" t="s">
        <v>99</v>
      </c>
      <c r="B18" s="372" t="s">
        <v>70</v>
      </c>
      <c r="C18" s="29"/>
      <c r="D18" s="30"/>
      <c r="E18" s="30"/>
      <c r="F18" s="30"/>
      <c r="G18" s="30"/>
      <c r="H18" s="30"/>
      <c r="I18" s="30"/>
      <c r="J18" s="30"/>
      <c r="L18" s="370" t="s">
        <v>822</v>
      </c>
      <c r="M18" s="4"/>
      <c r="N18" s="119" t="s">
        <v>822</v>
      </c>
      <c r="O18" s="11"/>
      <c r="P18" s="145" t="s">
        <v>298</v>
      </c>
    </row>
    <row r="19" spans="1:16" s="2" customFormat="1" ht="25.2" customHeight="1">
      <c r="A19" s="317" t="s">
        <v>99</v>
      </c>
      <c r="B19" s="372" t="s">
        <v>70</v>
      </c>
      <c r="C19" s="29"/>
      <c r="D19" s="30"/>
      <c r="E19" s="30"/>
      <c r="F19" s="30"/>
      <c r="G19" s="30"/>
      <c r="H19" s="30"/>
      <c r="I19" s="30"/>
      <c r="J19" s="373" t="s">
        <v>70</v>
      </c>
      <c r="L19" s="1" t="s">
        <v>823</v>
      </c>
      <c r="M19" s="4"/>
      <c r="N19" s="119" t="s">
        <v>823</v>
      </c>
      <c r="O19" s="11"/>
      <c r="P19" s="145" t="s">
        <v>298</v>
      </c>
    </row>
    <row r="20" spans="1:16" s="2" customFormat="1" ht="25.2" customHeight="1">
      <c r="A20" s="317" t="s">
        <v>99</v>
      </c>
      <c r="B20" s="372" t="s">
        <v>70</v>
      </c>
      <c r="C20" s="29"/>
      <c r="D20" s="30"/>
      <c r="E20" s="30"/>
      <c r="F20" s="30"/>
      <c r="G20" s="30"/>
      <c r="H20" s="30"/>
      <c r="I20" s="30"/>
      <c r="J20" s="373" t="s">
        <v>70</v>
      </c>
      <c r="L20" s="1" t="s">
        <v>824</v>
      </c>
      <c r="M20" s="4"/>
      <c r="N20" s="119" t="s">
        <v>824</v>
      </c>
      <c r="O20" s="11"/>
      <c r="P20" s="145" t="s">
        <v>298</v>
      </c>
    </row>
    <row r="21" spans="1:16" s="2" customFormat="1" ht="25.2" customHeight="1">
      <c r="A21" s="317" t="s">
        <v>99</v>
      </c>
      <c r="B21" s="372" t="s">
        <v>70</v>
      </c>
      <c r="C21" s="29"/>
      <c r="D21" s="30"/>
      <c r="E21" s="30"/>
      <c r="F21" s="30"/>
      <c r="G21" s="30"/>
      <c r="H21" s="30"/>
      <c r="I21" s="30"/>
      <c r="J21" s="373" t="s">
        <v>70</v>
      </c>
      <c r="L21" s="1" t="s">
        <v>825</v>
      </c>
      <c r="M21" s="4"/>
      <c r="N21" s="119" t="s">
        <v>825</v>
      </c>
      <c r="O21" s="11"/>
      <c r="P21" s="145" t="s">
        <v>298</v>
      </c>
    </row>
    <row r="22" spans="1:16" s="2" customFormat="1" ht="25.2" customHeight="1">
      <c r="A22" s="317" t="s">
        <v>99</v>
      </c>
      <c r="B22" s="372" t="s">
        <v>70</v>
      </c>
      <c r="C22" s="29"/>
      <c r="D22" s="30"/>
      <c r="E22" s="30"/>
      <c r="F22" s="30"/>
      <c r="G22" s="30"/>
      <c r="H22" s="30"/>
      <c r="I22" s="30"/>
      <c r="J22" s="373" t="s">
        <v>70</v>
      </c>
      <c r="L22" s="1" t="s">
        <v>826</v>
      </c>
      <c r="M22" s="4"/>
      <c r="N22" s="119" t="s">
        <v>826</v>
      </c>
      <c r="O22" s="11"/>
      <c r="P22" s="145" t="s">
        <v>298</v>
      </c>
    </row>
    <row r="23" spans="1:16" s="2" customFormat="1" ht="25.2" customHeight="1">
      <c r="A23" s="317" t="s">
        <v>99</v>
      </c>
      <c r="B23" s="372" t="s">
        <v>70</v>
      </c>
      <c r="C23" s="29"/>
      <c r="D23" s="30"/>
      <c r="E23" s="30"/>
      <c r="F23" s="30"/>
      <c r="G23" s="373" t="s">
        <v>70</v>
      </c>
      <c r="H23" s="30"/>
      <c r="I23" s="30"/>
      <c r="J23" s="30"/>
      <c r="L23" s="1" t="s">
        <v>827</v>
      </c>
      <c r="M23" s="4"/>
      <c r="N23" s="119" t="s">
        <v>827</v>
      </c>
      <c r="O23" s="11"/>
      <c r="P23" s="145" t="s">
        <v>298</v>
      </c>
    </row>
    <row r="24" spans="1:16" s="2" customFormat="1" ht="25.2" customHeight="1">
      <c r="A24" s="317" t="s">
        <v>99</v>
      </c>
      <c r="B24" s="372" t="s">
        <v>70</v>
      </c>
      <c r="C24" s="29"/>
      <c r="D24" s="30"/>
      <c r="E24" s="30"/>
      <c r="F24" s="30"/>
      <c r="G24" s="373" t="s">
        <v>70</v>
      </c>
      <c r="H24" s="30"/>
      <c r="I24" s="30"/>
      <c r="J24" s="30"/>
      <c r="L24" s="1" t="s">
        <v>828</v>
      </c>
      <c r="M24" s="4"/>
      <c r="N24" s="119" t="s">
        <v>828</v>
      </c>
      <c r="O24" s="11"/>
      <c r="P24" s="145" t="s">
        <v>298</v>
      </c>
    </row>
    <row r="25" spans="1:16" s="2" customFormat="1" ht="25.2" customHeight="1">
      <c r="A25" s="317" t="s">
        <v>99</v>
      </c>
      <c r="B25" s="372" t="s">
        <v>70</v>
      </c>
      <c r="C25" s="29"/>
      <c r="D25" s="30"/>
      <c r="E25" s="30"/>
      <c r="F25" s="30"/>
      <c r="G25" s="373" t="s">
        <v>70</v>
      </c>
      <c r="H25" s="30"/>
      <c r="I25" s="30"/>
      <c r="J25" s="30"/>
      <c r="L25" s="1" t="s">
        <v>829</v>
      </c>
      <c r="M25" s="4"/>
      <c r="N25" s="119" t="s">
        <v>829</v>
      </c>
      <c r="O25" s="11"/>
      <c r="P25" s="145" t="s">
        <v>298</v>
      </c>
    </row>
    <row r="26" spans="1:16" s="2" customFormat="1" ht="25.2" customHeight="1">
      <c r="A26" s="317" t="s">
        <v>99</v>
      </c>
      <c r="B26" s="372" t="s">
        <v>70</v>
      </c>
      <c r="C26" s="29"/>
      <c r="D26" s="30"/>
      <c r="E26" s="30"/>
      <c r="F26" s="30"/>
      <c r="G26" s="373" t="s">
        <v>70</v>
      </c>
      <c r="H26" s="30"/>
      <c r="I26" s="30"/>
      <c r="J26" s="30"/>
      <c r="L26" s="1" t="s">
        <v>830</v>
      </c>
      <c r="M26" s="4"/>
      <c r="N26" s="119" t="s">
        <v>830</v>
      </c>
      <c r="O26" s="11"/>
      <c r="P26" s="145" t="s">
        <v>298</v>
      </c>
    </row>
    <row r="27" spans="1:16" s="2" customFormat="1" ht="25.2" customHeight="1">
      <c r="A27" s="317" t="s">
        <v>99</v>
      </c>
      <c r="B27" s="372" t="s">
        <v>70</v>
      </c>
      <c r="C27" s="29"/>
      <c r="D27" s="30"/>
      <c r="E27" s="30"/>
      <c r="F27" s="30"/>
      <c r="G27" s="373" t="s">
        <v>70</v>
      </c>
      <c r="H27" s="30"/>
      <c r="I27" s="30"/>
      <c r="J27" s="30"/>
      <c r="L27" s="1" t="s">
        <v>831</v>
      </c>
      <c r="M27" s="4"/>
      <c r="N27" s="119" t="s">
        <v>831</v>
      </c>
      <c r="O27" s="11"/>
      <c r="P27" s="145" t="s">
        <v>298</v>
      </c>
    </row>
    <row r="28" spans="1:16" s="2" customFormat="1" ht="25.2" customHeight="1">
      <c r="A28" s="317" t="s">
        <v>99</v>
      </c>
      <c r="B28" s="372" t="s">
        <v>70</v>
      </c>
      <c r="C28" s="29"/>
      <c r="D28" s="30"/>
      <c r="E28" s="30"/>
      <c r="F28" s="30"/>
      <c r="G28" s="30"/>
      <c r="H28" s="30"/>
      <c r="I28" s="30"/>
      <c r="J28" s="373" t="s">
        <v>70</v>
      </c>
      <c r="L28" s="1" t="s">
        <v>832</v>
      </c>
      <c r="M28" s="4"/>
      <c r="N28" s="119" t="s">
        <v>832</v>
      </c>
      <c r="O28" s="11"/>
      <c r="P28" s="145" t="s">
        <v>298</v>
      </c>
    </row>
    <row r="29" spans="1:16" s="2" customFormat="1" ht="25.2" customHeight="1">
      <c r="A29" s="317" t="s">
        <v>99</v>
      </c>
      <c r="B29" s="372" t="s">
        <v>70</v>
      </c>
      <c r="C29" s="29"/>
      <c r="D29" s="30"/>
      <c r="E29" s="30"/>
      <c r="F29" s="30"/>
      <c r="G29" s="30"/>
      <c r="H29" s="30"/>
      <c r="I29" s="30"/>
      <c r="J29" s="30"/>
      <c r="L29" s="1" t="s">
        <v>833</v>
      </c>
      <c r="M29" s="4"/>
      <c r="N29" s="119" t="s">
        <v>833</v>
      </c>
      <c r="O29" s="11"/>
      <c r="P29" s="145" t="s">
        <v>298</v>
      </c>
    </row>
    <row r="30" spans="1:16" s="2" customFormat="1" ht="25.2" customHeight="1">
      <c r="A30" s="317" t="s">
        <v>99</v>
      </c>
      <c r="B30" s="372" t="s">
        <v>70</v>
      </c>
      <c r="C30" s="29"/>
      <c r="D30" s="30"/>
      <c r="E30" s="30"/>
      <c r="F30" s="30"/>
      <c r="G30" s="30"/>
      <c r="H30" s="30"/>
      <c r="I30" s="30"/>
      <c r="J30" s="30"/>
      <c r="L30" s="370" t="s">
        <v>821</v>
      </c>
      <c r="M30" s="4"/>
      <c r="N30" s="119" t="s">
        <v>834</v>
      </c>
      <c r="O30" s="11"/>
      <c r="P30" s="145" t="s">
        <v>298</v>
      </c>
    </row>
    <row r="31" spans="1:16" s="2" customFormat="1" ht="25.2" customHeight="1">
      <c r="A31" s="317" t="s">
        <v>98</v>
      </c>
      <c r="B31" s="372" t="s">
        <v>70</v>
      </c>
      <c r="C31" s="29"/>
      <c r="D31" s="30"/>
      <c r="E31" s="30"/>
      <c r="F31" s="30"/>
      <c r="G31" s="30"/>
      <c r="H31" s="30"/>
      <c r="I31" s="30"/>
      <c r="J31" s="30"/>
      <c r="L31" s="1"/>
      <c r="M31" s="4"/>
      <c r="N31" s="119" t="s">
        <v>835</v>
      </c>
      <c r="O31" s="11"/>
      <c r="P31" s="145" t="s">
        <v>298</v>
      </c>
    </row>
    <row r="32" spans="1:16" s="2" customFormat="1" ht="25.2" customHeight="1">
      <c r="A32" s="317" t="s">
        <v>100</v>
      </c>
      <c r="B32" s="372" t="s">
        <v>70</v>
      </c>
      <c r="C32" s="29"/>
      <c r="D32" s="30"/>
      <c r="E32" s="30"/>
      <c r="F32" s="30"/>
      <c r="G32" s="30"/>
      <c r="H32" s="30"/>
      <c r="I32" s="30"/>
      <c r="J32" s="30"/>
      <c r="L32" s="1"/>
      <c r="M32" s="4"/>
      <c r="N32" s="119"/>
      <c r="O32" s="11"/>
      <c r="P32" s="144"/>
    </row>
    <row r="33" spans="1:16" s="2" customFormat="1" ht="25.2" customHeight="1">
      <c r="A33" s="317" t="s">
        <v>100</v>
      </c>
      <c r="B33" s="372" t="s">
        <v>70</v>
      </c>
      <c r="C33" s="29"/>
      <c r="D33" s="30"/>
      <c r="E33" s="30"/>
      <c r="F33" s="30"/>
      <c r="G33" s="30"/>
      <c r="H33" s="30"/>
      <c r="I33" s="30"/>
      <c r="J33" s="30"/>
      <c r="L33" s="1"/>
      <c r="M33" s="4"/>
      <c r="N33" s="119"/>
      <c r="O33" s="11"/>
      <c r="P33" s="144"/>
    </row>
    <row r="34" spans="1:16" s="2" customFormat="1" ht="25.2" customHeight="1">
      <c r="A34" s="317" t="s">
        <v>100</v>
      </c>
      <c r="B34" s="372" t="s">
        <v>70</v>
      </c>
      <c r="C34" s="29"/>
      <c r="D34" s="30"/>
      <c r="E34" s="30"/>
      <c r="F34" s="30"/>
      <c r="G34" s="30"/>
      <c r="H34" s="30"/>
      <c r="I34" s="30"/>
      <c r="J34" s="30"/>
      <c r="L34" s="1"/>
      <c r="M34" s="4"/>
      <c r="N34" s="119"/>
      <c r="O34" s="11"/>
      <c r="P34" s="144"/>
    </row>
    <row r="35" spans="1:16" s="2" customFormat="1" ht="25.2" customHeight="1">
      <c r="A35" s="317" t="s">
        <v>100</v>
      </c>
      <c r="B35" s="372" t="s">
        <v>70</v>
      </c>
      <c r="C35" s="29"/>
      <c r="D35" s="30"/>
      <c r="E35" s="30"/>
      <c r="F35" s="30"/>
      <c r="G35" s="30"/>
      <c r="H35" s="30"/>
      <c r="I35" s="30"/>
      <c r="J35" s="30"/>
      <c r="L35" s="1"/>
      <c r="M35" s="4"/>
      <c r="N35" s="119"/>
      <c r="O35" s="11"/>
      <c r="P35" s="144"/>
    </row>
    <row r="36" spans="1:16" s="2" customFormat="1" ht="25.2" customHeight="1">
      <c r="A36" s="317" t="s">
        <v>100</v>
      </c>
      <c r="B36" s="372" t="s">
        <v>70</v>
      </c>
      <c r="C36" s="29"/>
      <c r="D36" s="30"/>
      <c r="E36" s="30"/>
      <c r="F36" s="30"/>
      <c r="G36" s="30"/>
      <c r="H36" s="30"/>
      <c r="I36" s="30"/>
      <c r="K36" s="30"/>
      <c r="L36" s="1"/>
      <c r="M36" s="4"/>
      <c r="N36" s="119"/>
      <c r="O36" s="11"/>
      <c r="P36" s="144"/>
    </row>
    <row r="37" spans="1:16" s="2" customFormat="1" ht="25.2" customHeight="1">
      <c r="A37" s="317" t="s">
        <v>100</v>
      </c>
      <c r="B37" s="372" t="s">
        <v>70</v>
      </c>
      <c r="C37" s="29"/>
      <c r="D37" s="30"/>
      <c r="E37" s="30"/>
      <c r="F37" s="30"/>
      <c r="G37" s="30"/>
      <c r="H37" s="30"/>
      <c r="I37" s="30"/>
      <c r="J37" s="30"/>
      <c r="L37" s="1"/>
      <c r="M37" s="4"/>
      <c r="N37" s="119"/>
      <c r="O37" s="11"/>
      <c r="P37" s="144"/>
    </row>
    <row r="38" spans="1:16" s="2" customFormat="1" ht="25.2" customHeight="1">
      <c r="A38" s="317" t="s">
        <v>100</v>
      </c>
      <c r="B38" s="372" t="s">
        <v>70</v>
      </c>
      <c r="C38" s="29"/>
      <c r="D38" s="30"/>
      <c r="E38" s="30"/>
      <c r="F38" s="30"/>
      <c r="G38" s="30"/>
      <c r="H38" s="30"/>
      <c r="I38" s="30"/>
      <c r="J38" s="30"/>
      <c r="L38" s="1"/>
      <c r="M38" s="4"/>
      <c r="N38" s="119"/>
      <c r="O38" s="11"/>
      <c r="P38" s="144"/>
    </row>
    <row r="39" spans="1:16" s="2" customFormat="1" ht="25.2" customHeight="1">
      <c r="A39" s="317" t="s">
        <v>100</v>
      </c>
      <c r="B39" s="372" t="s">
        <v>70</v>
      </c>
      <c r="C39" s="29"/>
      <c r="D39" s="30"/>
      <c r="E39" s="30"/>
      <c r="F39" s="30"/>
      <c r="G39" s="30"/>
      <c r="H39" s="30"/>
      <c r="I39" s="30"/>
      <c r="J39" s="30"/>
      <c r="L39" s="1"/>
      <c r="M39" s="4"/>
      <c r="N39" s="119"/>
      <c r="O39" s="11"/>
      <c r="P39" s="144"/>
    </row>
    <row r="40" spans="1:16" s="2" customFormat="1" ht="25.2" customHeight="1">
      <c r="A40" s="317" t="s">
        <v>100</v>
      </c>
      <c r="B40" s="372" t="s">
        <v>70</v>
      </c>
      <c r="C40" s="29"/>
      <c r="D40" s="30"/>
      <c r="E40" s="30"/>
      <c r="F40" s="30"/>
      <c r="G40" s="30"/>
      <c r="H40" s="30"/>
      <c r="I40" s="30"/>
      <c r="J40" s="30"/>
      <c r="L40" s="1"/>
      <c r="M40" s="4"/>
      <c r="N40" s="119"/>
      <c r="O40" s="11"/>
      <c r="P40" s="144"/>
    </row>
    <row r="41" spans="1:16" s="2" customFormat="1" ht="25.2" customHeight="1">
      <c r="A41" s="317" t="s">
        <v>100</v>
      </c>
      <c r="B41" s="372" t="s">
        <v>70</v>
      </c>
      <c r="C41" s="29"/>
      <c r="D41" s="30"/>
      <c r="E41" s="30"/>
      <c r="F41" s="30"/>
      <c r="G41" s="30"/>
      <c r="H41" s="30"/>
      <c r="I41" s="30"/>
      <c r="J41" s="30"/>
      <c r="L41" s="1"/>
      <c r="M41" s="4"/>
      <c r="N41" s="119"/>
      <c r="O41" s="11"/>
      <c r="P41" s="144"/>
    </row>
    <row r="42" spans="1:16" s="2" customFormat="1" ht="25.2" customHeight="1">
      <c r="A42" s="317" t="s">
        <v>100</v>
      </c>
      <c r="B42" s="372" t="s">
        <v>70</v>
      </c>
      <c r="C42" s="29"/>
      <c r="D42" s="30"/>
      <c r="E42" s="30"/>
      <c r="F42" s="30"/>
      <c r="G42" s="30"/>
      <c r="H42" s="30"/>
      <c r="I42" s="30"/>
      <c r="J42" s="30"/>
      <c r="L42" s="1"/>
      <c r="M42" s="4"/>
      <c r="N42" s="119"/>
      <c r="O42" s="11"/>
      <c r="P42" s="144"/>
    </row>
    <row r="43" spans="1:16" s="2" customFormat="1" ht="25.2" customHeight="1">
      <c r="A43" s="317" t="s">
        <v>100</v>
      </c>
      <c r="B43" s="372" t="s">
        <v>70</v>
      </c>
      <c r="C43" s="29"/>
      <c r="D43" s="30"/>
      <c r="E43" s="30"/>
      <c r="F43" s="30"/>
      <c r="G43" s="30"/>
      <c r="H43" s="30"/>
      <c r="I43" s="30"/>
      <c r="J43" s="30"/>
      <c r="L43" s="1"/>
      <c r="M43" s="4"/>
      <c r="N43" s="119"/>
      <c r="O43" s="11"/>
      <c r="P43" s="144"/>
    </row>
    <row r="44" spans="1:16" s="2" customFormat="1" ht="25.2" customHeight="1">
      <c r="A44" s="317" t="s">
        <v>100</v>
      </c>
      <c r="B44" s="372" t="s">
        <v>70</v>
      </c>
      <c r="C44" s="29"/>
      <c r="D44" s="30"/>
      <c r="E44" s="30"/>
      <c r="F44" s="30"/>
      <c r="G44" s="30"/>
      <c r="H44" s="30"/>
      <c r="I44" s="30"/>
      <c r="J44" s="30"/>
      <c r="L44" s="1"/>
      <c r="M44" s="4"/>
      <c r="N44" s="119"/>
      <c r="O44" s="11"/>
      <c r="P44" s="144"/>
    </row>
    <row r="45" spans="1:16" s="2" customFormat="1" ht="25.2" customHeight="1">
      <c r="A45" s="317" t="s">
        <v>100</v>
      </c>
      <c r="B45" s="372" t="s">
        <v>70</v>
      </c>
      <c r="C45" s="29"/>
      <c r="D45" s="30"/>
      <c r="E45" s="30"/>
      <c r="F45" s="30"/>
      <c r="G45" s="30"/>
      <c r="H45" s="30"/>
      <c r="I45" s="30"/>
      <c r="J45" s="30"/>
      <c r="L45" s="1"/>
      <c r="M45" s="4"/>
      <c r="N45" s="119"/>
      <c r="O45" s="11"/>
      <c r="P45" s="144"/>
    </row>
    <row r="46" spans="1:16" s="2" customFormat="1" ht="25.2" customHeight="1">
      <c r="A46" s="317" t="s">
        <v>100</v>
      </c>
      <c r="B46" s="372" t="s">
        <v>70</v>
      </c>
      <c r="C46" s="29"/>
      <c r="D46" s="30"/>
      <c r="E46" s="30"/>
      <c r="F46" s="30"/>
      <c r="G46" s="30"/>
      <c r="H46" s="30"/>
      <c r="I46" s="30"/>
      <c r="J46" s="30"/>
      <c r="L46" s="1"/>
      <c r="M46" s="4"/>
      <c r="N46" s="119"/>
      <c r="O46" s="11"/>
      <c r="P46" s="144"/>
    </row>
    <row r="47" spans="1:16" s="2" customFormat="1" ht="25.2" customHeight="1">
      <c r="A47" s="317" t="s">
        <v>100</v>
      </c>
      <c r="B47" s="372" t="s">
        <v>70</v>
      </c>
      <c r="C47" s="29"/>
      <c r="D47" s="30"/>
      <c r="E47" s="30"/>
      <c r="F47" s="30"/>
      <c r="G47" s="30"/>
      <c r="H47" s="30"/>
      <c r="I47" s="30"/>
      <c r="J47" s="30"/>
      <c r="L47" s="1"/>
      <c r="M47" s="4"/>
      <c r="N47" s="119"/>
      <c r="O47" s="11"/>
      <c r="P47" s="144"/>
    </row>
    <row r="48" spans="1:16" s="2" customFormat="1" ht="25.2" customHeight="1">
      <c r="A48" s="317" t="s">
        <v>100</v>
      </c>
      <c r="B48" s="372" t="s">
        <v>70</v>
      </c>
      <c r="C48" s="29"/>
      <c r="D48" s="30"/>
      <c r="E48" s="30"/>
      <c r="F48" s="30"/>
      <c r="G48" s="30"/>
      <c r="H48" s="30"/>
      <c r="I48" s="30"/>
      <c r="J48" s="30"/>
      <c r="L48" s="1"/>
      <c r="M48" s="4"/>
      <c r="N48" s="119"/>
      <c r="O48" s="11"/>
      <c r="P48" s="144"/>
    </row>
    <row r="49" spans="1:16" s="2" customFormat="1" ht="25.2" customHeight="1">
      <c r="A49" s="317" t="s">
        <v>100</v>
      </c>
      <c r="B49" s="372" t="s">
        <v>70</v>
      </c>
      <c r="C49" s="29"/>
      <c r="D49" s="30"/>
      <c r="E49" s="30"/>
      <c r="F49" s="30"/>
      <c r="G49" s="30"/>
      <c r="H49" s="30"/>
      <c r="I49" s="30"/>
      <c r="J49" s="30"/>
      <c r="L49" s="1"/>
      <c r="M49" s="4"/>
      <c r="N49" s="119"/>
      <c r="O49" s="11"/>
      <c r="P49" s="144"/>
    </row>
    <row r="50" spans="1:16" s="2" customFormat="1" ht="25.2" customHeight="1">
      <c r="A50" s="317" t="s">
        <v>100</v>
      </c>
      <c r="B50" s="372" t="s">
        <v>70</v>
      </c>
      <c r="C50" s="29"/>
      <c r="D50" s="30"/>
      <c r="E50" s="30"/>
      <c r="F50" s="30"/>
      <c r="G50" s="30"/>
      <c r="H50" s="30"/>
      <c r="I50" s="30"/>
      <c r="J50" s="30"/>
      <c r="L50" s="1"/>
      <c r="M50" s="4"/>
      <c r="N50" s="119"/>
      <c r="O50" s="11"/>
      <c r="P50" s="144"/>
    </row>
  </sheetData>
  <hyperlinks>
    <hyperlink ref="N3" r:id="rId1" xr:uid="{051A71EE-8542-4DF3-B6BD-CAEEC4CEDBFD}"/>
    <hyperlink ref="N4" r:id="rId2" xr:uid="{9F58712E-2B3C-4861-B642-78B28B387B84}"/>
    <hyperlink ref="N5" r:id="rId3" xr:uid="{62C06E6D-5A27-4895-B94C-C6DCA75F8B62}"/>
    <hyperlink ref="N6" r:id="rId4" xr:uid="{F136EBD0-AEE3-44B7-BF67-56B812ACA3CA}"/>
    <hyperlink ref="N7" r:id="rId5" xr:uid="{C25C67E0-8323-46BD-9CD5-2C5ED4409F6B}"/>
    <hyperlink ref="N8" r:id="rId6" xr:uid="{84CBF320-979D-4B6C-BFC3-936D84F72A80}"/>
    <hyperlink ref="N9" r:id="rId7" xr:uid="{38BCFFA7-E20B-4D65-ADC6-FAC272B5C0E8}"/>
    <hyperlink ref="N10" r:id="rId8" xr:uid="{328575B9-266E-42DE-8718-7FBD80FB11B3}"/>
    <hyperlink ref="N11" r:id="rId9" xr:uid="{D09F2957-811B-4516-88A8-D1E34BFD7594}"/>
    <hyperlink ref="N12" r:id="rId10" xr:uid="{34294904-806F-4844-8C1D-E9CC1DD3393F}"/>
    <hyperlink ref="N13" r:id="rId11" xr:uid="{D65F2879-A2F3-4FE0-9D6A-D2B9D10A5F20}"/>
    <hyperlink ref="N14" r:id="rId12" xr:uid="{CD2844A8-7763-450A-8EDD-F5467A149389}"/>
    <hyperlink ref="N15" r:id="rId13" xr:uid="{D8C8DEEE-22A4-4D97-B4D4-77F38EE6BCD5}"/>
    <hyperlink ref="N18" r:id="rId14" xr:uid="{0F63DD3D-670D-4477-AC48-A57CEB87FE7B}"/>
    <hyperlink ref="N19" r:id="rId15" xr:uid="{C6DD4464-66AF-4985-B687-295CCB1886C0}"/>
    <hyperlink ref="N20" r:id="rId16" xr:uid="{666C0A17-DE5A-4952-B31A-160C6EFBCE69}"/>
    <hyperlink ref="N21" r:id="rId17" xr:uid="{68FD5825-8670-4ECE-9362-A152845AD670}"/>
    <hyperlink ref="N22" r:id="rId18" xr:uid="{FDAC5C0C-E000-4210-B886-15DF183564FB}"/>
    <hyperlink ref="N23" r:id="rId19" xr:uid="{C2376EC4-4BE0-487D-BCB4-ADB8DA08E7BD}"/>
    <hyperlink ref="N24" r:id="rId20" xr:uid="{AA3930AB-ECD2-4E23-9421-B15221D14A24}"/>
    <hyperlink ref="N25" r:id="rId21" xr:uid="{4E4D0DD3-EE5D-41C8-BFFB-5604644D17C7}"/>
    <hyperlink ref="N26" r:id="rId22" xr:uid="{3538627E-566B-4385-89D3-B00DA08FB28D}"/>
    <hyperlink ref="N27" r:id="rId23" xr:uid="{73D15C80-9E61-4E97-B478-AE4509196D86}"/>
    <hyperlink ref="N28" r:id="rId24" xr:uid="{3249E8FC-A6ED-42A1-ADC9-814B7246365B}"/>
    <hyperlink ref="N29" r:id="rId25" xr:uid="{3C03216F-77FC-48CC-962C-9D9D85DF07B1}"/>
    <hyperlink ref="N30" r:id="rId26" xr:uid="{604B1456-D54E-4F22-8D88-DC310459B16D}"/>
    <hyperlink ref="N31" r:id="rId27" xr:uid="{81F80288-D43E-4069-A15B-38884CE7A848}"/>
  </hyperlinks>
  <pageMargins left="0.7" right="0.7" top="0.78740157499999996" bottom="0.78740157499999996" header="0.3" footer="0.3"/>
  <pageSetup paperSize="9" orientation="portrait" r:id="rId28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3CAE9-9B79-4DA7-918D-2FD2C40EFFEF}">
  <sheetPr codeName="Tabelle8"/>
  <dimension ref="A1:S337"/>
  <sheetViews>
    <sheetView workbookViewId="0">
      <pane ySplit="1" topLeftCell="A40" activePane="bottomLeft" state="frozen"/>
      <selection activeCell="K2" sqref="K2"/>
      <selection pane="bottomLeft" activeCell="L48" sqref="L48"/>
    </sheetView>
  </sheetViews>
  <sheetFormatPr baseColWidth="10" defaultColWidth="11.5546875" defaultRowHeight="15.6"/>
  <cols>
    <col min="1" max="1" width="8.33203125" style="320" customWidth="1"/>
    <col min="2" max="10" width="3.6640625" style="33" bestFit="1" customWidth="1"/>
    <col min="11" max="11" width="6.6640625" bestFit="1" customWidth="1"/>
    <col min="12" max="12" width="36.33203125" style="79" bestFit="1" customWidth="1"/>
    <col min="13" max="13" width="23.109375" style="79" customWidth="1"/>
    <col min="14" max="14" width="22.109375" style="17" customWidth="1"/>
    <col min="15" max="15" width="34.5546875" style="18" bestFit="1" customWidth="1"/>
    <col min="16" max="16" width="10.6640625" style="17" customWidth="1"/>
    <col min="17" max="17" width="9" style="17" customWidth="1"/>
    <col min="18" max="18" width="8.88671875" style="310" customWidth="1"/>
    <col min="19" max="19" width="6.109375" style="341" bestFit="1" customWidth="1"/>
    <col min="20" max="16384" width="11.5546875" style="17"/>
  </cols>
  <sheetData>
    <row r="1" spans="1:19" s="15" customFormat="1" ht="55.2" customHeight="1">
      <c r="A1" s="315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24" t="s">
        <v>14</v>
      </c>
      <c r="O1" s="25" t="s">
        <v>95</v>
      </c>
      <c r="R1" s="310"/>
      <c r="S1" s="339"/>
    </row>
    <row r="2" spans="1:19" s="2" customFormat="1" ht="25.2" customHeight="1">
      <c r="A2" s="316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 t="s">
        <v>46</v>
      </c>
      <c r="N2" s="15"/>
      <c r="O2" s="16"/>
      <c r="R2" s="310"/>
      <c r="S2" s="340"/>
    </row>
    <row r="3" spans="1:19" s="2" customFormat="1" ht="25.2" customHeight="1">
      <c r="A3" s="317" t="s">
        <v>99</v>
      </c>
      <c r="B3" s="29" t="s">
        <v>70</v>
      </c>
      <c r="C3" s="333" t="s">
        <v>70</v>
      </c>
      <c r="D3" s="334" t="s">
        <v>70</v>
      </c>
      <c r="E3" s="30"/>
      <c r="F3" s="30"/>
      <c r="G3" s="30"/>
      <c r="H3" s="30"/>
      <c r="I3" s="30"/>
      <c r="J3" s="30"/>
      <c r="L3" s="1" t="s">
        <v>38</v>
      </c>
      <c r="M3" s="84"/>
      <c r="N3" s="119" t="s">
        <v>167</v>
      </c>
      <c r="O3" s="16"/>
      <c r="P3" s="145" t="s">
        <v>298</v>
      </c>
      <c r="Q3" s="145"/>
      <c r="R3" s="310"/>
      <c r="S3" s="340"/>
    </row>
    <row r="4" spans="1:19" s="2" customFormat="1" ht="25.2" customHeight="1">
      <c r="A4" s="317" t="s">
        <v>99</v>
      </c>
      <c r="B4" s="29" t="s">
        <v>70</v>
      </c>
      <c r="C4" s="29" t="s">
        <v>70</v>
      </c>
      <c r="D4" s="30" t="s">
        <v>70</v>
      </c>
      <c r="E4" s="30"/>
      <c r="F4" s="30"/>
      <c r="G4" s="30"/>
      <c r="H4" s="30"/>
      <c r="I4" s="30"/>
      <c r="J4" s="30"/>
      <c r="L4" s="1" t="s">
        <v>44</v>
      </c>
      <c r="M4" s="84"/>
      <c r="N4" s="119" t="s">
        <v>168</v>
      </c>
      <c r="O4" s="16"/>
      <c r="P4" s="145" t="s">
        <v>298</v>
      </c>
      <c r="Q4" s="145"/>
      <c r="R4" s="310"/>
      <c r="S4" s="340"/>
    </row>
    <row r="5" spans="1:19" s="2" customFormat="1" ht="25.2" customHeight="1">
      <c r="A5" s="317" t="s">
        <v>99</v>
      </c>
      <c r="B5" s="29" t="s">
        <v>70</v>
      </c>
      <c r="C5" s="29" t="s">
        <v>70</v>
      </c>
      <c r="D5" s="30" t="s">
        <v>70</v>
      </c>
      <c r="E5" s="30"/>
      <c r="F5" s="30"/>
      <c r="G5" s="30"/>
      <c r="H5" s="30"/>
      <c r="I5" s="30"/>
      <c r="J5" s="30"/>
      <c r="L5" s="1" t="s">
        <v>24</v>
      </c>
      <c r="M5" s="84"/>
      <c r="N5" s="119" t="s">
        <v>169</v>
      </c>
      <c r="O5" s="16"/>
      <c r="P5" s="286" t="s">
        <v>298</v>
      </c>
      <c r="Q5" s="286"/>
      <c r="R5" s="310"/>
      <c r="S5" s="340"/>
    </row>
    <row r="6" spans="1:19" s="101" customFormat="1" ht="31.2">
      <c r="A6" s="317" t="s">
        <v>98</v>
      </c>
      <c r="B6" s="97" t="s">
        <v>70</v>
      </c>
      <c r="C6" s="31" t="s">
        <v>70</v>
      </c>
      <c r="D6" s="32" t="s">
        <v>70</v>
      </c>
      <c r="E6" s="32"/>
      <c r="F6" s="32"/>
      <c r="G6" s="32"/>
      <c r="H6" s="32"/>
      <c r="I6" s="32"/>
      <c r="J6" s="32"/>
      <c r="L6" s="96"/>
      <c r="N6" s="119" t="s">
        <v>169</v>
      </c>
      <c r="O6" s="408" t="s">
        <v>887</v>
      </c>
      <c r="P6" s="137" t="s">
        <v>298</v>
      </c>
    </row>
    <row r="7" spans="1:19" s="2" customFormat="1" ht="25.2" customHeight="1">
      <c r="A7" s="317" t="s">
        <v>99</v>
      </c>
      <c r="B7" s="29" t="s">
        <v>70</v>
      </c>
      <c r="C7" s="29" t="s">
        <v>70</v>
      </c>
      <c r="D7" s="30" t="s">
        <v>70</v>
      </c>
      <c r="E7" s="30"/>
      <c r="F7" s="30"/>
      <c r="G7" s="30"/>
      <c r="H7" s="30"/>
      <c r="I7" s="30"/>
      <c r="J7" s="30"/>
      <c r="L7" s="1" t="s">
        <v>45</v>
      </c>
      <c r="M7" s="84"/>
      <c r="N7" s="119" t="s">
        <v>170</v>
      </c>
      <c r="O7" s="16"/>
      <c r="P7" s="145" t="s">
        <v>298</v>
      </c>
      <c r="Q7" s="145"/>
      <c r="R7" s="310"/>
      <c r="S7" s="340"/>
    </row>
    <row r="8" spans="1:19" s="2" customFormat="1" ht="25.2" customHeight="1">
      <c r="A8" s="317" t="s">
        <v>99</v>
      </c>
      <c r="B8" s="29" t="s">
        <v>70</v>
      </c>
      <c r="C8" s="29"/>
      <c r="D8" s="30" t="s">
        <v>70</v>
      </c>
      <c r="E8" s="30"/>
      <c r="F8" s="30"/>
      <c r="G8" s="30"/>
      <c r="H8" s="30"/>
      <c r="I8" s="30"/>
      <c r="J8" s="30"/>
      <c r="L8" s="1" t="s">
        <v>4</v>
      </c>
      <c r="M8" s="84"/>
      <c r="N8" s="119" t="s">
        <v>171</v>
      </c>
      <c r="O8" s="16"/>
      <c r="P8" s="145" t="s">
        <v>298</v>
      </c>
      <c r="Q8" s="145"/>
      <c r="R8" s="310"/>
      <c r="S8" s="340"/>
    </row>
    <row r="9" spans="1:19" s="2" customFormat="1" ht="25.2" customHeight="1">
      <c r="A9" s="317" t="s">
        <v>99</v>
      </c>
      <c r="B9" s="29" t="s">
        <v>70</v>
      </c>
      <c r="C9" s="406" t="s">
        <v>70</v>
      </c>
      <c r="D9" s="30" t="s">
        <v>70</v>
      </c>
      <c r="E9" s="30"/>
      <c r="F9" s="30"/>
      <c r="G9" s="30"/>
      <c r="H9" s="30"/>
      <c r="I9" s="30"/>
      <c r="J9" s="30"/>
      <c r="L9" s="1" t="s">
        <v>32</v>
      </c>
      <c r="M9" s="84"/>
      <c r="N9" s="119" t="s">
        <v>171</v>
      </c>
      <c r="O9" s="16"/>
      <c r="P9" s="145" t="s">
        <v>298</v>
      </c>
      <c r="Q9" s="145"/>
      <c r="R9" s="310"/>
      <c r="S9" s="340"/>
    </row>
    <row r="10" spans="1:19" s="2" customFormat="1" ht="25.2" customHeight="1">
      <c r="A10" s="317" t="s">
        <v>99</v>
      </c>
      <c r="B10" s="29" t="s">
        <v>70</v>
      </c>
      <c r="C10" s="36"/>
      <c r="D10" s="37" t="s">
        <v>70</v>
      </c>
      <c r="E10" s="37"/>
      <c r="F10" s="37"/>
      <c r="G10" s="37"/>
      <c r="H10" s="37"/>
      <c r="I10" s="37"/>
      <c r="J10" s="37"/>
      <c r="L10" s="1" t="s">
        <v>138</v>
      </c>
      <c r="M10" s="84"/>
      <c r="N10" s="119" t="s">
        <v>172</v>
      </c>
      <c r="O10" s="16"/>
      <c r="P10" s="145" t="s">
        <v>298</v>
      </c>
      <c r="Q10" s="145"/>
      <c r="R10" s="310"/>
      <c r="S10" s="340"/>
    </row>
    <row r="11" spans="1:19" s="2" customFormat="1" ht="26.4" customHeight="1">
      <c r="A11" s="317" t="s">
        <v>99</v>
      </c>
      <c r="B11" s="29" t="s">
        <v>70</v>
      </c>
      <c r="C11" s="36"/>
      <c r="D11" s="37"/>
      <c r="E11" s="37"/>
      <c r="F11" s="37"/>
      <c r="G11" s="37"/>
      <c r="H11" s="37"/>
      <c r="I11" s="37"/>
      <c r="J11" s="37"/>
      <c r="L11" s="1" t="s">
        <v>43</v>
      </c>
      <c r="M11" s="1"/>
      <c r="N11" s="119" t="s">
        <v>172</v>
      </c>
      <c r="O11" s="16"/>
      <c r="P11" s="145" t="s">
        <v>298</v>
      </c>
      <c r="Q11" s="145"/>
      <c r="R11" s="310"/>
      <c r="S11" s="340"/>
    </row>
    <row r="12" spans="1:19" s="2" customFormat="1" ht="26.4" customHeight="1">
      <c r="A12" s="317" t="s">
        <v>99</v>
      </c>
      <c r="B12" s="29" t="s">
        <v>70</v>
      </c>
      <c r="C12" s="36"/>
      <c r="D12" s="37" t="s">
        <v>70</v>
      </c>
      <c r="E12" s="37"/>
      <c r="F12" s="37"/>
      <c r="G12" s="37"/>
      <c r="H12" s="37"/>
      <c r="I12" s="37"/>
      <c r="J12" s="37"/>
      <c r="L12" s="1" t="s">
        <v>47</v>
      </c>
      <c r="M12" s="1" t="s">
        <v>886</v>
      </c>
      <c r="N12" s="119"/>
      <c r="O12" s="16"/>
      <c r="P12" s="145" t="s">
        <v>719</v>
      </c>
      <c r="Q12" s="145" t="s">
        <v>738</v>
      </c>
      <c r="R12" s="310" t="e">
        <f>HYPERLINK("#'STD_F'!C" &amp; S12,"Link")</f>
        <v>#N/A</v>
      </c>
      <c r="S12" s="340" t="e">
        <f>MATCH(Q12,STD_F!C:C,0)</f>
        <v>#N/A</v>
      </c>
    </row>
    <row r="13" spans="1:19" s="2" customFormat="1" ht="26.4" customHeight="1">
      <c r="A13" s="317" t="s">
        <v>99</v>
      </c>
      <c r="B13" s="29"/>
      <c r="C13" s="36"/>
      <c r="D13" s="37"/>
      <c r="E13" s="37"/>
      <c r="F13" s="37"/>
      <c r="G13" s="37"/>
      <c r="H13" s="37"/>
      <c r="I13" s="37"/>
      <c r="J13" s="37"/>
      <c r="L13" s="1" t="s">
        <v>728</v>
      </c>
      <c r="M13" s="1" t="s">
        <v>884</v>
      </c>
      <c r="N13" s="119"/>
      <c r="O13" s="16"/>
      <c r="P13" s="145" t="s">
        <v>719</v>
      </c>
      <c r="Q13" s="145" t="s">
        <v>740</v>
      </c>
      <c r="R13" s="310" t="str">
        <f>HYPERLINK("#'STD_F'!C" &amp; S13,"Link")</f>
        <v>Link</v>
      </c>
      <c r="S13" s="340">
        <f>MATCH(Q13,STD_F!C:C,0)</f>
        <v>16</v>
      </c>
    </row>
    <row r="14" spans="1:19" s="2" customFormat="1" ht="26.4" customHeight="1">
      <c r="A14" s="317" t="s">
        <v>99</v>
      </c>
      <c r="B14" s="29" t="s">
        <v>70</v>
      </c>
      <c r="C14" s="36"/>
      <c r="D14" s="37" t="s">
        <v>70</v>
      </c>
      <c r="E14" s="37"/>
      <c r="F14" s="37"/>
      <c r="G14" s="37"/>
      <c r="H14" s="37"/>
      <c r="I14" s="37"/>
      <c r="J14" s="37"/>
      <c r="L14" s="1" t="s">
        <v>748</v>
      </c>
      <c r="M14" s="1" t="s">
        <v>885</v>
      </c>
      <c r="N14" s="119"/>
      <c r="O14" s="16"/>
      <c r="P14" s="145" t="s">
        <v>719</v>
      </c>
      <c r="Q14" s="145" t="s">
        <v>736</v>
      </c>
      <c r="R14" s="310" t="str">
        <f>HYPERLINK("#'STD_F'!C" &amp; S14,"Link")</f>
        <v>Link</v>
      </c>
      <c r="S14" s="340">
        <f>MATCH(Q14,STD_F!C:C,0)</f>
        <v>25</v>
      </c>
    </row>
    <row r="15" spans="1:19" s="2" customFormat="1" ht="25.2" customHeight="1">
      <c r="A15" s="317" t="s">
        <v>99</v>
      </c>
      <c r="B15" s="29" t="s">
        <v>70</v>
      </c>
      <c r="C15" s="36"/>
      <c r="D15" s="37"/>
      <c r="E15" s="37"/>
      <c r="F15" s="37"/>
      <c r="G15" s="37"/>
      <c r="H15" s="37"/>
      <c r="I15" s="37"/>
      <c r="J15" s="37"/>
      <c r="L15" s="386" t="s">
        <v>869</v>
      </c>
      <c r="N15" s="344" t="s">
        <v>627</v>
      </c>
      <c r="O15" s="1" t="s">
        <v>140</v>
      </c>
      <c r="P15" s="144"/>
      <c r="Q15" s="285" t="s">
        <v>737</v>
      </c>
      <c r="R15" s="330" t="str">
        <f>HYPERLINK("#'STD_F'!C" &amp; S15,"Link")</f>
        <v>Link</v>
      </c>
      <c r="S15" s="340">
        <f>MATCH(Q15,STD_F!C:C,0)</f>
        <v>30</v>
      </c>
    </row>
    <row r="16" spans="1:19" s="2" customFormat="1" ht="25.2" customHeight="1">
      <c r="A16" s="317" t="s">
        <v>98</v>
      </c>
      <c r="B16" s="29" t="s">
        <v>70</v>
      </c>
      <c r="C16" s="36"/>
      <c r="D16" s="37"/>
      <c r="E16" s="37"/>
      <c r="F16" s="37"/>
      <c r="G16" s="37"/>
      <c r="H16" s="37"/>
      <c r="I16" s="37"/>
      <c r="J16" s="37"/>
      <c r="N16" s="344" t="s">
        <v>627</v>
      </c>
      <c r="O16" s="1" t="s">
        <v>139</v>
      </c>
      <c r="P16" s="165" t="s">
        <v>754</v>
      </c>
      <c r="Q16" s="285"/>
      <c r="R16" s="310"/>
      <c r="S16" s="340"/>
    </row>
    <row r="17" spans="1:19" s="2" customFormat="1" ht="25.2" customHeight="1">
      <c r="A17" s="317" t="s">
        <v>98</v>
      </c>
      <c r="B17" s="29" t="s">
        <v>70</v>
      </c>
      <c r="C17" s="36"/>
      <c r="D17" s="37"/>
      <c r="E17" s="37"/>
      <c r="F17" s="37"/>
      <c r="G17" s="37"/>
      <c r="H17" s="37"/>
      <c r="I17" s="37"/>
      <c r="J17" s="37"/>
      <c r="N17" s="344" t="s">
        <v>627</v>
      </c>
      <c r="O17" s="1" t="s">
        <v>631</v>
      </c>
      <c r="P17" s="165" t="s">
        <v>754</v>
      </c>
      <c r="Q17" s="285"/>
      <c r="R17" s="310"/>
      <c r="S17" s="340"/>
    </row>
    <row r="18" spans="1:19" s="2" customFormat="1" ht="25.2" customHeight="1">
      <c r="A18" s="317" t="s">
        <v>99</v>
      </c>
      <c r="B18" s="36" t="s">
        <v>70</v>
      </c>
      <c r="C18" s="36"/>
      <c r="D18" s="37"/>
      <c r="E18" s="37"/>
      <c r="F18" s="37"/>
      <c r="G18" s="37"/>
      <c r="H18" s="37" t="s">
        <v>70</v>
      </c>
      <c r="I18" s="37"/>
      <c r="J18" s="37"/>
      <c r="L18" s="1" t="s">
        <v>207</v>
      </c>
      <c r="N18" s="119" t="s">
        <v>313</v>
      </c>
      <c r="O18" s="16"/>
      <c r="P18" s="145" t="s">
        <v>298</v>
      </c>
      <c r="Q18" s="145"/>
      <c r="R18" s="310"/>
      <c r="S18" s="340"/>
    </row>
    <row r="19" spans="1:19" s="2" customFormat="1" ht="25.2" customHeight="1">
      <c r="A19" s="317" t="s">
        <v>99</v>
      </c>
      <c r="B19" s="36" t="s">
        <v>70</v>
      </c>
      <c r="C19" s="36"/>
      <c r="D19" s="37"/>
      <c r="E19" s="37"/>
      <c r="F19" s="37"/>
      <c r="G19" s="37"/>
      <c r="H19" s="37"/>
      <c r="I19" s="36" t="s">
        <v>70</v>
      </c>
      <c r="J19" s="37"/>
      <c r="L19" s="96" t="s">
        <v>246</v>
      </c>
      <c r="N19" s="119" t="s">
        <v>314</v>
      </c>
      <c r="O19" s="16"/>
      <c r="P19" s="145" t="s">
        <v>298</v>
      </c>
      <c r="Q19" s="145"/>
      <c r="R19" s="310"/>
      <c r="S19" s="340"/>
    </row>
    <row r="20" spans="1:19" ht="20.100000000000001" customHeight="1">
      <c r="A20" s="317" t="s">
        <v>98</v>
      </c>
      <c r="B20" s="102" t="s">
        <v>70</v>
      </c>
      <c r="I20" s="36" t="s">
        <v>70</v>
      </c>
      <c r="K20" s="163"/>
      <c r="N20" s="119" t="s">
        <v>315</v>
      </c>
      <c r="O20" s="96" t="s">
        <v>247</v>
      </c>
      <c r="P20" s="150" t="s">
        <v>298</v>
      </c>
      <c r="Q20" s="150"/>
    </row>
    <row r="21" spans="1:19" ht="20.100000000000001" customHeight="1">
      <c r="A21" s="317" t="s">
        <v>99</v>
      </c>
      <c r="B21" s="36" t="s">
        <v>70</v>
      </c>
      <c r="I21" s="148" t="s">
        <v>70</v>
      </c>
      <c r="K21" s="163"/>
      <c r="L21" s="103" t="s">
        <v>325</v>
      </c>
      <c r="N21" s="119" t="s">
        <v>326</v>
      </c>
      <c r="P21" s="150" t="s">
        <v>298</v>
      </c>
      <c r="Q21" s="150"/>
    </row>
    <row r="22" spans="1:19" ht="19.95" customHeight="1">
      <c r="A22" s="317" t="s">
        <v>99</v>
      </c>
      <c r="B22" s="36" t="s">
        <v>70</v>
      </c>
      <c r="G22" s="33" t="s">
        <v>70</v>
      </c>
      <c r="I22" s="36"/>
      <c r="K22" s="163"/>
      <c r="L22" s="103" t="s">
        <v>425</v>
      </c>
      <c r="N22" s="119" t="s">
        <v>425</v>
      </c>
      <c r="P22" s="150" t="s">
        <v>298</v>
      </c>
      <c r="Q22" s="150"/>
    </row>
    <row r="23" spans="1:19" ht="19.95" customHeight="1">
      <c r="A23" s="317" t="s">
        <v>99</v>
      </c>
      <c r="B23" s="36" t="s">
        <v>70</v>
      </c>
      <c r="G23" s="33" t="s">
        <v>70</v>
      </c>
      <c r="K23" s="163"/>
      <c r="L23" s="103" t="s">
        <v>426</v>
      </c>
      <c r="N23" s="119" t="s">
        <v>426</v>
      </c>
      <c r="P23" s="150" t="s">
        <v>298</v>
      </c>
      <c r="Q23" s="150"/>
    </row>
    <row r="24" spans="1:19" ht="19.95" customHeight="1">
      <c r="A24" s="317" t="s">
        <v>99</v>
      </c>
      <c r="B24" s="36" t="s">
        <v>70</v>
      </c>
      <c r="G24" s="33" t="s">
        <v>70</v>
      </c>
      <c r="K24" s="163"/>
      <c r="L24" s="290" t="s">
        <v>721</v>
      </c>
      <c r="M24" s="290" t="s">
        <v>143</v>
      </c>
      <c r="N24" s="119" t="s">
        <v>427</v>
      </c>
      <c r="P24" s="150" t="s">
        <v>298</v>
      </c>
      <c r="Q24" s="150"/>
    </row>
    <row r="25" spans="1:19" ht="19.95" customHeight="1">
      <c r="A25" s="317" t="s">
        <v>98</v>
      </c>
      <c r="B25" s="36" t="s">
        <v>70</v>
      </c>
      <c r="G25" s="33" t="s">
        <v>70</v>
      </c>
      <c r="K25" s="163"/>
      <c r="L25" s="103"/>
      <c r="N25" s="119" t="s">
        <v>428</v>
      </c>
      <c r="P25" s="150" t="s">
        <v>298</v>
      </c>
      <c r="Q25" s="150"/>
    </row>
    <row r="26" spans="1:19" ht="19.95" customHeight="1">
      <c r="A26" s="317" t="s">
        <v>99</v>
      </c>
      <c r="B26" s="36" t="s">
        <v>70</v>
      </c>
      <c r="G26" s="33" t="s">
        <v>70</v>
      </c>
      <c r="K26" s="163"/>
      <c r="L26" s="103" t="s">
        <v>429</v>
      </c>
      <c r="N26" s="119" t="s">
        <v>429</v>
      </c>
      <c r="P26" s="149"/>
      <c r="Q26" s="150"/>
    </row>
    <row r="27" spans="1:19" ht="19.95" customHeight="1">
      <c r="A27" s="317" t="s">
        <v>99</v>
      </c>
      <c r="B27" s="36" t="s">
        <v>70</v>
      </c>
      <c r="K27" s="163"/>
      <c r="L27" s="103" t="s">
        <v>450</v>
      </c>
      <c r="N27" s="119" t="s">
        <v>430</v>
      </c>
      <c r="P27" s="150" t="s">
        <v>298</v>
      </c>
      <c r="Q27" s="150"/>
    </row>
    <row r="28" spans="1:19" ht="19.95" customHeight="1">
      <c r="A28" s="317" t="s">
        <v>99</v>
      </c>
      <c r="B28" s="36" t="s">
        <v>70</v>
      </c>
      <c r="K28" s="163"/>
      <c r="L28" s="103" t="s">
        <v>445</v>
      </c>
      <c r="M28" s="103" t="s">
        <v>332</v>
      </c>
      <c r="N28" s="119" t="s">
        <v>431</v>
      </c>
      <c r="O28" s="103"/>
      <c r="P28" s="150" t="s">
        <v>298</v>
      </c>
      <c r="Q28" s="150"/>
    </row>
    <row r="29" spans="1:19" ht="19.95" customHeight="1">
      <c r="A29" s="317" t="s">
        <v>98</v>
      </c>
      <c r="B29" s="382" t="s">
        <v>70</v>
      </c>
      <c r="K29" s="163"/>
      <c r="L29" s="103"/>
      <c r="M29" s="103"/>
      <c r="N29" s="119" t="s">
        <v>864</v>
      </c>
      <c r="O29" s="383" t="s">
        <v>860</v>
      </c>
      <c r="P29" s="150" t="s">
        <v>298</v>
      </c>
      <c r="Q29" s="150"/>
    </row>
    <row r="30" spans="1:19" ht="19.95" customHeight="1">
      <c r="A30" s="317" t="s">
        <v>99</v>
      </c>
      <c r="B30" s="36" t="s">
        <v>70</v>
      </c>
      <c r="K30" s="163"/>
      <c r="L30" s="103" t="s">
        <v>446</v>
      </c>
      <c r="M30" s="103" t="s">
        <v>332</v>
      </c>
      <c r="N30" s="119" t="s">
        <v>432</v>
      </c>
      <c r="O30" s="103" t="s">
        <v>340</v>
      </c>
      <c r="P30" s="150" t="s">
        <v>298</v>
      </c>
      <c r="Q30" s="150"/>
    </row>
    <row r="31" spans="1:19" ht="19.95" customHeight="1">
      <c r="A31" s="317" t="s">
        <v>98</v>
      </c>
      <c r="B31" s="36" t="s">
        <v>70</v>
      </c>
      <c r="K31" s="163"/>
      <c r="L31" s="103"/>
      <c r="M31" s="103" t="s">
        <v>332</v>
      </c>
      <c r="N31" s="119" t="s">
        <v>433</v>
      </c>
      <c r="O31" s="103" t="s">
        <v>339</v>
      </c>
      <c r="P31" s="150" t="s">
        <v>298</v>
      </c>
      <c r="Q31" s="150"/>
    </row>
    <row r="32" spans="1:19" ht="19.95" customHeight="1">
      <c r="A32" s="317" t="s">
        <v>99</v>
      </c>
      <c r="B32" s="36" t="s">
        <v>70</v>
      </c>
      <c r="K32" s="163"/>
      <c r="L32" s="103" t="s">
        <v>444</v>
      </c>
      <c r="M32" s="103" t="s">
        <v>332</v>
      </c>
      <c r="N32" s="119" t="s">
        <v>434</v>
      </c>
      <c r="O32" s="103"/>
      <c r="P32" s="150" t="s">
        <v>298</v>
      </c>
      <c r="Q32" s="150"/>
    </row>
    <row r="33" spans="1:17" ht="19.95" customHeight="1">
      <c r="A33" s="317" t="s">
        <v>99</v>
      </c>
      <c r="B33" s="36" t="s">
        <v>70</v>
      </c>
      <c r="K33" s="163"/>
      <c r="L33" s="103" t="s">
        <v>443</v>
      </c>
      <c r="M33" s="103"/>
      <c r="N33" s="119" t="s">
        <v>435</v>
      </c>
      <c r="O33" s="103"/>
      <c r="P33" s="149"/>
      <c r="Q33" s="150"/>
    </row>
    <row r="34" spans="1:17" ht="19.95" customHeight="1">
      <c r="A34" s="317" t="s">
        <v>99</v>
      </c>
      <c r="B34" s="36" t="s">
        <v>70</v>
      </c>
      <c r="J34" s="33" t="s">
        <v>70</v>
      </c>
      <c r="K34" s="163"/>
      <c r="L34" s="173" t="s">
        <v>449</v>
      </c>
      <c r="M34" s="103" t="s">
        <v>441</v>
      </c>
      <c r="N34" s="119" t="s">
        <v>436</v>
      </c>
      <c r="O34" s="103"/>
      <c r="P34" s="150" t="s">
        <v>298</v>
      </c>
      <c r="Q34" s="150"/>
    </row>
    <row r="35" spans="1:17" ht="19.95" customHeight="1">
      <c r="A35" s="317" t="s">
        <v>99</v>
      </c>
      <c r="B35" s="36" t="s">
        <v>70</v>
      </c>
      <c r="H35" s="33" t="s">
        <v>70</v>
      </c>
      <c r="K35" s="163"/>
      <c r="L35" s="103" t="s">
        <v>442</v>
      </c>
      <c r="M35" s="103"/>
      <c r="N35" s="119" t="s">
        <v>437</v>
      </c>
      <c r="O35" s="103" t="s">
        <v>447</v>
      </c>
      <c r="P35" s="150" t="s">
        <v>298</v>
      </c>
      <c r="Q35" s="150"/>
    </row>
    <row r="36" spans="1:17" ht="19.95" customHeight="1">
      <c r="A36" s="317" t="s">
        <v>98</v>
      </c>
      <c r="B36" s="36" t="s">
        <v>70</v>
      </c>
      <c r="H36" s="33" t="s">
        <v>70</v>
      </c>
      <c r="K36" s="33"/>
      <c r="L36" s="103"/>
      <c r="M36" s="103"/>
      <c r="N36" s="119" t="s">
        <v>438</v>
      </c>
      <c r="O36" s="103" t="s">
        <v>31</v>
      </c>
      <c r="P36" s="149"/>
      <c r="Q36" s="150"/>
    </row>
    <row r="37" spans="1:17" ht="19.95" customHeight="1">
      <c r="A37" s="317" t="s">
        <v>98</v>
      </c>
      <c r="B37" s="36" t="s">
        <v>70</v>
      </c>
      <c r="H37" s="33" t="s">
        <v>70</v>
      </c>
      <c r="L37" s="103"/>
      <c r="M37" s="103"/>
      <c r="N37" s="119" t="s">
        <v>439</v>
      </c>
      <c r="O37" s="103" t="s">
        <v>448</v>
      </c>
      <c r="P37" s="150" t="s">
        <v>298</v>
      </c>
      <c r="Q37" s="150"/>
    </row>
    <row r="38" spans="1:17" ht="19.95" customHeight="1">
      <c r="A38" s="317" t="s">
        <v>98</v>
      </c>
      <c r="B38" s="36" t="s">
        <v>70</v>
      </c>
      <c r="H38" s="33" t="s">
        <v>70</v>
      </c>
      <c r="L38" s="103"/>
      <c r="M38" s="103"/>
      <c r="N38" s="119" t="s">
        <v>440</v>
      </c>
      <c r="O38" s="103" t="s">
        <v>118</v>
      </c>
      <c r="P38" s="150" t="s">
        <v>298</v>
      </c>
      <c r="Q38" s="150"/>
    </row>
    <row r="39" spans="1:17" ht="19.95" customHeight="1">
      <c r="A39" s="317" t="s">
        <v>98</v>
      </c>
      <c r="B39" s="396" t="s">
        <v>70</v>
      </c>
      <c r="H39" s="33" t="s">
        <v>70</v>
      </c>
      <c r="L39" s="103"/>
      <c r="M39" s="103"/>
      <c r="N39" s="119"/>
      <c r="O39" s="397" t="s">
        <v>116</v>
      </c>
      <c r="P39" s="150"/>
      <c r="Q39" s="150"/>
    </row>
    <row r="40" spans="1:17" ht="19.95" customHeight="1">
      <c r="A40" s="317" t="s">
        <v>99</v>
      </c>
      <c r="B40" s="36" t="s">
        <v>70</v>
      </c>
      <c r="K40" s="174" t="s">
        <v>70</v>
      </c>
      <c r="L40" s="103" t="s">
        <v>453</v>
      </c>
      <c r="N40" s="119" t="s">
        <v>451</v>
      </c>
      <c r="P40" s="149"/>
      <c r="Q40" s="150"/>
    </row>
    <row r="41" spans="1:17" ht="19.95" customHeight="1">
      <c r="A41" s="317" t="s">
        <v>99</v>
      </c>
      <c r="B41" s="36" t="s">
        <v>70</v>
      </c>
      <c r="K41" s="174" t="s">
        <v>70</v>
      </c>
      <c r="L41" s="103" t="s">
        <v>445</v>
      </c>
      <c r="N41" s="119" t="s">
        <v>452</v>
      </c>
      <c r="P41" s="150" t="s">
        <v>298</v>
      </c>
      <c r="Q41" s="150"/>
    </row>
    <row r="42" spans="1:17" ht="19.95" customHeight="1">
      <c r="A42" s="317" t="s">
        <v>99</v>
      </c>
      <c r="B42" s="36" t="s">
        <v>70</v>
      </c>
      <c r="K42" s="174" t="s">
        <v>70</v>
      </c>
      <c r="L42" s="103" t="s">
        <v>455</v>
      </c>
      <c r="N42" s="119" t="s">
        <v>454</v>
      </c>
      <c r="P42" s="150" t="s">
        <v>298</v>
      </c>
      <c r="Q42" s="150"/>
    </row>
    <row r="43" spans="1:17" ht="19.95" customHeight="1">
      <c r="A43" s="317" t="s">
        <v>99</v>
      </c>
      <c r="B43" s="36" t="s">
        <v>70</v>
      </c>
      <c r="J43" s="33" t="s">
        <v>70</v>
      </c>
      <c r="K43" s="174" t="s">
        <v>70</v>
      </c>
      <c r="L43" s="173" t="s">
        <v>456</v>
      </c>
      <c r="N43" s="119" t="s">
        <v>457</v>
      </c>
      <c r="P43" s="150" t="s">
        <v>298</v>
      </c>
      <c r="Q43" s="150"/>
    </row>
    <row r="44" spans="1:17" ht="19.95" customHeight="1">
      <c r="A44" s="317" t="s">
        <v>99</v>
      </c>
      <c r="B44" s="36" t="s">
        <v>70</v>
      </c>
      <c r="J44" s="33" t="s">
        <v>70</v>
      </c>
      <c r="K44" s="174" t="s">
        <v>70</v>
      </c>
      <c r="L44" s="173" t="s">
        <v>702</v>
      </c>
      <c r="M44" s="103"/>
      <c r="N44" s="119" t="s">
        <v>702</v>
      </c>
      <c r="P44" s="150" t="s">
        <v>298</v>
      </c>
      <c r="Q44" s="150"/>
    </row>
    <row r="45" spans="1:17" ht="19.95" customHeight="1">
      <c r="A45" s="317" t="s">
        <v>99</v>
      </c>
      <c r="B45" s="36" t="s">
        <v>70</v>
      </c>
      <c r="J45" s="33" t="s">
        <v>70</v>
      </c>
      <c r="K45" s="163"/>
      <c r="L45" s="274" t="s">
        <v>711</v>
      </c>
      <c r="M45" s="103" t="s">
        <v>392</v>
      </c>
      <c r="N45" s="119" t="s">
        <v>703</v>
      </c>
      <c r="O45" s="274" t="s">
        <v>710</v>
      </c>
      <c r="P45" s="150" t="s">
        <v>298</v>
      </c>
      <c r="Q45" s="150"/>
    </row>
    <row r="46" spans="1:17" ht="19.95" customHeight="1">
      <c r="A46" s="317" t="s">
        <v>98</v>
      </c>
      <c r="B46" s="36" t="s">
        <v>70</v>
      </c>
      <c r="J46" s="33" t="s">
        <v>70</v>
      </c>
      <c r="K46" s="163"/>
      <c r="M46" s="103" t="s">
        <v>392</v>
      </c>
      <c r="N46" s="119" t="s">
        <v>704</v>
      </c>
      <c r="O46" s="274" t="s">
        <v>709</v>
      </c>
      <c r="P46" s="150" t="s">
        <v>298</v>
      </c>
      <c r="Q46" s="150"/>
    </row>
    <row r="47" spans="1:17" ht="19.95" customHeight="1">
      <c r="A47" s="317" t="s">
        <v>98</v>
      </c>
      <c r="B47" s="36" t="s">
        <v>70</v>
      </c>
      <c r="J47" s="33" t="s">
        <v>70</v>
      </c>
      <c r="K47" s="163"/>
      <c r="M47" s="103" t="s">
        <v>392</v>
      </c>
      <c r="N47" s="119" t="s">
        <v>705</v>
      </c>
      <c r="O47" s="274" t="s">
        <v>708</v>
      </c>
      <c r="P47" s="150" t="s">
        <v>298</v>
      </c>
      <c r="Q47" s="150"/>
    </row>
    <row r="48" spans="1:17" ht="19.95" customHeight="1">
      <c r="A48" s="317" t="s">
        <v>98</v>
      </c>
      <c r="B48" s="36" t="s">
        <v>70</v>
      </c>
      <c r="J48" s="33" t="s">
        <v>70</v>
      </c>
      <c r="K48" s="163"/>
      <c r="M48" s="103" t="s">
        <v>392</v>
      </c>
      <c r="N48" s="119" t="s">
        <v>706</v>
      </c>
      <c r="O48" s="274" t="s">
        <v>707</v>
      </c>
      <c r="P48" s="150" t="s">
        <v>298</v>
      </c>
      <c r="Q48" s="150"/>
    </row>
    <row r="49" spans="1:19" ht="19.95" customHeight="1">
      <c r="A49" s="317" t="s">
        <v>99</v>
      </c>
      <c r="B49" s="33" t="s">
        <v>70</v>
      </c>
      <c r="E49" s="33" t="s">
        <v>70</v>
      </c>
      <c r="K49" s="163"/>
      <c r="L49" s="345" t="s">
        <v>757</v>
      </c>
      <c r="M49" s="345" t="s">
        <v>753</v>
      </c>
      <c r="N49" s="119" t="s">
        <v>751</v>
      </c>
      <c r="O49" s="345" t="s">
        <v>471</v>
      </c>
      <c r="P49" s="150" t="s">
        <v>298</v>
      </c>
      <c r="Q49" s="149"/>
      <c r="R49" s="330"/>
    </row>
    <row r="50" spans="1:19" ht="19.95" customHeight="1">
      <c r="A50" s="317" t="s">
        <v>98</v>
      </c>
      <c r="B50" s="33" t="s">
        <v>70</v>
      </c>
      <c r="E50" s="33" t="s">
        <v>70</v>
      </c>
      <c r="K50" s="163"/>
      <c r="L50" s="345"/>
      <c r="M50" s="345" t="s">
        <v>753</v>
      </c>
      <c r="N50" s="119" t="s">
        <v>752</v>
      </c>
      <c r="O50" s="389" t="s">
        <v>871</v>
      </c>
      <c r="P50" s="150" t="s">
        <v>298</v>
      </c>
      <c r="Q50" s="149"/>
    </row>
    <row r="51" spans="1:19" ht="19.95" customHeight="1">
      <c r="A51" s="317" t="s">
        <v>98</v>
      </c>
      <c r="B51" s="33" t="s">
        <v>70</v>
      </c>
      <c r="E51" s="33" t="s">
        <v>70</v>
      </c>
      <c r="K51" s="163"/>
      <c r="L51" s="345" t="s">
        <v>756</v>
      </c>
      <c r="M51" s="345"/>
      <c r="N51" s="119" t="s">
        <v>752</v>
      </c>
      <c r="O51" s="345" t="s">
        <v>756</v>
      </c>
      <c r="P51" s="150" t="s">
        <v>298</v>
      </c>
      <c r="Q51" s="149" t="s">
        <v>755</v>
      </c>
      <c r="R51" s="330" t="str">
        <f>HYPERLINK("#'STD_F'!C" &amp; S51,"Link")</f>
        <v>Link</v>
      </c>
      <c r="S51" s="341">
        <f>MATCH(Q51,STD_F!C:C,0)</f>
        <v>37</v>
      </c>
    </row>
    <row r="52" spans="1:19" ht="19.95" customHeight="1">
      <c r="A52" s="317" t="s">
        <v>98</v>
      </c>
      <c r="B52" s="33" t="s">
        <v>70</v>
      </c>
      <c r="E52" s="33" t="s">
        <v>70</v>
      </c>
      <c r="K52" s="163"/>
      <c r="L52" s="345" t="s">
        <v>768</v>
      </c>
      <c r="M52" s="345"/>
      <c r="N52" s="119"/>
      <c r="O52" s="345" t="s">
        <v>768</v>
      </c>
      <c r="P52" s="388" t="s">
        <v>719</v>
      </c>
      <c r="Q52" s="149" t="s">
        <v>767</v>
      </c>
      <c r="R52" s="330" t="str">
        <f>HYPERLINK("#'STD_F'!C" &amp; S52,"Link")</f>
        <v>Link</v>
      </c>
      <c r="S52" s="341">
        <f>MATCH(Q52,STD_F!C:C,0)</f>
        <v>54</v>
      </c>
    </row>
    <row r="53" spans="1:19" ht="19.95" customHeight="1">
      <c r="A53" s="317" t="s">
        <v>98</v>
      </c>
      <c r="B53" s="33" t="s">
        <v>70</v>
      </c>
      <c r="E53" s="33" t="s">
        <v>70</v>
      </c>
      <c r="K53" s="163"/>
      <c r="L53" s="345" t="s">
        <v>773</v>
      </c>
      <c r="M53" s="345"/>
      <c r="N53" s="119"/>
      <c r="O53" s="345" t="s">
        <v>773</v>
      </c>
      <c r="P53" s="388" t="s">
        <v>719</v>
      </c>
      <c r="Q53" s="149" t="s">
        <v>774</v>
      </c>
      <c r="R53" s="330" t="str">
        <f>HYPERLINK("#'STD_F'!C" &amp; S53,"Link")</f>
        <v>Link</v>
      </c>
      <c r="S53" s="341">
        <f>MATCH(Q53,STD_F!C:C,0)</f>
        <v>70</v>
      </c>
    </row>
    <row r="54" spans="1:19" ht="19.95" customHeight="1">
      <c r="A54" s="317" t="s">
        <v>98</v>
      </c>
      <c r="B54" s="33" t="s">
        <v>70</v>
      </c>
      <c r="E54" s="33" t="s">
        <v>70</v>
      </c>
      <c r="K54" s="163"/>
      <c r="L54" s="345" t="s">
        <v>776</v>
      </c>
      <c r="M54" s="345"/>
      <c r="N54" s="119"/>
      <c r="O54" s="345" t="s">
        <v>776</v>
      </c>
      <c r="P54" s="388" t="s">
        <v>719</v>
      </c>
      <c r="Q54" s="149" t="s">
        <v>775</v>
      </c>
      <c r="R54" s="330" t="str">
        <f>HYPERLINK("#'STD_F'!C" &amp; S54,"Link")</f>
        <v>Link</v>
      </c>
      <c r="S54" s="341">
        <f>MATCH(Q54,STD_F!C:C,0)</f>
        <v>77</v>
      </c>
    </row>
    <row r="55" spans="1:19" ht="19.95" customHeight="1">
      <c r="A55" s="317" t="s">
        <v>98</v>
      </c>
      <c r="B55" s="33" t="s">
        <v>70</v>
      </c>
      <c r="E55" s="33" t="s">
        <v>70</v>
      </c>
      <c r="K55" s="163"/>
      <c r="L55" s="345" t="s">
        <v>780</v>
      </c>
      <c r="N55" s="119"/>
      <c r="O55" s="345" t="s">
        <v>780</v>
      </c>
      <c r="P55" s="388" t="s">
        <v>719</v>
      </c>
      <c r="Q55" s="149" t="s">
        <v>779</v>
      </c>
      <c r="R55" s="330" t="str">
        <f>HYPERLINK("#'STD_F'!C" &amp; S55,"Link")</f>
        <v>Link</v>
      </c>
      <c r="S55" s="341">
        <f>MATCH(Q55,STD_F!C:C,0)</f>
        <v>90</v>
      </c>
    </row>
    <row r="56" spans="1:19" ht="19.95" customHeight="1">
      <c r="A56" s="317" t="s">
        <v>99</v>
      </c>
      <c r="B56" s="33" t="s">
        <v>70</v>
      </c>
      <c r="K56" s="163" t="s">
        <v>70</v>
      </c>
      <c r="L56" s="345" t="s">
        <v>877</v>
      </c>
      <c r="M56" s="103" t="s">
        <v>878</v>
      </c>
      <c r="N56" s="119" t="s">
        <v>879</v>
      </c>
      <c r="O56" s="103" t="s">
        <v>878</v>
      </c>
      <c r="P56" s="150" t="s">
        <v>298</v>
      </c>
      <c r="Q56" s="149"/>
    </row>
    <row r="57" spans="1:19" ht="19.95" customHeight="1">
      <c r="A57" s="317" t="s">
        <v>98</v>
      </c>
      <c r="B57" s="33" t="s">
        <v>70</v>
      </c>
      <c r="K57" s="163"/>
      <c r="N57" s="119" t="s">
        <v>880</v>
      </c>
      <c r="O57" s="345" t="s">
        <v>9</v>
      </c>
      <c r="P57" s="150" t="s">
        <v>298</v>
      </c>
      <c r="Q57" s="149"/>
    </row>
    <row r="58" spans="1:19" ht="19.95" customHeight="1">
      <c r="A58" s="317" t="s">
        <v>100</v>
      </c>
      <c r="B58" s="33" t="s">
        <v>70</v>
      </c>
      <c r="C58" s="420">
        <f>COUNTIF(A:A,"def")</f>
        <v>34</v>
      </c>
      <c r="K58" s="163"/>
      <c r="N58" s="119" t="s">
        <v>1046</v>
      </c>
      <c r="O58" s="345" t="s">
        <v>811</v>
      </c>
      <c r="P58" s="149"/>
      <c r="Q58" s="149"/>
    </row>
    <row r="59" spans="1:19">
      <c r="A59" s="317" t="s">
        <v>100</v>
      </c>
      <c r="B59" s="33" t="s">
        <v>70</v>
      </c>
      <c r="K59" s="163"/>
      <c r="P59" s="149"/>
      <c r="Q59" s="149"/>
    </row>
    <row r="60" spans="1:19">
      <c r="A60" s="317" t="s">
        <v>100</v>
      </c>
      <c r="B60" s="33" t="s">
        <v>70</v>
      </c>
      <c r="K60" s="163"/>
      <c r="P60" s="149"/>
      <c r="Q60" s="149"/>
    </row>
    <row r="61" spans="1:19">
      <c r="A61" s="317" t="s">
        <v>100</v>
      </c>
      <c r="B61" s="33" t="s">
        <v>70</v>
      </c>
      <c r="K61" s="163"/>
    </row>
    <row r="62" spans="1:19">
      <c r="A62" s="317" t="s">
        <v>100</v>
      </c>
      <c r="B62" s="33" t="s">
        <v>70</v>
      </c>
      <c r="K62" s="163"/>
    </row>
    <row r="63" spans="1:19">
      <c r="A63" s="317" t="s">
        <v>100</v>
      </c>
      <c r="B63" s="33" t="s">
        <v>70</v>
      </c>
      <c r="K63" s="163"/>
    </row>
    <row r="64" spans="1:19">
      <c r="A64" s="317" t="s">
        <v>100</v>
      </c>
      <c r="B64" s="33" t="s">
        <v>70</v>
      </c>
      <c r="K64" s="163"/>
    </row>
    <row r="65" spans="1:2">
      <c r="A65" s="317" t="s">
        <v>100</v>
      </c>
      <c r="B65" s="33" t="s">
        <v>70</v>
      </c>
    </row>
    <row r="66" spans="1:2">
      <c r="A66" s="317" t="s">
        <v>100</v>
      </c>
      <c r="B66" s="33" t="s">
        <v>70</v>
      </c>
    </row>
    <row r="67" spans="1:2">
      <c r="A67" s="317" t="s">
        <v>100</v>
      </c>
      <c r="B67" s="33" t="s">
        <v>70</v>
      </c>
    </row>
    <row r="68" spans="1:2">
      <c r="A68" s="317" t="s">
        <v>100</v>
      </c>
      <c r="B68" s="33" t="s">
        <v>70</v>
      </c>
    </row>
    <row r="69" spans="1:2">
      <c r="A69" s="317" t="s">
        <v>100</v>
      </c>
      <c r="B69" s="33" t="s">
        <v>70</v>
      </c>
    </row>
    <row r="70" spans="1:2">
      <c r="A70" s="317" t="s">
        <v>100</v>
      </c>
      <c r="B70" s="33" t="s">
        <v>70</v>
      </c>
    </row>
    <row r="71" spans="1:2">
      <c r="A71" s="317" t="s">
        <v>100</v>
      </c>
      <c r="B71" s="33" t="s">
        <v>70</v>
      </c>
    </row>
    <row r="72" spans="1:2">
      <c r="A72" s="317" t="s">
        <v>100</v>
      </c>
      <c r="B72" s="33" t="s">
        <v>70</v>
      </c>
    </row>
    <row r="73" spans="1:2">
      <c r="A73" s="317" t="s">
        <v>100</v>
      </c>
      <c r="B73" s="33" t="s">
        <v>70</v>
      </c>
    </row>
    <row r="74" spans="1:2">
      <c r="A74" s="317" t="s">
        <v>100</v>
      </c>
      <c r="B74" s="33" t="s">
        <v>70</v>
      </c>
    </row>
    <row r="75" spans="1:2">
      <c r="A75" s="317" t="s">
        <v>100</v>
      </c>
      <c r="B75" s="33" t="s">
        <v>70</v>
      </c>
    </row>
    <row r="76" spans="1:2">
      <c r="A76" s="317" t="s">
        <v>100</v>
      </c>
      <c r="B76" s="33" t="s">
        <v>70</v>
      </c>
    </row>
    <row r="77" spans="1:2">
      <c r="A77" s="317" t="s">
        <v>100</v>
      </c>
      <c r="B77" s="33" t="s">
        <v>70</v>
      </c>
    </row>
    <row r="78" spans="1:2">
      <c r="A78" s="317" t="s">
        <v>100</v>
      </c>
      <c r="B78" s="33" t="s">
        <v>70</v>
      </c>
    </row>
    <row r="79" spans="1:2">
      <c r="A79" s="317" t="s">
        <v>100</v>
      </c>
      <c r="B79" s="33" t="s">
        <v>70</v>
      </c>
    </row>
    <row r="80" spans="1:2">
      <c r="A80" s="317" t="s">
        <v>100</v>
      </c>
      <c r="B80" s="33" t="s">
        <v>70</v>
      </c>
    </row>
    <row r="81" spans="1:2">
      <c r="A81" s="317" t="s">
        <v>100</v>
      </c>
      <c r="B81" s="33" t="s">
        <v>70</v>
      </c>
    </row>
    <row r="82" spans="1:2">
      <c r="A82" s="317" t="s">
        <v>100</v>
      </c>
      <c r="B82" s="33" t="s">
        <v>70</v>
      </c>
    </row>
    <row r="83" spans="1:2">
      <c r="A83" s="317" t="s">
        <v>100</v>
      </c>
      <c r="B83" s="33" t="s">
        <v>70</v>
      </c>
    </row>
    <row r="84" spans="1:2">
      <c r="A84" s="317" t="s">
        <v>100</v>
      </c>
      <c r="B84" s="33" t="s">
        <v>70</v>
      </c>
    </row>
    <row r="85" spans="1:2">
      <c r="A85" s="317" t="s">
        <v>100</v>
      </c>
      <c r="B85" s="33" t="s">
        <v>70</v>
      </c>
    </row>
    <row r="86" spans="1:2">
      <c r="A86" s="317" t="s">
        <v>100</v>
      </c>
      <c r="B86" s="33" t="s">
        <v>70</v>
      </c>
    </row>
    <row r="87" spans="1:2">
      <c r="A87" s="317" t="s">
        <v>100</v>
      </c>
      <c r="B87" s="33" t="s">
        <v>70</v>
      </c>
    </row>
    <row r="88" spans="1:2">
      <c r="A88" s="317" t="s">
        <v>100</v>
      </c>
      <c r="B88" s="33" t="s">
        <v>70</v>
      </c>
    </row>
    <row r="89" spans="1:2">
      <c r="A89" s="317" t="s">
        <v>100</v>
      </c>
      <c r="B89" s="33" t="s">
        <v>70</v>
      </c>
    </row>
    <row r="90" spans="1:2">
      <c r="A90" s="317" t="s">
        <v>100</v>
      </c>
      <c r="B90" s="33" t="s">
        <v>70</v>
      </c>
    </row>
    <row r="91" spans="1:2">
      <c r="A91" s="317" t="s">
        <v>100</v>
      </c>
      <c r="B91" s="33" t="s">
        <v>70</v>
      </c>
    </row>
    <row r="92" spans="1:2">
      <c r="A92" s="317" t="s">
        <v>100</v>
      </c>
      <c r="B92" s="33" t="s">
        <v>70</v>
      </c>
    </row>
    <row r="93" spans="1:2">
      <c r="A93" s="317" t="s">
        <v>100</v>
      </c>
      <c r="B93" s="33" t="s">
        <v>70</v>
      </c>
    </row>
    <row r="94" spans="1:2">
      <c r="A94" s="317" t="s">
        <v>100</v>
      </c>
      <c r="B94" s="33" t="s">
        <v>70</v>
      </c>
    </row>
    <row r="95" spans="1:2">
      <c r="A95" s="317" t="s">
        <v>100</v>
      </c>
      <c r="B95" s="33" t="s">
        <v>70</v>
      </c>
    </row>
    <row r="96" spans="1:2">
      <c r="A96" s="317" t="s">
        <v>100</v>
      </c>
      <c r="B96" s="33" t="s">
        <v>70</v>
      </c>
    </row>
    <row r="97" spans="1:2">
      <c r="A97" s="317" t="s">
        <v>100</v>
      </c>
      <c r="B97" s="33" t="s">
        <v>70</v>
      </c>
    </row>
    <row r="98" spans="1:2">
      <c r="A98" s="317" t="s">
        <v>100</v>
      </c>
      <c r="B98" s="33" t="s">
        <v>70</v>
      </c>
    </row>
    <row r="99" spans="1:2">
      <c r="A99" s="317" t="s">
        <v>100</v>
      </c>
      <c r="B99" s="33" t="s">
        <v>70</v>
      </c>
    </row>
    <row r="100" spans="1:2">
      <c r="A100" s="317" t="s">
        <v>100</v>
      </c>
      <c r="B100" s="33" t="s">
        <v>70</v>
      </c>
    </row>
    <row r="101" spans="1:2">
      <c r="A101" s="317" t="s">
        <v>100</v>
      </c>
      <c r="B101" s="33" t="s">
        <v>70</v>
      </c>
    </row>
    <row r="102" spans="1:2">
      <c r="A102" s="317" t="s">
        <v>100</v>
      </c>
      <c r="B102" s="33" t="s">
        <v>70</v>
      </c>
    </row>
    <row r="103" spans="1:2">
      <c r="A103" s="317" t="s">
        <v>100</v>
      </c>
      <c r="B103" s="33" t="s">
        <v>70</v>
      </c>
    </row>
    <row r="104" spans="1:2">
      <c r="A104" s="317" t="s">
        <v>100</v>
      </c>
      <c r="B104" s="33" t="s">
        <v>70</v>
      </c>
    </row>
    <row r="105" spans="1:2">
      <c r="A105" s="317" t="s">
        <v>100</v>
      </c>
      <c r="B105" s="33" t="s">
        <v>70</v>
      </c>
    </row>
    <row r="106" spans="1:2">
      <c r="A106" s="317" t="s">
        <v>100</v>
      </c>
      <c r="B106" s="33" t="s">
        <v>70</v>
      </c>
    </row>
    <row r="107" spans="1:2">
      <c r="A107" s="317" t="s">
        <v>100</v>
      </c>
      <c r="B107" s="33" t="s">
        <v>70</v>
      </c>
    </row>
    <row r="108" spans="1:2">
      <c r="A108" s="317" t="s">
        <v>100</v>
      </c>
      <c r="B108" s="33" t="s">
        <v>70</v>
      </c>
    </row>
    <row r="109" spans="1:2">
      <c r="A109" s="317" t="s">
        <v>100</v>
      </c>
      <c r="B109" s="33" t="s">
        <v>70</v>
      </c>
    </row>
    <row r="110" spans="1:2">
      <c r="A110" s="317" t="s">
        <v>100</v>
      </c>
      <c r="B110" s="33" t="s">
        <v>70</v>
      </c>
    </row>
    <row r="111" spans="1:2">
      <c r="A111" s="317" t="s">
        <v>100</v>
      </c>
      <c r="B111" s="33" t="s">
        <v>70</v>
      </c>
    </row>
    <row r="112" spans="1:2">
      <c r="A112" s="317" t="s">
        <v>100</v>
      </c>
      <c r="B112" s="33" t="s">
        <v>70</v>
      </c>
    </row>
    <row r="113" spans="1:2">
      <c r="A113" s="317" t="s">
        <v>100</v>
      </c>
      <c r="B113" s="33" t="s">
        <v>70</v>
      </c>
    </row>
    <row r="114" spans="1:2">
      <c r="A114" s="317" t="s">
        <v>100</v>
      </c>
      <c r="B114" s="33" t="s">
        <v>70</v>
      </c>
    </row>
    <row r="115" spans="1:2">
      <c r="A115" s="317" t="s">
        <v>100</v>
      </c>
      <c r="B115" s="33" t="s">
        <v>70</v>
      </c>
    </row>
    <row r="116" spans="1:2">
      <c r="A116" s="317" t="s">
        <v>100</v>
      </c>
      <c r="B116" s="33" t="s">
        <v>70</v>
      </c>
    </row>
    <row r="117" spans="1:2">
      <c r="A117" s="317" t="s">
        <v>100</v>
      </c>
      <c r="B117" s="33" t="s">
        <v>70</v>
      </c>
    </row>
    <row r="118" spans="1:2">
      <c r="A118" s="317" t="s">
        <v>100</v>
      </c>
      <c r="B118" s="33" t="s">
        <v>70</v>
      </c>
    </row>
    <row r="119" spans="1:2">
      <c r="A119" s="317" t="s">
        <v>100</v>
      </c>
      <c r="B119" s="33" t="s">
        <v>70</v>
      </c>
    </row>
    <row r="120" spans="1:2">
      <c r="A120" s="317" t="s">
        <v>100</v>
      </c>
      <c r="B120" s="33" t="s">
        <v>70</v>
      </c>
    </row>
    <row r="121" spans="1:2">
      <c r="A121" s="317" t="s">
        <v>100</v>
      </c>
      <c r="B121" s="33" t="s">
        <v>70</v>
      </c>
    </row>
    <row r="122" spans="1:2">
      <c r="A122" s="317" t="s">
        <v>100</v>
      </c>
      <c r="B122" s="33" t="s">
        <v>70</v>
      </c>
    </row>
    <row r="123" spans="1:2">
      <c r="A123" s="317" t="s">
        <v>100</v>
      </c>
      <c r="B123" s="33" t="s">
        <v>70</v>
      </c>
    </row>
    <row r="124" spans="1:2">
      <c r="A124" s="317" t="s">
        <v>100</v>
      </c>
      <c r="B124" s="33" t="s">
        <v>70</v>
      </c>
    </row>
    <row r="125" spans="1:2">
      <c r="A125" s="317" t="s">
        <v>100</v>
      </c>
      <c r="B125" s="33" t="s">
        <v>70</v>
      </c>
    </row>
    <row r="126" spans="1:2">
      <c r="A126" s="317" t="s">
        <v>100</v>
      </c>
      <c r="B126" s="33" t="s">
        <v>70</v>
      </c>
    </row>
    <row r="127" spans="1:2">
      <c r="A127" s="317" t="s">
        <v>100</v>
      </c>
      <c r="B127" s="33" t="s">
        <v>70</v>
      </c>
    </row>
    <row r="128" spans="1:2">
      <c r="A128" s="317" t="s">
        <v>100</v>
      </c>
      <c r="B128" s="33" t="s">
        <v>70</v>
      </c>
    </row>
    <row r="129" spans="1:2">
      <c r="A129" s="317" t="s">
        <v>100</v>
      </c>
      <c r="B129" s="33" t="s">
        <v>70</v>
      </c>
    </row>
    <row r="130" spans="1:2">
      <c r="A130" s="317" t="s">
        <v>100</v>
      </c>
      <c r="B130" s="33" t="s">
        <v>70</v>
      </c>
    </row>
    <row r="131" spans="1:2">
      <c r="A131" s="317" t="s">
        <v>100</v>
      </c>
      <c r="B131" s="33" t="s">
        <v>70</v>
      </c>
    </row>
    <row r="132" spans="1:2">
      <c r="A132" s="317" t="s">
        <v>100</v>
      </c>
      <c r="B132" s="33" t="s">
        <v>70</v>
      </c>
    </row>
    <row r="133" spans="1:2">
      <c r="A133" s="317" t="s">
        <v>100</v>
      </c>
      <c r="B133" s="33" t="s">
        <v>70</v>
      </c>
    </row>
    <row r="134" spans="1:2">
      <c r="A134" s="317" t="s">
        <v>100</v>
      </c>
      <c r="B134" s="33" t="s">
        <v>70</v>
      </c>
    </row>
    <row r="135" spans="1:2">
      <c r="A135" s="317" t="s">
        <v>100</v>
      </c>
      <c r="B135" s="33" t="s">
        <v>70</v>
      </c>
    </row>
    <row r="136" spans="1:2">
      <c r="A136" s="317" t="s">
        <v>100</v>
      </c>
      <c r="B136" s="33" t="s">
        <v>70</v>
      </c>
    </row>
    <row r="137" spans="1:2">
      <c r="A137" s="317" t="s">
        <v>100</v>
      </c>
      <c r="B137" s="33" t="s">
        <v>70</v>
      </c>
    </row>
    <row r="138" spans="1:2">
      <c r="A138" s="317" t="s">
        <v>100</v>
      </c>
      <c r="B138" s="33" t="s">
        <v>70</v>
      </c>
    </row>
    <row r="139" spans="1:2">
      <c r="A139" s="317" t="s">
        <v>100</v>
      </c>
      <c r="B139" s="33" t="s">
        <v>70</v>
      </c>
    </row>
    <row r="140" spans="1:2">
      <c r="A140" s="317" t="s">
        <v>100</v>
      </c>
      <c r="B140" s="33" t="s">
        <v>70</v>
      </c>
    </row>
    <row r="141" spans="1:2">
      <c r="A141" s="317" t="s">
        <v>100</v>
      </c>
      <c r="B141" s="33" t="s">
        <v>70</v>
      </c>
    </row>
    <row r="142" spans="1:2">
      <c r="A142" s="317" t="s">
        <v>100</v>
      </c>
      <c r="B142" s="33" t="s">
        <v>70</v>
      </c>
    </row>
    <row r="143" spans="1:2">
      <c r="A143" s="317" t="s">
        <v>100</v>
      </c>
      <c r="B143" s="33" t="s">
        <v>70</v>
      </c>
    </row>
    <row r="144" spans="1:2">
      <c r="A144" s="317" t="s">
        <v>100</v>
      </c>
      <c r="B144" s="33" t="s">
        <v>70</v>
      </c>
    </row>
    <row r="145" spans="1:2">
      <c r="A145" s="317" t="s">
        <v>100</v>
      </c>
      <c r="B145" s="33" t="s">
        <v>70</v>
      </c>
    </row>
    <row r="146" spans="1:2">
      <c r="A146" s="317" t="s">
        <v>100</v>
      </c>
      <c r="B146" s="33" t="s">
        <v>70</v>
      </c>
    </row>
    <row r="147" spans="1:2">
      <c r="A147" s="317" t="s">
        <v>100</v>
      </c>
      <c r="B147" s="33" t="s">
        <v>70</v>
      </c>
    </row>
    <row r="148" spans="1:2">
      <c r="A148" s="317" t="s">
        <v>100</v>
      </c>
      <c r="B148" s="33" t="s">
        <v>70</v>
      </c>
    </row>
    <row r="149" spans="1:2">
      <c r="A149" s="317" t="s">
        <v>100</v>
      </c>
      <c r="B149" s="33" t="s">
        <v>70</v>
      </c>
    </row>
    <row r="150" spans="1:2">
      <c r="A150" s="317" t="s">
        <v>100</v>
      </c>
      <c r="B150" s="33" t="s">
        <v>70</v>
      </c>
    </row>
    <row r="151" spans="1:2">
      <c r="A151" s="317" t="s">
        <v>100</v>
      </c>
      <c r="B151" s="33" t="s">
        <v>70</v>
      </c>
    </row>
    <row r="152" spans="1:2">
      <c r="A152" s="317" t="s">
        <v>100</v>
      </c>
      <c r="B152" s="33" t="s">
        <v>70</v>
      </c>
    </row>
    <row r="153" spans="1:2">
      <c r="A153" s="317" t="s">
        <v>100</v>
      </c>
      <c r="B153" s="33" t="s">
        <v>70</v>
      </c>
    </row>
    <row r="154" spans="1:2">
      <c r="A154" s="317" t="s">
        <v>100</v>
      </c>
      <c r="B154" s="33" t="s">
        <v>70</v>
      </c>
    </row>
    <row r="155" spans="1:2">
      <c r="A155" s="317" t="s">
        <v>100</v>
      </c>
      <c r="B155" s="33" t="s">
        <v>70</v>
      </c>
    </row>
    <row r="156" spans="1:2">
      <c r="A156" s="317" t="s">
        <v>100</v>
      </c>
      <c r="B156" s="33" t="s">
        <v>70</v>
      </c>
    </row>
    <row r="157" spans="1:2">
      <c r="A157" s="317" t="s">
        <v>100</v>
      </c>
      <c r="B157" s="33" t="s">
        <v>70</v>
      </c>
    </row>
    <row r="158" spans="1:2">
      <c r="A158" s="317" t="s">
        <v>100</v>
      </c>
      <c r="B158" s="33" t="s">
        <v>70</v>
      </c>
    </row>
    <row r="159" spans="1:2">
      <c r="A159" s="317" t="s">
        <v>100</v>
      </c>
      <c r="B159" s="33" t="s">
        <v>70</v>
      </c>
    </row>
    <row r="160" spans="1:2">
      <c r="A160" s="317" t="s">
        <v>100</v>
      </c>
      <c r="B160" s="33" t="s">
        <v>70</v>
      </c>
    </row>
    <row r="161" spans="1:2">
      <c r="A161" s="317" t="s">
        <v>100</v>
      </c>
      <c r="B161" s="33" t="s">
        <v>70</v>
      </c>
    </row>
    <row r="162" spans="1:2">
      <c r="A162" s="317" t="s">
        <v>100</v>
      </c>
      <c r="B162" s="33" t="s">
        <v>70</v>
      </c>
    </row>
    <row r="163" spans="1:2">
      <c r="A163" s="317" t="s">
        <v>100</v>
      </c>
      <c r="B163" s="33" t="s">
        <v>70</v>
      </c>
    </row>
    <row r="164" spans="1:2">
      <c r="A164" s="317" t="s">
        <v>100</v>
      </c>
      <c r="B164" s="33" t="s">
        <v>70</v>
      </c>
    </row>
    <row r="165" spans="1:2">
      <c r="A165" s="317" t="s">
        <v>100</v>
      </c>
      <c r="B165" s="33" t="s">
        <v>70</v>
      </c>
    </row>
    <row r="166" spans="1:2">
      <c r="A166" s="317" t="s">
        <v>100</v>
      </c>
      <c r="B166" s="33" t="s">
        <v>70</v>
      </c>
    </row>
    <row r="167" spans="1:2">
      <c r="A167" s="317" t="s">
        <v>100</v>
      </c>
      <c r="B167" s="33" t="s">
        <v>70</v>
      </c>
    </row>
    <row r="168" spans="1:2">
      <c r="A168" s="317" t="s">
        <v>100</v>
      </c>
      <c r="B168" s="33" t="s">
        <v>70</v>
      </c>
    </row>
    <row r="169" spans="1:2">
      <c r="A169" s="317" t="s">
        <v>100</v>
      </c>
      <c r="B169" s="33" t="s">
        <v>70</v>
      </c>
    </row>
    <row r="170" spans="1:2">
      <c r="A170" s="317" t="s">
        <v>100</v>
      </c>
      <c r="B170" s="33" t="s">
        <v>70</v>
      </c>
    </row>
    <row r="171" spans="1:2">
      <c r="A171" s="317" t="s">
        <v>100</v>
      </c>
      <c r="B171" s="33" t="s">
        <v>70</v>
      </c>
    </row>
    <row r="172" spans="1:2">
      <c r="A172" s="317" t="s">
        <v>100</v>
      </c>
      <c r="B172" s="33" t="s">
        <v>70</v>
      </c>
    </row>
    <row r="173" spans="1:2">
      <c r="A173" s="317" t="s">
        <v>100</v>
      </c>
      <c r="B173" s="33" t="s">
        <v>70</v>
      </c>
    </row>
    <row r="174" spans="1:2">
      <c r="A174" s="317" t="s">
        <v>100</v>
      </c>
      <c r="B174" s="33" t="s">
        <v>70</v>
      </c>
    </row>
    <row r="175" spans="1:2">
      <c r="A175" s="317" t="s">
        <v>100</v>
      </c>
      <c r="B175" s="33" t="s">
        <v>70</v>
      </c>
    </row>
    <row r="176" spans="1:2">
      <c r="A176" s="317" t="s">
        <v>100</v>
      </c>
      <c r="B176" s="33" t="s">
        <v>70</v>
      </c>
    </row>
    <row r="177" spans="1:2">
      <c r="A177" s="317" t="s">
        <v>100</v>
      </c>
      <c r="B177" s="33" t="s">
        <v>70</v>
      </c>
    </row>
    <row r="178" spans="1:2">
      <c r="A178" s="317" t="s">
        <v>100</v>
      </c>
      <c r="B178" s="33" t="s">
        <v>70</v>
      </c>
    </row>
    <row r="179" spans="1:2">
      <c r="A179" s="317" t="s">
        <v>100</v>
      </c>
      <c r="B179" s="33" t="s">
        <v>70</v>
      </c>
    </row>
    <row r="180" spans="1:2">
      <c r="A180" s="317" t="s">
        <v>100</v>
      </c>
      <c r="B180" s="33" t="s">
        <v>70</v>
      </c>
    </row>
    <row r="181" spans="1:2">
      <c r="A181" s="317" t="s">
        <v>100</v>
      </c>
      <c r="B181" s="33" t="s">
        <v>70</v>
      </c>
    </row>
    <row r="182" spans="1:2">
      <c r="A182" s="317" t="s">
        <v>100</v>
      </c>
      <c r="B182" s="33" t="s">
        <v>70</v>
      </c>
    </row>
    <row r="183" spans="1:2">
      <c r="A183" s="317" t="s">
        <v>100</v>
      </c>
      <c r="B183" s="33" t="s">
        <v>70</v>
      </c>
    </row>
    <row r="184" spans="1:2">
      <c r="A184" s="317" t="s">
        <v>100</v>
      </c>
      <c r="B184" s="33" t="s">
        <v>70</v>
      </c>
    </row>
    <row r="185" spans="1:2">
      <c r="A185" s="317" t="s">
        <v>100</v>
      </c>
      <c r="B185" s="33" t="s">
        <v>70</v>
      </c>
    </row>
    <row r="186" spans="1:2">
      <c r="A186" s="317" t="s">
        <v>100</v>
      </c>
      <c r="B186" s="33" t="s">
        <v>70</v>
      </c>
    </row>
    <row r="187" spans="1:2">
      <c r="A187" s="317" t="s">
        <v>100</v>
      </c>
      <c r="B187" s="33" t="s">
        <v>70</v>
      </c>
    </row>
    <row r="188" spans="1:2">
      <c r="A188" s="317" t="s">
        <v>100</v>
      </c>
      <c r="B188" s="33" t="s">
        <v>70</v>
      </c>
    </row>
    <row r="189" spans="1:2">
      <c r="A189" s="317" t="s">
        <v>100</v>
      </c>
      <c r="B189" s="33" t="s">
        <v>70</v>
      </c>
    </row>
    <row r="190" spans="1:2">
      <c r="A190" s="317" t="s">
        <v>100</v>
      </c>
      <c r="B190" s="33" t="s">
        <v>70</v>
      </c>
    </row>
    <row r="191" spans="1:2">
      <c r="A191" s="317" t="s">
        <v>100</v>
      </c>
      <c r="B191" s="33" t="s">
        <v>70</v>
      </c>
    </row>
    <row r="192" spans="1:2">
      <c r="A192" s="317" t="s">
        <v>100</v>
      </c>
      <c r="B192" s="33" t="s">
        <v>70</v>
      </c>
    </row>
    <row r="193" spans="1:2">
      <c r="A193" s="317" t="s">
        <v>100</v>
      </c>
      <c r="B193" s="33" t="s">
        <v>70</v>
      </c>
    </row>
    <row r="194" spans="1:2">
      <c r="A194" s="317" t="s">
        <v>100</v>
      </c>
      <c r="B194" s="33" t="s">
        <v>70</v>
      </c>
    </row>
    <row r="195" spans="1:2">
      <c r="A195" s="317" t="s">
        <v>100</v>
      </c>
      <c r="B195" s="33" t="s">
        <v>70</v>
      </c>
    </row>
    <row r="196" spans="1:2">
      <c r="A196" s="317" t="s">
        <v>100</v>
      </c>
      <c r="B196" s="33" t="s">
        <v>70</v>
      </c>
    </row>
    <row r="197" spans="1:2">
      <c r="A197" s="317" t="s">
        <v>100</v>
      </c>
      <c r="B197" s="33" t="s">
        <v>70</v>
      </c>
    </row>
    <row r="198" spans="1:2">
      <c r="A198" s="317" t="s">
        <v>100</v>
      </c>
      <c r="B198" s="33" t="s">
        <v>70</v>
      </c>
    </row>
    <row r="199" spans="1:2">
      <c r="A199" s="317" t="s">
        <v>100</v>
      </c>
      <c r="B199" s="33" t="s">
        <v>70</v>
      </c>
    </row>
    <row r="200" spans="1:2">
      <c r="A200" s="317" t="s">
        <v>100</v>
      </c>
      <c r="B200" s="33" t="s">
        <v>70</v>
      </c>
    </row>
    <row r="201" spans="1:2">
      <c r="A201" s="317" t="s">
        <v>100</v>
      </c>
      <c r="B201" s="33" t="s">
        <v>70</v>
      </c>
    </row>
    <row r="202" spans="1:2">
      <c r="A202" s="317" t="s">
        <v>100</v>
      </c>
      <c r="B202" s="33" t="s">
        <v>70</v>
      </c>
    </row>
    <row r="203" spans="1:2">
      <c r="A203" s="317" t="s">
        <v>100</v>
      </c>
      <c r="B203" s="33" t="s">
        <v>70</v>
      </c>
    </row>
    <row r="204" spans="1:2">
      <c r="A204" s="317" t="s">
        <v>100</v>
      </c>
      <c r="B204" s="33" t="s">
        <v>70</v>
      </c>
    </row>
    <row r="205" spans="1:2">
      <c r="A205" s="317" t="s">
        <v>100</v>
      </c>
      <c r="B205" s="33" t="s">
        <v>70</v>
      </c>
    </row>
    <row r="206" spans="1:2">
      <c r="A206" s="317" t="s">
        <v>100</v>
      </c>
      <c r="B206" s="33" t="s">
        <v>70</v>
      </c>
    </row>
    <row r="207" spans="1:2">
      <c r="A207" s="317" t="s">
        <v>100</v>
      </c>
      <c r="B207" s="33" t="s">
        <v>70</v>
      </c>
    </row>
    <row r="208" spans="1:2">
      <c r="A208" s="317" t="s">
        <v>100</v>
      </c>
      <c r="B208" s="33" t="s">
        <v>70</v>
      </c>
    </row>
    <row r="209" spans="1:2">
      <c r="A209" s="317" t="s">
        <v>100</v>
      </c>
      <c r="B209" s="33" t="s">
        <v>70</v>
      </c>
    </row>
    <row r="210" spans="1:2">
      <c r="A210" s="317" t="s">
        <v>100</v>
      </c>
      <c r="B210" s="33" t="s">
        <v>70</v>
      </c>
    </row>
    <row r="211" spans="1:2">
      <c r="A211" s="317" t="s">
        <v>100</v>
      </c>
      <c r="B211" s="33" t="s">
        <v>70</v>
      </c>
    </row>
    <row r="212" spans="1:2">
      <c r="A212" s="317" t="s">
        <v>100</v>
      </c>
      <c r="B212" s="33" t="s">
        <v>70</v>
      </c>
    </row>
    <row r="213" spans="1:2">
      <c r="A213" s="317" t="s">
        <v>100</v>
      </c>
      <c r="B213" s="33" t="s">
        <v>70</v>
      </c>
    </row>
    <row r="214" spans="1:2">
      <c r="A214" s="317" t="s">
        <v>100</v>
      </c>
      <c r="B214" s="33" t="s">
        <v>70</v>
      </c>
    </row>
    <row r="215" spans="1:2">
      <c r="A215" s="317" t="s">
        <v>100</v>
      </c>
      <c r="B215" s="33" t="s">
        <v>70</v>
      </c>
    </row>
    <row r="216" spans="1:2">
      <c r="A216" s="317" t="s">
        <v>100</v>
      </c>
      <c r="B216" s="33" t="s">
        <v>70</v>
      </c>
    </row>
    <row r="217" spans="1:2">
      <c r="A217" s="317" t="s">
        <v>100</v>
      </c>
      <c r="B217" s="33" t="s">
        <v>70</v>
      </c>
    </row>
    <row r="218" spans="1:2">
      <c r="A218" s="317" t="s">
        <v>100</v>
      </c>
      <c r="B218" s="33" t="s">
        <v>70</v>
      </c>
    </row>
    <row r="219" spans="1:2">
      <c r="A219" s="317" t="s">
        <v>100</v>
      </c>
      <c r="B219" s="33" t="s">
        <v>70</v>
      </c>
    </row>
    <row r="220" spans="1:2">
      <c r="A220" s="317" t="s">
        <v>100</v>
      </c>
      <c r="B220" s="33" t="s">
        <v>70</v>
      </c>
    </row>
    <row r="221" spans="1:2">
      <c r="A221" s="317" t="s">
        <v>100</v>
      </c>
      <c r="B221" s="33" t="s">
        <v>70</v>
      </c>
    </row>
    <row r="222" spans="1:2">
      <c r="A222" s="317" t="s">
        <v>100</v>
      </c>
      <c r="B222" s="33" t="s">
        <v>70</v>
      </c>
    </row>
    <row r="223" spans="1:2">
      <c r="A223" s="317" t="s">
        <v>100</v>
      </c>
      <c r="B223" s="33" t="s">
        <v>70</v>
      </c>
    </row>
    <row r="224" spans="1:2">
      <c r="A224" s="317" t="s">
        <v>100</v>
      </c>
      <c r="B224" s="33" t="s">
        <v>70</v>
      </c>
    </row>
    <row r="225" spans="1:2">
      <c r="A225" s="317" t="s">
        <v>100</v>
      </c>
      <c r="B225" s="33" t="s">
        <v>70</v>
      </c>
    </row>
    <row r="226" spans="1:2">
      <c r="A226" s="317" t="s">
        <v>100</v>
      </c>
      <c r="B226" s="33" t="s">
        <v>70</v>
      </c>
    </row>
    <row r="227" spans="1:2">
      <c r="A227" s="317" t="s">
        <v>100</v>
      </c>
      <c r="B227" s="33" t="s">
        <v>70</v>
      </c>
    </row>
    <row r="228" spans="1:2">
      <c r="A228" s="317" t="s">
        <v>100</v>
      </c>
      <c r="B228" s="33" t="s">
        <v>70</v>
      </c>
    </row>
    <row r="229" spans="1:2">
      <c r="A229" s="317" t="s">
        <v>100</v>
      </c>
      <c r="B229" s="33" t="s">
        <v>70</v>
      </c>
    </row>
    <row r="230" spans="1:2">
      <c r="A230" s="317" t="s">
        <v>100</v>
      </c>
      <c r="B230" s="33" t="s">
        <v>70</v>
      </c>
    </row>
    <row r="231" spans="1:2">
      <c r="A231" s="317" t="s">
        <v>100</v>
      </c>
      <c r="B231" s="33" t="s">
        <v>70</v>
      </c>
    </row>
    <row r="232" spans="1:2">
      <c r="A232" s="317" t="s">
        <v>100</v>
      </c>
      <c r="B232" s="33" t="s">
        <v>70</v>
      </c>
    </row>
    <row r="233" spans="1:2">
      <c r="A233" s="317" t="s">
        <v>100</v>
      </c>
      <c r="B233" s="33" t="s">
        <v>70</v>
      </c>
    </row>
    <row r="234" spans="1:2">
      <c r="A234" s="317" t="s">
        <v>100</v>
      </c>
      <c r="B234" s="33" t="s">
        <v>70</v>
      </c>
    </row>
    <row r="235" spans="1:2">
      <c r="A235" s="317" t="s">
        <v>100</v>
      </c>
      <c r="B235" s="33" t="s">
        <v>70</v>
      </c>
    </row>
    <row r="236" spans="1:2">
      <c r="A236" s="317" t="s">
        <v>100</v>
      </c>
      <c r="B236" s="33" t="s">
        <v>70</v>
      </c>
    </row>
    <row r="237" spans="1:2">
      <c r="A237" s="317" t="s">
        <v>100</v>
      </c>
      <c r="B237" s="33" t="s">
        <v>70</v>
      </c>
    </row>
    <row r="238" spans="1:2">
      <c r="A238" s="317" t="s">
        <v>100</v>
      </c>
      <c r="B238" s="33" t="s">
        <v>70</v>
      </c>
    </row>
    <row r="239" spans="1:2">
      <c r="A239" s="317" t="s">
        <v>100</v>
      </c>
      <c r="B239" s="33" t="s">
        <v>70</v>
      </c>
    </row>
    <row r="240" spans="1:2">
      <c r="A240" s="317" t="s">
        <v>100</v>
      </c>
      <c r="B240" s="33" t="s">
        <v>70</v>
      </c>
    </row>
    <row r="241" spans="1:2">
      <c r="A241" s="317" t="s">
        <v>100</v>
      </c>
      <c r="B241" s="33" t="s">
        <v>70</v>
      </c>
    </row>
    <row r="242" spans="1:2">
      <c r="A242" s="317" t="s">
        <v>100</v>
      </c>
      <c r="B242" s="33" t="s">
        <v>70</v>
      </c>
    </row>
    <row r="243" spans="1:2">
      <c r="A243" s="317" t="s">
        <v>100</v>
      </c>
      <c r="B243" s="33" t="s">
        <v>70</v>
      </c>
    </row>
    <row r="244" spans="1:2">
      <c r="A244" s="317" t="s">
        <v>100</v>
      </c>
      <c r="B244" s="33" t="s">
        <v>70</v>
      </c>
    </row>
    <row r="245" spans="1:2">
      <c r="A245" s="317" t="s">
        <v>100</v>
      </c>
      <c r="B245" s="33" t="s">
        <v>70</v>
      </c>
    </row>
    <row r="246" spans="1:2">
      <c r="A246" s="317" t="s">
        <v>100</v>
      </c>
      <c r="B246" s="33" t="s">
        <v>70</v>
      </c>
    </row>
    <row r="247" spans="1:2">
      <c r="A247" s="317" t="s">
        <v>100</v>
      </c>
      <c r="B247" s="33" t="s">
        <v>70</v>
      </c>
    </row>
    <row r="248" spans="1:2">
      <c r="A248" s="317" t="s">
        <v>100</v>
      </c>
      <c r="B248" s="33" t="s">
        <v>70</v>
      </c>
    </row>
    <row r="249" spans="1:2">
      <c r="A249" s="317" t="s">
        <v>100</v>
      </c>
      <c r="B249" s="33" t="s">
        <v>70</v>
      </c>
    </row>
    <row r="250" spans="1:2">
      <c r="A250" s="317" t="s">
        <v>100</v>
      </c>
      <c r="B250" s="33" t="s">
        <v>70</v>
      </c>
    </row>
    <row r="251" spans="1:2">
      <c r="A251" s="317" t="s">
        <v>100</v>
      </c>
      <c r="B251" s="33" t="s">
        <v>70</v>
      </c>
    </row>
    <row r="252" spans="1:2">
      <c r="A252" s="317" t="s">
        <v>100</v>
      </c>
      <c r="B252" s="33" t="s">
        <v>70</v>
      </c>
    </row>
    <row r="253" spans="1:2">
      <c r="A253" s="317" t="s">
        <v>100</v>
      </c>
      <c r="B253" s="33" t="s">
        <v>70</v>
      </c>
    </row>
    <row r="254" spans="1:2">
      <c r="A254" s="317" t="s">
        <v>100</v>
      </c>
      <c r="B254" s="33" t="s">
        <v>70</v>
      </c>
    </row>
    <row r="255" spans="1:2">
      <c r="A255" s="317" t="s">
        <v>100</v>
      </c>
      <c r="B255" s="33" t="s">
        <v>70</v>
      </c>
    </row>
    <row r="256" spans="1:2">
      <c r="A256" s="317" t="s">
        <v>100</v>
      </c>
      <c r="B256" s="33" t="s">
        <v>70</v>
      </c>
    </row>
    <row r="257" spans="1:2">
      <c r="A257" s="317" t="s">
        <v>100</v>
      </c>
      <c r="B257" s="33" t="s">
        <v>70</v>
      </c>
    </row>
    <row r="258" spans="1:2">
      <c r="A258" s="317" t="s">
        <v>100</v>
      </c>
      <c r="B258" s="33" t="s">
        <v>70</v>
      </c>
    </row>
    <row r="259" spans="1:2">
      <c r="A259" s="317" t="s">
        <v>100</v>
      </c>
      <c r="B259" s="33" t="s">
        <v>70</v>
      </c>
    </row>
    <row r="260" spans="1:2">
      <c r="A260" s="317" t="s">
        <v>100</v>
      </c>
      <c r="B260" s="33" t="s">
        <v>70</v>
      </c>
    </row>
    <row r="261" spans="1:2">
      <c r="A261" s="317" t="s">
        <v>100</v>
      </c>
      <c r="B261" s="33" t="s">
        <v>70</v>
      </c>
    </row>
    <row r="262" spans="1:2">
      <c r="A262" s="317" t="s">
        <v>100</v>
      </c>
      <c r="B262" s="33" t="s">
        <v>70</v>
      </c>
    </row>
    <row r="263" spans="1:2">
      <c r="A263" s="317" t="s">
        <v>100</v>
      </c>
      <c r="B263" s="33" t="s">
        <v>70</v>
      </c>
    </row>
    <row r="264" spans="1:2">
      <c r="A264" s="317" t="s">
        <v>100</v>
      </c>
      <c r="B264" s="33" t="s">
        <v>70</v>
      </c>
    </row>
    <row r="265" spans="1:2">
      <c r="A265" s="317" t="s">
        <v>100</v>
      </c>
      <c r="B265" s="33" t="s">
        <v>70</v>
      </c>
    </row>
    <row r="266" spans="1:2">
      <c r="A266" s="317" t="s">
        <v>100</v>
      </c>
      <c r="B266" s="33" t="s">
        <v>70</v>
      </c>
    </row>
    <row r="267" spans="1:2">
      <c r="A267" s="317" t="s">
        <v>100</v>
      </c>
      <c r="B267" s="33" t="s">
        <v>70</v>
      </c>
    </row>
    <row r="268" spans="1:2">
      <c r="A268" s="317" t="s">
        <v>100</v>
      </c>
      <c r="B268" s="33" t="s">
        <v>70</v>
      </c>
    </row>
    <row r="269" spans="1:2">
      <c r="A269" s="317" t="s">
        <v>100</v>
      </c>
      <c r="B269" s="33" t="s">
        <v>70</v>
      </c>
    </row>
    <row r="270" spans="1:2">
      <c r="A270" s="317" t="s">
        <v>100</v>
      </c>
      <c r="B270" s="33" t="s">
        <v>70</v>
      </c>
    </row>
    <row r="271" spans="1:2">
      <c r="A271" s="317" t="s">
        <v>100</v>
      </c>
      <c r="B271" s="33" t="s">
        <v>70</v>
      </c>
    </row>
    <row r="272" spans="1:2">
      <c r="A272" s="317" t="s">
        <v>100</v>
      </c>
      <c r="B272" s="33" t="s">
        <v>70</v>
      </c>
    </row>
    <row r="273" spans="1:2">
      <c r="A273" s="317" t="s">
        <v>100</v>
      </c>
      <c r="B273" s="33" t="s">
        <v>70</v>
      </c>
    </row>
    <row r="274" spans="1:2">
      <c r="A274" s="317" t="s">
        <v>100</v>
      </c>
      <c r="B274" s="33" t="s">
        <v>70</v>
      </c>
    </row>
    <row r="275" spans="1:2">
      <c r="A275" s="317" t="s">
        <v>100</v>
      </c>
      <c r="B275" s="33" t="s">
        <v>70</v>
      </c>
    </row>
    <row r="276" spans="1:2">
      <c r="A276" s="317" t="s">
        <v>100</v>
      </c>
      <c r="B276" s="33" t="s">
        <v>70</v>
      </c>
    </row>
    <row r="277" spans="1:2">
      <c r="A277" s="317" t="s">
        <v>100</v>
      </c>
      <c r="B277" s="33" t="s">
        <v>70</v>
      </c>
    </row>
    <row r="278" spans="1:2">
      <c r="A278" s="317" t="s">
        <v>100</v>
      </c>
      <c r="B278" s="33" t="s">
        <v>70</v>
      </c>
    </row>
    <row r="279" spans="1:2">
      <c r="A279" s="317" t="s">
        <v>100</v>
      </c>
      <c r="B279" s="33" t="s">
        <v>70</v>
      </c>
    </row>
    <row r="280" spans="1:2">
      <c r="A280" s="317" t="s">
        <v>100</v>
      </c>
      <c r="B280" s="33" t="s">
        <v>70</v>
      </c>
    </row>
    <row r="281" spans="1:2">
      <c r="A281" s="317" t="s">
        <v>100</v>
      </c>
      <c r="B281" s="33" t="s">
        <v>70</v>
      </c>
    </row>
    <row r="282" spans="1:2">
      <c r="A282" s="317" t="s">
        <v>100</v>
      </c>
      <c r="B282" s="33" t="s">
        <v>70</v>
      </c>
    </row>
    <row r="283" spans="1:2">
      <c r="A283" s="317" t="s">
        <v>100</v>
      </c>
      <c r="B283" s="33" t="s">
        <v>70</v>
      </c>
    </row>
    <row r="284" spans="1:2">
      <c r="A284" s="317" t="s">
        <v>100</v>
      </c>
      <c r="B284" s="33" t="s">
        <v>70</v>
      </c>
    </row>
    <row r="285" spans="1:2">
      <c r="A285" s="317" t="s">
        <v>100</v>
      </c>
      <c r="B285" s="33" t="s">
        <v>70</v>
      </c>
    </row>
    <row r="286" spans="1:2">
      <c r="A286" s="317" t="s">
        <v>100</v>
      </c>
      <c r="B286" s="33" t="s">
        <v>70</v>
      </c>
    </row>
    <row r="287" spans="1:2">
      <c r="A287" s="317" t="s">
        <v>100</v>
      </c>
      <c r="B287" s="33" t="s">
        <v>70</v>
      </c>
    </row>
    <row r="288" spans="1:2">
      <c r="A288" s="317" t="s">
        <v>100</v>
      </c>
      <c r="B288" s="33" t="s">
        <v>70</v>
      </c>
    </row>
    <row r="289" spans="1:2">
      <c r="A289" s="317" t="s">
        <v>100</v>
      </c>
      <c r="B289" s="33" t="s">
        <v>70</v>
      </c>
    </row>
    <row r="290" spans="1:2">
      <c r="A290" s="317" t="s">
        <v>100</v>
      </c>
      <c r="B290" s="33" t="s">
        <v>70</v>
      </c>
    </row>
    <row r="291" spans="1:2">
      <c r="A291" s="317" t="s">
        <v>100</v>
      </c>
      <c r="B291" s="33" t="s">
        <v>70</v>
      </c>
    </row>
    <row r="292" spans="1:2">
      <c r="A292" s="317" t="s">
        <v>100</v>
      </c>
      <c r="B292" s="33" t="s">
        <v>70</v>
      </c>
    </row>
    <row r="293" spans="1:2">
      <c r="A293" s="317" t="s">
        <v>100</v>
      </c>
      <c r="B293" s="33" t="s">
        <v>70</v>
      </c>
    </row>
    <row r="294" spans="1:2">
      <c r="A294" s="317" t="s">
        <v>100</v>
      </c>
      <c r="B294" s="33" t="s">
        <v>70</v>
      </c>
    </row>
    <row r="295" spans="1:2">
      <c r="A295" s="317" t="s">
        <v>100</v>
      </c>
      <c r="B295" s="33" t="s">
        <v>70</v>
      </c>
    </row>
    <row r="296" spans="1:2">
      <c r="A296" s="317" t="s">
        <v>100</v>
      </c>
      <c r="B296" s="33" t="s">
        <v>70</v>
      </c>
    </row>
    <row r="297" spans="1:2">
      <c r="A297" s="317" t="s">
        <v>100</v>
      </c>
      <c r="B297" s="33" t="s">
        <v>70</v>
      </c>
    </row>
    <row r="298" spans="1:2">
      <c r="A298" s="317" t="s">
        <v>100</v>
      </c>
      <c r="B298" s="33" t="s">
        <v>70</v>
      </c>
    </row>
    <row r="299" spans="1:2">
      <c r="A299" s="317" t="s">
        <v>100</v>
      </c>
      <c r="B299" s="33" t="s">
        <v>70</v>
      </c>
    </row>
    <row r="300" spans="1:2">
      <c r="A300" s="317" t="s">
        <v>100</v>
      </c>
      <c r="B300" s="33" t="s">
        <v>70</v>
      </c>
    </row>
    <row r="301" spans="1:2">
      <c r="A301" s="317" t="s">
        <v>100</v>
      </c>
      <c r="B301" s="33" t="s">
        <v>70</v>
      </c>
    </row>
    <row r="302" spans="1:2">
      <c r="A302" s="317" t="s">
        <v>100</v>
      </c>
      <c r="B302" s="33" t="s">
        <v>70</v>
      </c>
    </row>
    <row r="303" spans="1:2">
      <c r="A303" s="317" t="s">
        <v>100</v>
      </c>
      <c r="B303" s="33" t="s">
        <v>70</v>
      </c>
    </row>
    <row r="304" spans="1:2">
      <c r="A304" s="317" t="s">
        <v>100</v>
      </c>
      <c r="B304" s="33" t="s">
        <v>70</v>
      </c>
    </row>
    <row r="305" spans="1:2">
      <c r="A305" s="317" t="s">
        <v>100</v>
      </c>
      <c r="B305" s="33" t="s">
        <v>70</v>
      </c>
    </row>
    <row r="306" spans="1:2">
      <c r="A306" s="317" t="s">
        <v>100</v>
      </c>
      <c r="B306" s="33" t="s">
        <v>70</v>
      </c>
    </row>
    <row r="307" spans="1:2">
      <c r="A307" s="317" t="s">
        <v>100</v>
      </c>
      <c r="B307" s="33" t="s">
        <v>70</v>
      </c>
    </row>
    <row r="308" spans="1:2">
      <c r="A308" s="317" t="s">
        <v>100</v>
      </c>
      <c r="B308" s="33" t="s">
        <v>70</v>
      </c>
    </row>
    <row r="309" spans="1:2">
      <c r="A309" s="317" t="s">
        <v>100</v>
      </c>
      <c r="B309" s="33" t="s">
        <v>70</v>
      </c>
    </row>
    <row r="310" spans="1:2">
      <c r="A310" s="317" t="s">
        <v>100</v>
      </c>
      <c r="B310" s="33" t="s">
        <v>70</v>
      </c>
    </row>
    <row r="311" spans="1:2">
      <c r="A311" s="317" t="s">
        <v>100</v>
      </c>
      <c r="B311" s="33" t="s">
        <v>70</v>
      </c>
    </row>
    <row r="312" spans="1:2">
      <c r="A312" s="317" t="s">
        <v>100</v>
      </c>
      <c r="B312" s="33" t="s">
        <v>70</v>
      </c>
    </row>
    <row r="313" spans="1:2">
      <c r="A313" s="317" t="s">
        <v>100</v>
      </c>
      <c r="B313" s="33" t="s">
        <v>70</v>
      </c>
    </row>
    <row r="314" spans="1:2">
      <c r="A314" s="317" t="s">
        <v>100</v>
      </c>
      <c r="B314" s="33" t="s">
        <v>70</v>
      </c>
    </row>
    <row r="315" spans="1:2">
      <c r="A315" s="317" t="s">
        <v>100</v>
      </c>
      <c r="B315" s="33" t="s">
        <v>70</v>
      </c>
    </row>
    <row r="316" spans="1:2">
      <c r="A316" s="317" t="s">
        <v>100</v>
      </c>
      <c r="B316" s="33" t="s">
        <v>70</v>
      </c>
    </row>
    <row r="317" spans="1:2">
      <c r="A317" s="317" t="s">
        <v>100</v>
      </c>
      <c r="B317" s="33" t="s">
        <v>70</v>
      </c>
    </row>
    <row r="318" spans="1:2">
      <c r="A318" s="317" t="s">
        <v>100</v>
      </c>
      <c r="B318" s="33" t="s">
        <v>70</v>
      </c>
    </row>
    <row r="319" spans="1:2">
      <c r="A319" s="317" t="s">
        <v>100</v>
      </c>
      <c r="B319" s="33" t="s">
        <v>70</v>
      </c>
    </row>
    <row r="320" spans="1:2">
      <c r="A320" s="317" t="s">
        <v>100</v>
      </c>
      <c r="B320" s="33" t="s">
        <v>70</v>
      </c>
    </row>
    <row r="321" spans="1:2">
      <c r="A321" s="317" t="s">
        <v>100</v>
      </c>
      <c r="B321" s="33" t="s">
        <v>70</v>
      </c>
    </row>
    <row r="322" spans="1:2">
      <c r="A322" s="317" t="s">
        <v>100</v>
      </c>
      <c r="B322" s="33" t="s">
        <v>70</v>
      </c>
    </row>
    <row r="323" spans="1:2">
      <c r="A323" s="317" t="s">
        <v>100</v>
      </c>
      <c r="B323" s="33" t="s">
        <v>70</v>
      </c>
    </row>
    <row r="324" spans="1:2">
      <c r="A324" s="317" t="s">
        <v>100</v>
      </c>
      <c r="B324" s="33" t="s">
        <v>70</v>
      </c>
    </row>
    <row r="325" spans="1:2">
      <c r="A325" s="317" t="s">
        <v>100</v>
      </c>
      <c r="B325" s="33" t="s">
        <v>70</v>
      </c>
    </row>
    <row r="326" spans="1:2">
      <c r="A326" s="317" t="s">
        <v>100</v>
      </c>
      <c r="B326" s="33" t="s">
        <v>70</v>
      </c>
    </row>
    <row r="327" spans="1:2">
      <c r="A327" s="317" t="s">
        <v>100</v>
      </c>
      <c r="B327" s="33" t="s">
        <v>70</v>
      </c>
    </row>
    <row r="328" spans="1:2">
      <c r="A328" s="317" t="s">
        <v>100</v>
      </c>
      <c r="B328" s="33" t="s">
        <v>70</v>
      </c>
    </row>
    <row r="329" spans="1:2">
      <c r="A329" s="317" t="s">
        <v>100</v>
      </c>
      <c r="B329" s="33" t="s">
        <v>70</v>
      </c>
    </row>
    <row r="330" spans="1:2">
      <c r="A330" s="317" t="s">
        <v>100</v>
      </c>
      <c r="B330" s="33" t="s">
        <v>70</v>
      </c>
    </row>
    <row r="331" spans="1:2">
      <c r="A331" s="317" t="s">
        <v>100</v>
      </c>
      <c r="B331" s="33" t="s">
        <v>70</v>
      </c>
    </row>
    <row r="332" spans="1:2">
      <c r="A332" s="317" t="s">
        <v>100</v>
      </c>
      <c r="B332" s="33" t="s">
        <v>70</v>
      </c>
    </row>
    <row r="333" spans="1:2">
      <c r="A333" s="317" t="s">
        <v>100</v>
      </c>
      <c r="B333" s="33" t="s">
        <v>70</v>
      </c>
    </row>
    <row r="334" spans="1:2">
      <c r="A334" s="317" t="s">
        <v>100</v>
      </c>
      <c r="B334" s="33" t="s">
        <v>70</v>
      </c>
    </row>
    <row r="335" spans="1:2">
      <c r="A335" s="317" t="s">
        <v>100</v>
      </c>
      <c r="B335" s="33" t="s">
        <v>70</v>
      </c>
    </row>
    <row r="336" spans="1:2">
      <c r="A336" s="317" t="s">
        <v>100</v>
      </c>
      <c r="B336" s="33" t="s">
        <v>70</v>
      </c>
    </row>
    <row r="337" spans="1:2">
      <c r="A337" s="317" t="s">
        <v>100</v>
      </c>
      <c r="B337" s="33" t="s">
        <v>70</v>
      </c>
    </row>
  </sheetData>
  <hyperlinks>
    <hyperlink ref="N26" r:id="rId1" xr:uid="{FC2AA96D-2C19-4BCC-8EDF-4FB08955B5AA}"/>
    <hyperlink ref="N33" r:id="rId2" xr:uid="{7676CB80-FA1A-42B8-9DC0-BE5481D24076}"/>
    <hyperlink ref="N36" r:id="rId3" xr:uid="{24A203FA-0239-414C-BE37-E99E25F56891}"/>
    <hyperlink ref="N3" r:id="rId4" xr:uid="{BB47BCEC-CAF6-435B-8205-68250B6EC712}"/>
    <hyperlink ref="N4" r:id="rId5" xr:uid="{DFF5498D-C909-4D5C-9342-2E1E0738B856}"/>
    <hyperlink ref="N5" r:id="rId6" xr:uid="{C3F483AD-0C2F-4787-8213-28EDF75D9971}"/>
    <hyperlink ref="N7" r:id="rId7" xr:uid="{4814819B-DB7D-4527-8C2E-649F1C7BB71E}"/>
    <hyperlink ref="N8" r:id="rId8" xr:uid="{B131B075-F013-4B87-ADF5-04E19E2F4D7D}"/>
    <hyperlink ref="N9" r:id="rId9" xr:uid="{65E1E094-7A64-4D90-AA6F-77460AE5A5E9}"/>
    <hyperlink ref="N10" r:id="rId10" xr:uid="{284BF117-FAAE-4091-9705-BF2FCE938E74}"/>
    <hyperlink ref="N11" r:id="rId11" xr:uid="{6DC16576-C5D5-457F-97D0-910D0336E627}"/>
    <hyperlink ref="N18" r:id="rId12" xr:uid="{E0F2E6DB-F05B-48CC-8AE8-15189C9270CD}"/>
    <hyperlink ref="N19" r:id="rId13" xr:uid="{5EE91031-9826-4C75-BFD5-1DFD9705C03F}"/>
    <hyperlink ref="N20" r:id="rId14" xr:uid="{7EC62F7C-8A51-438D-85CD-216F91A82434}"/>
    <hyperlink ref="N21" r:id="rId15" xr:uid="{EF35D7C8-15D4-4E7A-B51B-21FA3CF1B5E6}"/>
    <hyperlink ref="N22" r:id="rId16" xr:uid="{05705405-50BF-40BD-B153-11A10ACF912A}"/>
    <hyperlink ref="N23" r:id="rId17" xr:uid="{BABEFD8D-89AC-4655-B221-0E5127431748}"/>
    <hyperlink ref="N24" r:id="rId18" xr:uid="{3CBA2D9E-93BF-489C-8B5C-218445A2E369}"/>
    <hyperlink ref="N25" r:id="rId19" xr:uid="{438A4CBB-AD29-4108-AB3A-5991F5FA4620}"/>
    <hyperlink ref="N27" r:id="rId20" xr:uid="{0CEE9C83-D2F3-4616-B07C-C0E91155AD7C}"/>
    <hyperlink ref="N28" r:id="rId21" xr:uid="{B05F4C4D-087D-4230-A8C4-DBE678012093}"/>
    <hyperlink ref="N29" r:id="rId22" xr:uid="{66A6C61B-52EC-48CC-8D98-8C1B9092A210}"/>
    <hyperlink ref="N30" r:id="rId23" xr:uid="{D75A7142-BD4F-4512-9E14-4DC25131DB1E}"/>
    <hyperlink ref="N31" r:id="rId24" xr:uid="{FC4ACCE8-5913-47A9-9BD1-1412D38F5E2B}"/>
    <hyperlink ref="N32" r:id="rId25" xr:uid="{BB622AF9-8B37-49BE-94B0-2E998E65DCB0}"/>
    <hyperlink ref="N34" r:id="rId26" xr:uid="{5162CCFD-2201-404B-BF40-08AEDA628F1D}"/>
    <hyperlink ref="N35" r:id="rId27" xr:uid="{0D13EAEB-F889-40EF-BAF6-CE24353BF684}"/>
    <hyperlink ref="N37" r:id="rId28" xr:uid="{876E7A4B-40C4-461F-80CC-6DE218F39E01}"/>
    <hyperlink ref="N38" r:id="rId29" xr:uid="{F0049462-6B36-401D-8EE7-41C87F9FC607}"/>
    <hyperlink ref="N40" r:id="rId30" xr:uid="{3BAB6111-C21B-4074-9448-41EC2E6E2633}"/>
    <hyperlink ref="N41" r:id="rId31" xr:uid="{DDC4E490-0E89-4D4C-A8F5-635FAFFCCD6E}"/>
    <hyperlink ref="N42" r:id="rId32" xr:uid="{C48F8EF2-7A48-4B8E-9D51-B5D52E0DEB2F}"/>
    <hyperlink ref="N43" r:id="rId33" xr:uid="{FF19376D-712A-4BEE-85BD-727AF92EFED0}"/>
    <hyperlink ref="N44" r:id="rId34" xr:uid="{499CA317-DB38-43BD-AC84-9A8C0416C3E9}"/>
    <hyperlink ref="N45" r:id="rId35" xr:uid="{F43A3A94-3B8D-4FD3-9E32-FD1A6B1AB8B8}"/>
    <hyperlink ref="N46" r:id="rId36" xr:uid="{BF248E63-79DA-46F5-B4F5-24DA48D99848}"/>
    <hyperlink ref="N47" r:id="rId37" xr:uid="{B5B06B54-A5E5-4F26-9C13-8962C89561A6}"/>
    <hyperlink ref="N48" r:id="rId38" xr:uid="{648A8A52-1E5D-499E-91A6-FBEC58DD670E}"/>
    <hyperlink ref="N49" r:id="rId39" xr:uid="{599EAF16-0FCB-4EDC-946D-513C62792B4B}"/>
    <hyperlink ref="N50" r:id="rId40" xr:uid="{A9CC8C66-5AD9-414C-A994-8A4C51AD9A86}"/>
    <hyperlink ref="N51" r:id="rId41" xr:uid="{51DF9D76-1558-42B0-B77F-4D276570D91D}"/>
    <hyperlink ref="N56" r:id="rId42" xr:uid="{FB19B5B5-BCDF-4ABB-BF51-DFDEEC64C4DA}"/>
    <hyperlink ref="N57" r:id="rId43" xr:uid="{DB0171C8-6FB4-4AFF-BAA5-8195E27E6A19}"/>
    <hyperlink ref="R13" location="'STD_F'!C16" display="Link" xr:uid="{2E1420F7-A999-42C1-84BB-2F61D19DEF83}"/>
    <hyperlink ref="N6" r:id="rId44" xr:uid="{2E7B59B2-EEE1-437A-BD9C-3CCA06690631}"/>
    <hyperlink ref="N58" r:id="rId45" xr:uid="{38ED0E4C-197D-4C23-8436-749D35707ABA}"/>
  </hyperlinks>
  <pageMargins left="0.7" right="0.7" top="0.78740157499999996" bottom="0.78740157499999996" header="0.3" footer="0.3"/>
  <pageSetup paperSize="9" orientation="portrait" r:id="rId4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1A385-E5CE-4DAE-9D7C-524FFA51A499}">
  <sheetPr codeName="Tabelle9"/>
  <dimension ref="A1:S56"/>
  <sheetViews>
    <sheetView workbookViewId="0">
      <pane ySplit="1" topLeftCell="A2" activePane="bottomLeft" state="frozen"/>
      <selection activeCell="K2" sqref="K2"/>
      <selection pane="bottomLeft" activeCell="L1" sqref="L1"/>
    </sheetView>
  </sheetViews>
  <sheetFormatPr baseColWidth="10" defaultColWidth="11.5546875" defaultRowHeight="15.6"/>
  <cols>
    <col min="1" max="1" width="8.33203125" style="320" customWidth="1"/>
    <col min="2" max="9" width="3.6640625" style="33" bestFit="1" customWidth="1"/>
    <col min="10" max="10" width="7.109375" style="33" bestFit="1" customWidth="1"/>
    <col min="11" max="11" width="6.6640625" bestFit="1" customWidth="1"/>
    <col min="12" max="12" width="27.33203125" style="79" customWidth="1"/>
    <col min="13" max="13" width="49.88671875" style="79" customWidth="1"/>
    <col min="14" max="14" width="16.88671875" style="17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15" t="s">
        <v>47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77" t="s">
        <v>69</v>
      </c>
      <c r="N1" s="24" t="s">
        <v>14</v>
      </c>
      <c r="O1" s="23" t="s">
        <v>95</v>
      </c>
    </row>
    <row r="2" spans="1:16" s="2" customFormat="1" ht="25.2" customHeight="1">
      <c r="A2" s="316" t="s">
        <v>101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86"/>
      <c r="O2" s="11"/>
    </row>
    <row r="3" spans="1:16" s="2" customFormat="1" ht="25.2" customHeight="1">
      <c r="A3" s="317" t="s">
        <v>99</v>
      </c>
      <c r="B3" s="34" t="s">
        <v>70</v>
      </c>
      <c r="C3" s="34" t="s">
        <v>70</v>
      </c>
      <c r="D3" s="257" t="s">
        <v>70</v>
      </c>
      <c r="E3" s="35"/>
      <c r="F3" s="35"/>
      <c r="G3" s="35"/>
      <c r="H3" s="35"/>
      <c r="I3" s="35"/>
      <c r="J3" s="35"/>
      <c r="L3" s="258" t="s">
        <v>685</v>
      </c>
      <c r="M3" s="84"/>
      <c r="N3" s="119" t="s">
        <v>686</v>
      </c>
      <c r="O3" s="11"/>
      <c r="P3" s="145" t="s">
        <v>298</v>
      </c>
    </row>
    <row r="4" spans="1:16" s="2" customFormat="1" ht="25.2" customHeight="1">
      <c r="A4" s="317" t="s">
        <v>98</v>
      </c>
      <c r="B4" s="259" t="s">
        <v>70</v>
      </c>
      <c r="C4" s="259" t="s">
        <v>70</v>
      </c>
      <c r="D4" s="257" t="s">
        <v>70</v>
      </c>
      <c r="E4" s="35"/>
      <c r="F4" s="35"/>
      <c r="G4" s="35"/>
      <c r="H4" s="35"/>
      <c r="I4" s="35"/>
      <c r="J4" s="35"/>
      <c r="L4" s="258"/>
      <c r="M4" s="84"/>
      <c r="N4" s="119" t="s">
        <v>684</v>
      </c>
      <c r="O4" s="11"/>
      <c r="P4" s="145" t="s">
        <v>298</v>
      </c>
    </row>
    <row r="5" spans="1:16" s="2" customFormat="1" ht="25.2" customHeight="1">
      <c r="A5" s="317" t="s">
        <v>99</v>
      </c>
      <c r="B5" s="34" t="s">
        <v>70</v>
      </c>
      <c r="C5" s="29"/>
      <c r="D5" s="30" t="s">
        <v>70</v>
      </c>
      <c r="E5" s="30"/>
      <c r="F5" s="30"/>
      <c r="G5" s="30"/>
      <c r="H5" s="30"/>
      <c r="I5" s="30"/>
      <c r="J5" s="30"/>
      <c r="L5" s="1" t="s">
        <v>3</v>
      </c>
      <c r="M5" s="84"/>
      <c r="N5" s="119" t="s">
        <v>173</v>
      </c>
      <c r="O5" s="11"/>
      <c r="P5" s="145" t="s">
        <v>298</v>
      </c>
    </row>
    <row r="6" spans="1:16" s="2" customFormat="1" ht="25.2" customHeight="1">
      <c r="A6" s="317" t="s">
        <v>99</v>
      </c>
      <c r="B6" s="34" t="s">
        <v>70</v>
      </c>
      <c r="C6" s="256" t="s">
        <v>70</v>
      </c>
      <c r="D6" s="30" t="s">
        <v>70</v>
      </c>
      <c r="E6" s="30"/>
      <c r="F6" s="30"/>
      <c r="G6" s="30"/>
      <c r="H6" s="30"/>
      <c r="I6" s="30"/>
      <c r="J6" s="30"/>
      <c r="L6" s="411" t="s">
        <v>902</v>
      </c>
      <c r="M6" s="84" t="s">
        <v>9</v>
      </c>
      <c r="N6" s="119" t="s">
        <v>174</v>
      </c>
      <c r="O6" s="11"/>
      <c r="P6" s="145" t="s">
        <v>298</v>
      </c>
    </row>
    <row r="7" spans="1:16" s="2" customFormat="1" ht="25.2" customHeight="1">
      <c r="A7" s="317" t="s">
        <v>98</v>
      </c>
      <c r="B7" s="402" t="s">
        <v>70</v>
      </c>
      <c r="C7" s="256"/>
      <c r="D7" s="403" t="s">
        <v>70</v>
      </c>
      <c r="E7" s="30"/>
      <c r="F7" s="30"/>
      <c r="G7" s="30"/>
      <c r="H7" s="30"/>
      <c r="I7" s="30"/>
      <c r="J7" s="30"/>
      <c r="L7" s="1"/>
      <c r="M7" s="84"/>
      <c r="N7" s="119" t="s">
        <v>882</v>
      </c>
      <c r="O7" s="419" t="s">
        <v>908</v>
      </c>
      <c r="P7" s="145" t="s">
        <v>298</v>
      </c>
    </row>
    <row r="8" spans="1:16" s="2" customFormat="1" ht="25.2" customHeight="1">
      <c r="A8" s="317" t="s">
        <v>99</v>
      </c>
      <c r="B8" s="34" t="s">
        <v>70</v>
      </c>
      <c r="C8" s="34"/>
      <c r="D8" s="35" t="s">
        <v>70</v>
      </c>
      <c r="E8" s="35"/>
      <c r="F8" s="35"/>
      <c r="G8" s="35"/>
      <c r="H8" s="35"/>
      <c r="I8" s="35"/>
      <c r="J8" s="35"/>
      <c r="L8" s="84" t="s">
        <v>41</v>
      </c>
      <c r="M8" s="84"/>
      <c r="N8" s="119" t="s">
        <v>175</v>
      </c>
      <c r="O8" s="11"/>
      <c r="P8" s="145" t="s">
        <v>298</v>
      </c>
    </row>
    <row r="9" spans="1:16" s="2" customFormat="1" ht="25.2" customHeight="1">
      <c r="A9" s="317" t="s">
        <v>99</v>
      </c>
      <c r="B9" s="34" t="s">
        <v>70</v>
      </c>
      <c r="C9" s="34"/>
      <c r="D9" s="35" t="s">
        <v>70</v>
      </c>
      <c r="E9" s="35"/>
      <c r="F9" s="35"/>
      <c r="G9" s="35"/>
      <c r="H9" s="35"/>
      <c r="I9" s="35"/>
      <c r="J9" s="380" t="s">
        <v>70</v>
      </c>
      <c r="L9" s="84" t="s">
        <v>21</v>
      </c>
      <c r="M9" s="84"/>
      <c r="N9" s="119" t="s">
        <v>176</v>
      </c>
      <c r="O9" s="381" t="s">
        <v>861</v>
      </c>
      <c r="P9" s="145" t="s">
        <v>298</v>
      </c>
    </row>
    <row r="10" spans="1:16" s="2" customFormat="1" ht="25.2" customHeight="1">
      <c r="A10" s="317" t="s">
        <v>98</v>
      </c>
      <c r="B10" s="34" t="s">
        <v>70</v>
      </c>
      <c r="C10" s="34"/>
      <c r="D10" s="257" t="s">
        <v>70</v>
      </c>
      <c r="E10" s="35"/>
      <c r="F10" s="35"/>
      <c r="G10" s="35"/>
      <c r="H10" s="35"/>
      <c r="I10" s="35"/>
      <c r="J10" s="380" t="s">
        <v>70</v>
      </c>
      <c r="L10" s="84"/>
      <c r="M10" s="84"/>
      <c r="N10" s="119" t="s">
        <v>805</v>
      </c>
      <c r="O10" s="381" t="s">
        <v>860</v>
      </c>
      <c r="P10" s="145" t="s">
        <v>298</v>
      </c>
    </row>
    <row r="11" spans="1:16" s="2" customFormat="1" ht="25.2" customHeight="1">
      <c r="A11" s="317" t="s">
        <v>98</v>
      </c>
      <c r="B11" s="379" t="s">
        <v>70</v>
      </c>
      <c r="C11" s="34"/>
      <c r="D11" s="380"/>
      <c r="E11" s="35"/>
      <c r="F11" s="35"/>
      <c r="G11" s="35"/>
      <c r="H11" s="35"/>
      <c r="I11" s="35"/>
      <c r="J11" s="380" t="s">
        <v>70</v>
      </c>
      <c r="L11" s="84"/>
      <c r="M11" s="84"/>
      <c r="N11" s="119" t="s">
        <v>806</v>
      </c>
      <c r="O11" s="381" t="s">
        <v>862</v>
      </c>
      <c r="P11" s="145" t="s">
        <v>298</v>
      </c>
    </row>
    <row r="12" spans="1:16" s="2" customFormat="1" ht="25.2" customHeight="1">
      <c r="A12" s="317" t="s">
        <v>98</v>
      </c>
      <c r="B12" s="379" t="s">
        <v>70</v>
      </c>
      <c r="C12" s="34"/>
      <c r="D12" s="380"/>
      <c r="E12" s="35"/>
      <c r="F12" s="35"/>
      <c r="G12" s="35"/>
      <c r="H12" s="35"/>
      <c r="I12" s="35"/>
      <c r="J12" s="380" t="s">
        <v>70</v>
      </c>
      <c r="L12" s="84"/>
      <c r="M12" s="84"/>
      <c r="N12" s="119" t="s">
        <v>807</v>
      </c>
      <c r="O12" s="381" t="s">
        <v>863</v>
      </c>
      <c r="P12" s="145" t="s">
        <v>298</v>
      </c>
    </row>
    <row r="13" spans="1:16" s="2" customFormat="1" ht="25.2" customHeight="1">
      <c r="A13" s="317" t="s">
        <v>99</v>
      </c>
      <c r="B13" s="34" t="s">
        <v>70</v>
      </c>
      <c r="C13" s="34"/>
      <c r="D13" s="35" t="s">
        <v>70</v>
      </c>
      <c r="E13" s="35"/>
      <c r="F13" s="35"/>
      <c r="G13" s="35"/>
      <c r="H13" s="35"/>
      <c r="I13" s="35"/>
      <c r="J13" s="35"/>
      <c r="L13" s="268" t="s">
        <v>700</v>
      </c>
      <c r="M13" s="84" t="s">
        <v>212</v>
      </c>
      <c r="N13" s="119" t="s">
        <v>211</v>
      </c>
      <c r="O13" s="11"/>
      <c r="P13" s="145" t="s">
        <v>298</v>
      </c>
    </row>
    <row r="14" spans="1:16" s="2" customFormat="1" ht="25.2" customHeight="1">
      <c r="A14" s="317" t="s">
        <v>98</v>
      </c>
      <c r="B14" s="34" t="s">
        <v>70</v>
      </c>
      <c r="C14" s="34"/>
      <c r="D14" s="35" t="s">
        <v>70</v>
      </c>
      <c r="E14" s="35"/>
      <c r="F14" s="35"/>
      <c r="G14" s="35"/>
      <c r="H14" s="35"/>
      <c r="I14" s="35"/>
      <c r="J14" s="35"/>
      <c r="L14" s="84"/>
      <c r="M14" s="84"/>
      <c r="N14" s="119" t="s">
        <v>687</v>
      </c>
      <c r="O14" s="11"/>
      <c r="P14" s="145" t="s">
        <v>298</v>
      </c>
    </row>
    <row r="15" spans="1:16" s="2" customFormat="1" ht="25.2" customHeight="1">
      <c r="A15" s="317" t="s">
        <v>99</v>
      </c>
      <c r="B15" s="34" t="s">
        <v>70</v>
      </c>
      <c r="C15" s="34"/>
      <c r="D15" s="35"/>
      <c r="E15" s="35"/>
      <c r="F15" s="35"/>
      <c r="G15" s="35"/>
      <c r="H15" s="35" t="s">
        <v>70</v>
      </c>
      <c r="I15" s="35"/>
      <c r="J15" s="35"/>
      <c r="L15" s="84" t="s">
        <v>208</v>
      </c>
      <c r="M15" s="84"/>
      <c r="N15" s="119" t="s">
        <v>316</v>
      </c>
      <c r="O15" s="11"/>
      <c r="P15" s="145" t="s">
        <v>298</v>
      </c>
    </row>
    <row r="16" spans="1:16" s="2" customFormat="1" ht="25.2" customHeight="1">
      <c r="A16" s="317" t="s">
        <v>99</v>
      </c>
      <c r="B16" s="34" t="s">
        <v>70</v>
      </c>
      <c r="C16" s="34"/>
      <c r="D16" s="35"/>
      <c r="E16" s="35"/>
      <c r="F16" s="35"/>
      <c r="G16" s="35"/>
      <c r="H16" s="35" t="s">
        <v>70</v>
      </c>
      <c r="I16" s="35"/>
      <c r="J16" s="35"/>
      <c r="L16" s="84" t="s">
        <v>209</v>
      </c>
      <c r="M16" s="84"/>
      <c r="N16" s="119" t="s">
        <v>317</v>
      </c>
      <c r="O16" s="11"/>
      <c r="P16" s="145" t="s">
        <v>298</v>
      </c>
    </row>
    <row r="17" spans="1:19" s="2" customFormat="1" ht="25.2" customHeight="1">
      <c r="A17" s="317" t="s">
        <v>99</v>
      </c>
      <c r="B17" s="34" t="s">
        <v>70</v>
      </c>
      <c r="C17" s="34"/>
      <c r="D17" s="35"/>
      <c r="E17" s="35"/>
      <c r="F17" s="35"/>
      <c r="G17" s="35"/>
      <c r="H17" s="35" t="s">
        <v>70</v>
      </c>
      <c r="I17" s="35"/>
      <c r="J17" s="35"/>
      <c r="L17" s="96" t="s">
        <v>251</v>
      </c>
      <c r="M17" s="84"/>
      <c r="N17" s="119" t="s">
        <v>318</v>
      </c>
      <c r="O17" s="11"/>
      <c r="P17" s="145" t="s">
        <v>298</v>
      </c>
    </row>
    <row r="18" spans="1:19" s="2" customFormat="1" ht="25.2" customHeight="1">
      <c r="A18" s="317" t="s">
        <v>99</v>
      </c>
      <c r="B18" s="34" t="s">
        <v>70</v>
      </c>
      <c r="C18" s="34"/>
      <c r="D18" s="35"/>
      <c r="E18" s="35"/>
      <c r="F18" s="35"/>
      <c r="G18" s="35"/>
      <c r="H18" s="35"/>
      <c r="I18" s="104" t="s">
        <v>70</v>
      </c>
      <c r="J18" s="35"/>
      <c r="L18" s="96" t="s">
        <v>252</v>
      </c>
      <c r="M18" s="84"/>
      <c r="N18" s="119" t="s">
        <v>252</v>
      </c>
      <c r="P18" s="145" t="s">
        <v>298</v>
      </c>
    </row>
    <row r="19" spans="1:19" s="2" customFormat="1" ht="25.2" customHeight="1">
      <c r="A19" s="317" t="s">
        <v>98</v>
      </c>
      <c r="B19" s="34" t="s">
        <v>70</v>
      </c>
      <c r="C19" s="34"/>
      <c r="D19" s="35"/>
      <c r="E19" s="35"/>
      <c r="F19" s="35"/>
      <c r="G19" s="35"/>
      <c r="H19" s="35"/>
      <c r="I19" s="104" t="s">
        <v>70</v>
      </c>
      <c r="J19" s="35"/>
      <c r="L19" s="84"/>
      <c r="M19" s="84"/>
      <c r="N19" s="119" t="s">
        <v>319</v>
      </c>
      <c r="O19" s="1" t="s">
        <v>254</v>
      </c>
      <c r="P19" s="145" t="s">
        <v>298</v>
      </c>
    </row>
    <row r="20" spans="1:19" s="2" customFormat="1" ht="25.2" customHeight="1">
      <c r="A20" s="317" t="s">
        <v>98</v>
      </c>
      <c r="B20" s="418" t="s">
        <v>70</v>
      </c>
      <c r="C20" s="34"/>
      <c r="D20" s="35"/>
      <c r="E20" s="35"/>
      <c r="F20" s="35"/>
      <c r="G20" s="35"/>
      <c r="H20" s="35"/>
      <c r="I20" s="104" t="s">
        <v>70</v>
      </c>
      <c r="J20" s="35"/>
      <c r="L20" s="84"/>
      <c r="M20" s="84"/>
      <c r="N20" s="119" t="s">
        <v>320</v>
      </c>
      <c r="O20" s="98" t="s">
        <v>253</v>
      </c>
      <c r="P20" s="145" t="s">
        <v>298</v>
      </c>
    </row>
    <row r="21" spans="1:19" s="2" customFormat="1" ht="25.2" customHeight="1">
      <c r="A21" s="317" t="s">
        <v>99</v>
      </c>
      <c r="B21" s="209" t="s">
        <v>70</v>
      </c>
      <c r="C21" s="34"/>
      <c r="D21" s="35"/>
      <c r="E21" s="35"/>
      <c r="F21" s="35"/>
      <c r="G21" s="35"/>
      <c r="H21" s="35"/>
      <c r="I21" s="35"/>
      <c r="J21" s="218" t="s">
        <v>614</v>
      </c>
      <c r="L21" s="96" t="s">
        <v>606</v>
      </c>
      <c r="M21" s="84"/>
      <c r="N21" s="119" t="s">
        <v>606</v>
      </c>
      <c r="O21" s="11"/>
      <c r="P21" s="145" t="s">
        <v>298</v>
      </c>
    </row>
    <row r="22" spans="1:19" s="2" customFormat="1" ht="25.2" customHeight="1">
      <c r="A22" s="317" t="s">
        <v>99</v>
      </c>
      <c r="B22" s="291" t="s">
        <v>70</v>
      </c>
      <c r="C22" s="34"/>
      <c r="D22" s="35"/>
      <c r="E22" s="35"/>
      <c r="F22" s="35"/>
      <c r="G22" s="292" t="s">
        <v>70</v>
      </c>
      <c r="H22" s="35"/>
      <c r="I22" s="35"/>
      <c r="J22" s="35"/>
      <c r="L22" s="293" t="s">
        <v>723</v>
      </c>
      <c r="M22" s="294" t="s">
        <v>143</v>
      </c>
      <c r="N22" s="119" t="s">
        <v>722</v>
      </c>
      <c r="O22" s="11"/>
      <c r="P22" s="145" t="s">
        <v>298</v>
      </c>
      <c r="Q22" s="2" t="s">
        <v>896</v>
      </c>
      <c r="R22" s="83" t="s">
        <v>14</v>
      </c>
      <c r="S22" s="2">
        <f>MATCH(Q22,STD_F!C:C,0)</f>
        <v>116</v>
      </c>
    </row>
    <row r="23" spans="1:19" s="2" customFormat="1" ht="25.2" customHeight="1">
      <c r="A23" s="317" t="s">
        <v>98</v>
      </c>
      <c r="B23" s="365" t="s">
        <v>70</v>
      </c>
      <c r="C23" s="34"/>
      <c r="D23" s="35"/>
      <c r="E23" s="35"/>
      <c r="F23" s="35"/>
      <c r="G23" s="366" t="s">
        <v>70</v>
      </c>
      <c r="H23" s="35"/>
      <c r="I23" s="35"/>
      <c r="J23" s="366"/>
      <c r="L23" s="84"/>
      <c r="M23" s="84"/>
      <c r="N23" s="119" t="s">
        <v>813</v>
      </c>
      <c r="O23" s="11"/>
      <c r="P23" s="145" t="s">
        <v>298</v>
      </c>
    </row>
    <row r="24" spans="1:19" s="2" customFormat="1" ht="25.2" customHeight="1">
      <c r="A24" s="317" t="s">
        <v>99</v>
      </c>
      <c r="B24" s="365" t="s">
        <v>70</v>
      </c>
      <c r="C24" s="34"/>
      <c r="D24" s="35"/>
      <c r="E24" s="35"/>
      <c r="F24" s="35"/>
      <c r="G24" s="35"/>
      <c r="H24" s="35"/>
      <c r="I24" s="35"/>
      <c r="J24" s="35"/>
      <c r="K24" s="401" t="s">
        <v>70</v>
      </c>
      <c r="L24" s="400" t="s">
        <v>881</v>
      </c>
      <c r="M24" s="84"/>
      <c r="N24" s="119" t="s">
        <v>882</v>
      </c>
      <c r="O24" s="11"/>
      <c r="P24" s="145" t="s">
        <v>298</v>
      </c>
    </row>
    <row r="25" spans="1:19" s="2" customFormat="1" ht="25.2" customHeight="1">
      <c r="A25" s="317" t="s">
        <v>99</v>
      </c>
      <c r="B25" s="365" t="s">
        <v>70</v>
      </c>
      <c r="C25" s="34"/>
      <c r="D25" s="35"/>
      <c r="E25" s="35"/>
      <c r="F25" s="35"/>
      <c r="G25" s="35"/>
      <c r="H25" s="35"/>
      <c r="I25" s="35"/>
      <c r="J25" s="35"/>
      <c r="K25" s="415" t="s">
        <v>70</v>
      </c>
      <c r="L25" s="407" t="s">
        <v>904</v>
      </c>
      <c r="M25" s="407" t="s">
        <v>905</v>
      </c>
      <c r="N25" s="119" t="s">
        <v>906</v>
      </c>
      <c r="O25" s="416" t="s">
        <v>907</v>
      </c>
      <c r="P25" s="145" t="s">
        <v>298</v>
      </c>
    </row>
    <row r="26" spans="1:19" s="2" customFormat="1" ht="25.2" customHeight="1">
      <c r="A26" s="317" t="s">
        <v>100</v>
      </c>
      <c r="B26" s="365" t="s">
        <v>70</v>
      </c>
      <c r="C26" s="34"/>
      <c r="D26" s="35"/>
      <c r="E26" s="35"/>
      <c r="F26" s="35"/>
      <c r="G26" s="35"/>
      <c r="H26" s="35"/>
      <c r="I26" s="35"/>
      <c r="J26" s="35"/>
      <c r="L26" s="84"/>
      <c r="M26" s="84"/>
      <c r="N26" s="86"/>
      <c r="O26" s="11"/>
      <c r="P26" s="144"/>
    </row>
    <row r="27" spans="1:19" s="2" customFormat="1" ht="25.2" customHeight="1">
      <c r="A27" s="317" t="s">
        <v>100</v>
      </c>
      <c r="B27" s="365" t="s">
        <v>70</v>
      </c>
      <c r="C27" s="34"/>
      <c r="D27" s="35"/>
      <c r="E27" s="35"/>
      <c r="F27" s="35"/>
      <c r="G27" s="35"/>
      <c r="H27" s="35"/>
      <c r="I27" s="35"/>
      <c r="J27" s="35"/>
      <c r="L27" s="84"/>
      <c r="M27" s="84"/>
      <c r="N27" s="86"/>
      <c r="O27" s="11"/>
      <c r="P27" s="144"/>
    </row>
    <row r="28" spans="1:19" s="2" customFormat="1" ht="25.2" customHeight="1">
      <c r="A28" s="317" t="s">
        <v>100</v>
      </c>
      <c r="B28" s="365" t="s">
        <v>70</v>
      </c>
      <c r="C28" s="34"/>
      <c r="D28" s="35"/>
      <c r="E28" s="35"/>
      <c r="F28" s="35"/>
      <c r="G28" s="35"/>
      <c r="H28" s="35"/>
      <c r="I28" s="35"/>
      <c r="J28" s="35"/>
      <c r="L28" s="84"/>
      <c r="M28" s="84"/>
      <c r="N28" s="86"/>
      <c r="O28" s="11"/>
      <c r="P28" s="144"/>
    </row>
    <row r="29" spans="1:19" s="2" customFormat="1" ht="25.2" customHeight="1">
      <c r="A29" s="317" t="s">
        <v>100</v>
      </c>
      <c r="B29" s="365" t="s">
        <v>70</v>
      </c>
      <c r="C29" s="34"/>
      <c r="D29" s="35"/>
      <c r="E29" s="35"/>
      <c r="F29" s="35"/>
      <c r="G29" s="35"/>
      <c r="H29" s="35"/>
      <c r="I29" s="35"/>
      <c r="J29" s="35"/>
      <c r="L29" s="84"/>
      <c r="M29" s="84"/>
      <c r="N29" s="4"/>
      <c r="O29" s="11"/>
      <c r="P29" s="144"/>
    </row>
    <row r="30" spans="1:19" s="2" customFormat="1" ht="25.2" customHeight="1">
      <c r="A30" s="317" t="s">
        <v>100</v>
      </c>
      <c r="B30" s="365" t="s">
        <v>70</v>
      </c>
      <c r="C30" s="34"/>
      <c r="D30" s="35"/>
      <c r="E30" s="35"/>
      <c r="F30" s="35"/>
      <c r="G30" s="35"/>
      <c r="H30" s="35"/>
      <c r="I30" s="35"/>
      <c r="J30" s="35"/>
      <c r="L30" s="84"/>
      <c r="M30" s="84"/>
      <c r="N30" s="4"/>
      <c r="O30" s="11"/>
      <c r="P30" s="144"/>
    </row>
    <row r="31" spans="1:19" s="2" customFormat="1" ht="25.2" customHeight="1">
      <c r="A31" s="317" t="s">
        <v>100</v>
      </c>
      <c r="B31" s="365" t="s">
        <v>70</v>
      </c>
      <c r="C31" s="34"/>
      <c r="D31" s="35"/>
      <c r="E31" s="35"/>
      <c r="F31" s="35"/>
      <c r="G31" s="35"/>
      <c r="H31" s="35"/>
      <c r="I31" s="35"/>
      <c r="J31" s="35"/>
      <c r="L31" s="84"/>
      <c r="M31" s="84"/>
      <c r="N31" s="4"/>
      <c r="O31" s="11"/>
      <c r="P31" s="144"/>
    </row>
    <row r="32" spans="1:19" s="2" customFormat="1" ht="25.2" customHeight="1">
      <c r="A32" s="317" t="s">
        <v>100</v>
      </c>
      <c r="B32" s="365" t="s">
        <v>70</v>
      </c>
      <c r="C32" s="34"/>
      <c r="D32" s="35"/>
      <c r="E32" s="35"/>
      <c r="F32" s="35"/>
      <c r="G32" s="35"/>
      <c r="H32" s="35"/>
      <c r="I32" s="35"/>
      <c r="J32" s="35"/>
      <c r="L32" s="84"/>
      <c r="M32" s="84"/>
      <c r="N32" s="4"/>
      <c r="O32" s="11"/>
      <c r="P32" s="144"/>
    </row>
    <row r="33" spans="1:16" s="2" customFormat="1" ht="25.2" customHeight="1">
      <c r="A33" s="317" t="s">
        <v>100</v>
      </c>
      <c r="B33" s="365" t="s">
        <v>70</v>
      </c>
      <c r="C33" s="34"/>
      <c r="D33" s="35"/>
      <c r="E33" s="35"/>
      <c r="F33" s="35"/>
      <c r="G33" s="35"/>
      <c r="H33" s="35"/>
      <c r="I33" s="35"/>
      <c r="J33" s="35"/>
      <c r="L33" s="84"/>
      <c r="M33" s="84"/>
      <c r="N33" s="4"/>
      <c r="O33" s="11"/>
      <c r="P33" s="144"/>
    </row>
    <row r="34" spans="1:16" s="2" customFormat="1" ht="25.2" customHeight="1">
      <c r="A34" s="317" t="s">
        <v>100</v>
      </c>
      <c r="B34" s="365" t="s">
        <v>70</v>
      </c>
      <c r="C34" s="34"/>
      <c r="D34" s="35"/>
      <c r="E34" s="35"/>
      <c r="F34" s="35"/>
      <c r="G34" s="35"/>
      <c r="H34" s="35"/>
      <c r="I34" s="35"/>
      <c r="J34" s="35"/>
      <c r="L34" s="84"/>
      <c r="M34" s="84"/>
      <c r="N34" s="4"/>
      <c r="O34" s="11"/>
      <c r="P34" s="144"/>
    </row>
    <row r="35" spans="1:16" s="2" customFormat="1" ht="25.2" customHeight="1">
      <c r="A35" s="317" t="s">
        <v>100</v>
      </c>
      <c r="B35" s="365" t="s">
        <v>70</v>
      </c>
      <c r="C35" s="34"/>
      <c r="D35" s="35"/>
      <c r="E35" s="35"/>
      <c r="F35" s="35"/>
      <c r="G35" s="35"/>
      <c r="H35" s="35"/>
      <c r="I35" s="35"/>
      <c r="J35" s="35"/>
      <c r="L35" s="84"/>
      <c r="M35" s="84"/>
      <c r="N35" s="4"/>
      <c r="O35" s="11"/>
      <c r="P35" s="144"/>
    </row>
    <row r="36" spans="1:16" s="2" customFormat="1" ht="25.2" customHeight="1">
      <c r="A36" s="317" t="s">
        <v>100</v>
      </c>
      <c r="B36" s="365" t="s">
        <v>70</v>
      </c>
      <c r="C36" s="34"/>
      <c r="D36" s="35"/>
      <c r="E36" s="35"/>
      <c r="F36" s="35"/>
      <c r="G36" s="35"/>
      <c r="H36" s="35"/>
      <c r="I36" s="35"/>
      <c r="J36" s="35"/>
      <c r="L36" s="84"/>
      <c r="M36" s="84"/>
      <c r="N36" s="4"/>
      <c r="O36" s="11"/>
      <c r="P36" s="144"/>
    </row>
    <row r="37" spans="1:16" s="2" customFormat="1" ht="25.2" customHeight="1">
      <c r="A37" s="317" t="s">
        <v>100</v>
      </c>
      <c r="B37" s="365" t="s">
        <v>70</v>
      </c>
      <c r="C37" s="34"/>
      <c r="D37" s="35"/>
      <c r="E37" s="35"/>
      <c r="F37" s="35"/>
      <c r="G37" s="35"/>
      <c r="H37" s="35"/>
      <c r="I37" s="35"/>
      <c r="J37" s="35"/>
      <c r="L37" s="84"/>
      <c r="M37" s="84"/>
      <c r="N37" s="4"/>
      <c r="O37" s="11"/>
      <c r="P37" s="144"/>
    </row>
    <row r="38" spans="1:16" s="2" customFormat="1" ht="25.2" customHeight="1">
      <c r="A38" s="317" t="s">
        <v>100</v>
      </c>
      <c r="B38" s="365" t="s">
        <v>70</v>
      </c>
      <c r="C38" s="34"/>
      <c r="D38" s="35"/>
      <c r="E38" s="35"/>
      <c r="F38" s="35"/>
      <c r="G38" s="35"/>
      <c r="H38" s="35"/>
      <c r="I38" s="35"/>
      <c r="J38" s="35"/>
      <c r="L38" s="84"/>
      <c r="M38" s="84"/>
      <c r="N38" s="4"/>
      <c r="O38" s="11"/>
      <c r="P38" s="144"/>
    </row>
    <row r="39" spans="1:16" s="2" customFormat="1" ht="25.2" customHeight="1">
      <c r="A39" s="317" t="s">
        <v>100</v>
      </c>
      <c r="B39" s="365" t="s">
        <v>70</v>
      </c>
      <c r="C39" s="34"/>
      <c r="D39" s="35"/>
      <c r="E39" s="35"/>
      <c r="F39" s="35"/>
      <c r="G39" s="35"/>
      <c r="H39" s="35"/>
      <c r="I39" s="35"/>
      <c r="K39" s="35"/>
      <c r="L39" s="84"/>
      <c r="M39" s="84"/>
      <c r="N39" s="4"/>
      <c r="O39" s="11"/>
      <c r="P39" s="144"/>
    </row>
    <row r="40" spans="1:16" s="2" customFormat="1" ht="25.2" customHeight="1">
      <c r="A40" s="317" t="s">
        <v>100</v>
      </c>
      <c r="B40" s="365" t="s">
        <v>70</v>
      </c>
      <c r="C40" s="34"/>
      <c r="D40" s="35"/>
      <c r="E40" s="35"/>
      <c r="F40" s="35"/>
      <c r="G40" s="35"/>
      <c r="H40" s="35"/>
      <c r="I40" s="35"/>
      <c r="J40" s="35"/>
      <c r="L40" s="84"/>
      <c r="M40" s="84"/>
      <c r="N40" s="4"/>
      <c r="O40" s="11"/>
      <c r="P40" s="144"/>
    </row>
    <row r="41" spans="1:16" s="2" customFormat="1" ht="25.2" customHeight="1">
      <c r="A41" s="317" t="s">
        <v>100</v>
      </c>
      <c r="B41" s="365" t="s">
        <v>70</v>
      </c>
      <c r="C41" s="34"/>
      <c r="D41" s="35"/>
      <c r="E41" s="35"/>
      <c r="F41" s="35"/>
      <c r="G41" s="35"/>
      <c r="H41" s="35"/>
      <c r="I41" s="35"/>
      <c r="J41" s="35"/>
      <c r="L41" s="84"/>
      <c r="M41" s="84"/>
      <c r="N41" s="4"/>
      <c r="O41" s="11"/>
      <c r="P41" s="144"/>
    </row>
    <row r="42" spans="1:16" s="2" customFormat="1" ht="25.2" customHeight="1">
      <c r="A42" s="317" t="s">
        <v>100</v>
      </c>
      <c r="B42" s="365" t="s">
        <v>70</v>
      </c>
      <c r="C42" s="34"/>
      <c r="D42" s="35"/>
      <c r="E42" s="35"/>
      <c r="F42" s="35"/>
      <c r="G42" s="35"/>
      <c r="H42" s="35"/>
      <c r="I42" s="35"/>
      <c r="J42" s="35"/>
      <c r="L42" s="84"/>
      <c r="M42" s="84"/>
      <c r="N42" s="4"/>
      <c r="O42" s="11"/>
      <c r="P42" s="144"/>
    </row>
    <row r="43" spans="1:16" s="2" customFormat="1" ht="25.2" customHeight="1">
      <c r="A43" s="317" t="s">
        <v>100</v>
      </c>
      <c r="B43" s="365" t="s">
        <v>70</v>
      </c>
      <c r="C43" s="34"/>
      <c r="D43" s="35"/>
      <c r="E43" s="35"/>
      <c r="F43" s="35"/>
      <c r="G43" s="35"/>
      <c r="H43" s="35"/>
      <c r="I43" s="35"/>
      <c r="J43" s="35"/>
      <c r="L43" s="84"/>
      <c r="M43" s="84"/>
      <c r="N43" s="4"/>
      <c r="O43" s="11"/>
      <c r="P43" s="144"/>
    </row>
    <row r="44" spans="1:16" s="2" customFormat="1" ht="25.2" customHeight="1">
      <c r="A44" s="317" t="s">
        <v>100</v>
      </c>
      <c r="B44" s="365" t="s">
        <v>70</v>
      </c>
      <c r="C44" s="34"/>
      <c r="D44" s="35"/>
      <c r="E44" s="35"/>
      <c r="F44" s="35"/>
      <c r="G44" s="35"/>
      <c r="H44" s="35"/>
      <c r="I44" s="35"/>
      <c r="J44" s="35"/>
      <c r="L44" s="84"/>
      <c r="M44" s="84"/>
      <c r="N44" s="4"/>
      <c r="O44" s="11"/>
      <c r="P44" s="144"/>
    </row>
    <row r="45" spans="1:16" s="2" customFormat="1" ht="25.2" customHeight="1">
      <c r="A45" s="317" t="s">
        <v>100</v>
      </c>
      <c r="B45" s="365" t="s">
        <v>70</v>
      </c>
      <c r="C45" s="34"/>
      <c r="D45" s="35"/>
      <c r="E45" s="35"/>
      <c r="F45" s="35"/>
      <c r="G45" s="35"/>
      <c r="H45" s="35"/>
      <c r="I45" s="35"/>
      <c r="J45" s="35"/>
      <c r="L45" s="84"/>
      <c r="M45" s="84"/>
      <c r="N45" s="4"/>
      <c r="O45" s="11"/>
      <c r="P45" s="144"/>
    </row>
    <row r="46" spans="1:16" s="2" customFormat="1" ht="25.2" customHeight="1">
      <c r="A46" s="317" t="s">
        <v>100</v>
      </c>
      <c r="B46" s="365" t="s">
        <v>70</v>
      </c>
      <c r="C46" s="34"/>
      <c r="D46" s="35"/>
      <c r="E46" s="35"/>
      <c r="F46" s="35"/>
      <c r="G46" s="35"/>
      <c r="H46" s="35"/>
      <c r="I46" s="35"/>
      <c r="J46" s="35"/>
      <c r="L46" s="84"/>
      <c r="M46" s="84"/>
      <c r="N46" s="4"/>
      <c r="O46" s="11"/>
      <c r="P46" s="144"/>
    </row>
    <row r="47" spans="1:16" s="2" customFormat="1" ht="25.2" customHeight="1">
      <c r="A47" s="317" t="s">
        <v>100</v>
      </c>
      <c r="B47" s="365" t="s">
        <v>70</v>
      </c>
      <c r="C47" s="34"/>
      <c r="D47" s="35"/>
      <c r="E47" s="35"/>
      <c r="F47" s="35"/>
      <c r="G47" s="35"/>
      <c r="H47" s="35"/>
      <c r="I47" s="35"/>
      <c r="J47" s="35"/>
      <c r="L47" s="84"/>
      <c r="M47" s="84"/>
      <c r="N47" s="4"/>
      <c r="O47" s="11"/>
      <c r="P47" s="144"/>
    </row>
    <row r="48" spans="1:16" s="2" customFormat="1" ht="25.2" customHeight="1">
      <c r="A48" s="317" t="s">
        <v>100</v>
      </c>
      <c r="B48" s="365" t="s">
        <v>70</v>
      </c>
      <c r="C48" s="34"/>
      <c r="D48" s="35"/>
      <c r="E48" s="35"/>
      <c r="F48" s="35"/>
      <c r="G48" s="35"/>
      <c r="H48" s="35"/>
      <c r="I48" s="35"/>
      <c r="J48" s="35"/>
      <c r="L48" s="84"/>
      <c r="M48" s="84"/>
      <c r="N48" s="4"/>
      <c r="O48" s="11"/>
      <c r="P48" s="144"/>
    </row>
    <row r="49" spans="1:16" s="2" customFormat="1" ht="25.2" customHeight="1">
      <c r="A49" s="317" t="s">
        <v>100</v>
      </c>
      <c r="B49" s="365" t="s">
        <v>70</v>
      </c>
      <c r="C49" s="34"/>
      <c r="D49" s="35"/>
      <c r="E49" s="35"/>
      <c r="F49" s="35"/>
      <c r="G49" s="35"/>
      <c r="H49" s="35"/>
      <c r="I49" s="35"/>
      <c r="J49" s="35"/>
      <c r="L49" s="84"/>
      <c r="M49" s="84"/>
      <c r="N49" s="4"/>
      <c r="O49" s="11"/>
      <c r="P49" s="144"/>
    </row>
    <row r="50" spans="1:16" s="2" customFormat="1" ht="25.2" customHeight="1">
      <c r="A50" s="317" t="s">
        <v>100</v>
      </c>
      <c r="B50" s="365" t="s">
        <v>70</v>
      </c>
      <c r="C50" s="34"/>
      <c r="D50" s="35"/>
      <c r="E50" s="35"/>
      <c r="F50" s="35"/>
      <c r="G50" s="35"/>
      <c r="H50" s="35"/>
      <c r="I50" s="35"/>
      <c r="J50" s="35"/>
      <c r="L50" s="84"/>
      <c r="M50" s="84"/>
      <c r="N50" s="4"/>
      <c r="O50" s="11"/>
      <c r="P50" s="144"/>
    </row>
    <row r="51" spans="1:16" s="2" customFormat="1" ht="25.2" customHeight="1">
      <c r="A51" s="317" t="s">
        <v>100</v>
      </c>
      <c r="B51" s="365" t="s">
        <v>70</v>
      </c>
      <c r="C51" s="34"/>
      <c r="D51" s="35"/>
      <c r="E51" s="35"/>
      <c r="F51" s="35"/>
      <c r="G51" s="35"/>
      <c r="H51" s="35"/>
      <c r="I51" s="35"/>
      <c r="J51" s="35"/>
      <c r="L51" s="84"/>
      <c r="M51" s="84"/>
      <c r="N51" s="4"/>
      <c r="O51" s="11"/>
      <c r="P51" s="144"/>
    </row>
    <row r="52" spans="1:16" s="2" customFormat="1" ht="25.2" customHeight="1">
      <c r="A52" s="317" t="s">
        <v>100</v>
      </c>
      <c r="B52" s="365" t="s">
        <v>70</v>
      </c>
      <c r="C52" s="34"/>
      <c r="D52" s="35"/>
      <c r="E52" s="35"/>
      <c r="F52" s="35"/>
      <c r="G52" s="35"/>
      <c r="H52" s="35"/>
      <c r="I52" s="35"/>
      <c r="J52" s="35"/>
      <c r="L52" s="84"/>
      <c r="M52" s="84"/>
      <c r="N52" s="4"/>
      <c r="O52" s="11"/>
      <c r="P52" s="144"/>
    </row>
    <row r="53" spans="1:16" s="2" customFormat="1" ht="25.2" customHeight="1">
      <c r="A53" s="317" t="s">
        <v>100</v>
      </c>
      <c r="B53" s="365" t="s">
        <v>70</v>
      </c>
      <c r="C53" s="34"/>
      <c r="D53" s="35"/>
      <c r="E53" s="35"/>
      <c r="F53" s="35"/>
      <c r="G53" s="35"/>
      <c r="H53" s="35"/>
      <c r="I53" s="35"/>
      <c r="J53" s="35"/>
      <c r="L53" s="84"/>
      <c r="M53" s="84"/>
      <c r="N53" s="4"/>
      <c r="O53" s="11"/>
      <c r="P53" s="144"/>
    </row>
    <row r="54" spans="1:16" s="2" customFormat="1" ht="25.2" customHeight="1">
      <c r="A54" s="317"/>
      <c r="B54" s="34"/>
      <c r="C54" s="34"/>
      <c r="D54" s="35"/>
      <c r="E54" s="35"/>
      <c r="F54" s="35"/>
      <c r="G54" s="35"/>
      <c r="H54" s="35"/>
      <c r="I54" s="35"/>
      <c r="J54" s="35"/>
      <c r="L54" s="84"/>
      <c r="M54" s="84"/>
      <c r="N54" s="4"/>
      <c r="O54" s="11"/>
    </row>
    <row r="55" spans="1:16" s="2" customFormat="1" ht="25.2" customHeight="1">
      <c r="A55" s="317"/>
      <c r="B55" s="34"/>
      <c r="C55" s="34"/>
      <c r="D55" s="35"/>
      <c r="E55" s="35"/>
      <c r="F55" s="35"/>
      <c r="G55" s="35"/>
      <c r="H55" s="35"/>
      <c r="I55" s="35"/>
      <c r="J55" s="35"/>
      <c r="L55" s="84"/>
      <c r="M55" s="84"/>
      <c r="N55" s="4"/>
      <c r="O55" s="11"/>
    </row>
    <row r="56" spans="1:16" s="2" customFormat="1" ht="25.2" customHeight="1">
      <c r="A56" s="317"/>
      <c r="B56" s="34"/>
      <c r="C56" s="34"/>
      <c r="D56" s="35"/>
      <c r="E56" s="35"/>
      <c r="F56" s="35"/>
      <c r="G56" s="35"/>
      <c r="H56" s="35"/>
      <c r="I56" s="35"/>
      <c r="J56" s="35"/>
      <c r="L56" s="84"/>
      <c r="M56" s="84"/>
      <c r="N56" s="4"/>
      <c r="O56" s="11"/>
    </row>
  </sheetData>
  <hyperlinks>
    <hyperlink ref="R22" location="'STD_F'!C116" display="Link" xr:uid="{3E62C099-4009-4205-B1AC-5DF777B122DB}"/>
    <hyperlink ref="N3" r:id="rId1" xr:uid="{9D119138-0CF8-4E19-9CA3-00CE41AE7185}"/>
    <hyperlink ref="N4" r:id="rId2" xr:uid="{4A0D743A-CCFA-4CB5-94F0-76A4FF5EE90B}"/>
    <hyperlink ref="N5" r:id="rId3" xr:uid="{C775A7CF-1563-4B87-BFE8-E484D4369DAE}"/>
    <hyperlink ref="N6" r:id="rId4" xr:uid="{6E71D7ED-F94B-4D32-B5FD-25A6AB43D2A9}"/>
    <hyperlink ref="N7" r:id="rId5" xr:uid="{3C416730-2B73-49EC-B607-AC7B2E393D68}"/>
    <hyperlink ref="N8" r:id="rId6" xr:uid="{4C2DFCDA-7227-4883-8A6E-BE0DBF1D8426}"/>
    <hyperlink ref="N9" r:id="rId7" xr:uid="{95F1B13D-AC22-4791-9527-A46E946171A8}"/>
    <hyperlink ref="N10" r:id="rId8" xr:uid="{BCA238AE-5FA6-40E9-82AB-B907F7021DB4}"/>
    <hyperlink ref="N11" r:id="rId9" xr:uid="{55A78EBB-B571-4D10-960B-409AF39323CB}"/>
    <hyperlink ref="N12" r:id="rId10" xr:uid="{F1C842F8-FB67-4017-AEDD-452942DFF0F2}"/>
    <hyperlink ref="N13" r:id="rId11" xr:uid="{15A11C7F-8BA5-40F5-926B-56EB5A9767B9}"/>
    <hyperlink ref="N14" r:id="rId12" xr:uid="{69D22A0B-B3B6-48CD-8928-71AF1BC6523A}"/>
    <hyperlink ref="N15" r:id="rId13" xr:uid="{6D08BE2C-2C0E-4CF2-B57B-A5C5EDFB568C}"/>
    <hyperlink ref="N16" r:id="rId14" xr:uid="{B81E6EFC-7703-49ED-A3FA-C7CBF84D46B2}"/>
    <hyperlink ref="N17" r:id="rId15" xr:uid="{081DE5C4-0C6B-4099-8EA9-629AD5A3442A}"/>
    <hyperlink ref="N18" r:id="rId16" xr:uid="{0C898CA4-35E1-428C-B2F2-14A14BC3B74F}"/>
    <hyperlink ref="N19" r:id="rId17" xr:uid="{9436D02B-71A1-4AB7-AA70-D2D93AA9EB46}"/>
    <hyperlink ref="N20" r:id="rId18" xr:uid="{AD4B75A6-9496-4675-947B-E6558F4E5DB7}"/>
    <hyperlink ref="N21" r:id="rId19" xr:uid="{594D21E9-21F3-4393-82A5-B989B3CF4464}"/>
    <hyperlink ref="N22" r:id="rId20" xr:uid="{484C0FBE-1709-43CE-BB5B-C550670A2C0E}"/>
    <hyperlink ref="N23" r:id="rId21" xr:uid="{E45939EC-9FBA-4417-AEF3-952BE30BA0B2}"/>
    <hyperlink ref="N24" r:id="rId22" xr:uid="{B917277E-EE88-4327-81F8-3DF5E749E0B8}"/>
    <hyperlink ref="N25" r:id="rId23" xr:uid="{C1D12DC6-D6F7-4D5A-82B1-6996743E2182}"/>
  </hyperlinks>
  <pageMargins left="0.7" right="0.7" top="0.78740157499999996" bottom="0.78740157499999996" header="0.3" footer="0.3"/>
  <pageSetup paperSize="9" orientation="portrait" r:id="rId2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5FE02-37DF-411A-A070-F10A10BF27F4}">
  <sheetPr codeName="Tabelle10"/>
  <dimension ref="A1:P65"/>
  <sheetViews>
    <sheetView topLeftCell="A47" workbookViewId="0">
      <selection activeCell="L61" sqref="L61"/>
    </sheetView>
  </sheetViews>
  <sheetFormatPr baseColWidth="10" defaultColWidth="11.5546875" defaultRowHeight="15.6"/>
  <cols>
    <col min="1" max="1" width="8.33203125" style="320" customWidth="1"/>
    <col min="2" max="10" width="3.6640625" style="116" bestFit="1" customWidth="1"/>
    <col min="11" max="11" width="6.6640625" bestFit="1" customWidth="1"/>
    <col min="12" max="12" width="23.5546875" style="103" bestFit="1" customWidth="1"/>
    <col min="13" max="13" width="23.44140625" style="115" bestFit="1" customWidth="1"/>
    <col min="14" max="14" width="18.5546875" style="117" bestFit="1" customWidth="1"/>
    <col min="15" max="15" width="32.5546875" style="118" bestFit="1" customWidth="1"/>
    <col min="16" max="16384" width="11.5546875" style="115"/>
  </cols>
  <sheetData>
    <row r="1" spans="1:16" s="101" customFormat="1" ht="55.2" customHeight="1">
      <c r="A1" s="315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105" t="s">
        <v>68</v>
      </c>
      <c r="M1" s="107" t="s">
        <v>69</v>
      </c>
      <c r="N1" s="108" t="s">
        <v>14</v>
      </c>
      <c r="O1" s="109" t="s">
        <v>95</v>
      </c>
    </row>
    <row r="2" spans="1:16" s="101" customFormat="1" ht="25.2" customHeight="1">
      <c r="A2" s="316" t="s">
        <v>101</v>
      </c>
      <c r="B2" s="110"/>
      <c r="C2" s="110"/>
      <c r="D2" s="99"/>
      <c r="E2" s="99"/>
      <c r="F2" s="99"/>
      <c r="G2" s="99"/>
      <c r="H2" s="99"/>
      <c r="I2" s="99"/>
      <c r="J2" s="99"/>
      <c r="L2" s="106"/>
      <c r="M2" s="111" t="s">
        <v>27</v>
      </c>
      <c r="N2" s="112"/>
      <c r="O2" s="98"/>
    </row>
    <row r="3" spans="1:16" s="101" customFormat="1" ht="25.2" customHeight="1">
      <c r="A3" s="317" t="s">
        <v>99</v>
      </c>
      <c r="B3" s="97" t="s">
        <v>70</v>
      </c>
      <c r="C3" s="97"/>
      <c r="D3" s="95" t="s">
        <v>70</v>
      </c>
      <c r="E3" s="95"/>
      <c r="F3" s="95"/>
      <c r="G3" s="95"/>
      <c r="H3" s="95"/>
      <c r="I3" s="95"/>
      <c r="J3" s="95"/>
      <c r="L3" s="96" t="s">
        <v>19</v>
      </c>
      <c r="M3" s="113" t="s">
        <v>28</v>
      </c>
      <c r="N3" s="119" t="s">
        <v>177</v>
      </c>
      <c r="O3" s="98"/>
      <c r="P3" s="137" t="s">
        <v>298</v>
      </c>
    </row>
    <row r="4" spans="1:16" s="101" customFormat="1" ht="20.100000000000001" customHeight="1">
      <c r="A4" s="317" t="s">
        <v>98</v>
      </c>
      <c r="B4" s="97" t="s">
        <v>70</v>
      </c>
      <c r="C4" s="31"/>
      <c r="D4" s="32"/>
      <c r="E4" s="32"/>
      <c r="F4" s="32"/>
      <c r="G4" s="32"/>
      <c r="H4" s="32"/>
      <c r="I4" s="32"/>
      <c r="J4" s="32"/>
      <c r="L4" s="96"/>
      <c r="M4" s="113"/>
      <c r="N4" s="119" t="s">
        <v>142</v>
      </c>
      <c r="O4" s="98" t="s">
        <v>141</v>
      </c>
      <c r="P4" s="137" t="s">
        <v>298</v>
      </c>
    </row>
    <row r="5" spans="1:16" s="101" customFormat="1" ht="20.100000000000001" customHeight="1">
      <c r="A5" s="317" t="s">
        <v>99</v>
      </c>
      <c r="B5" s="97" t="s">
        <v>70</v>
      </c>
      <c r="C5" s="97"/>
      <c r="D5" s="95" t="s">
        <v>70</v>
      </c>
      <c r="E5" s="95"/>
      <c r="F5" s="95"/>
      <c r="G5" s="95"/>
      <c r="H5" s="95"/>
      <c r="I5" s="95"/>
      <c r="J5" s="95"/>
      <c r="L5" s="96" t="s">
        <v>18</v>
      </c>
      <c r="M5" s="113"/>
      <c r="N5" s="119" t="s">
        <v>178</v>
      </c>
      <c r="O5" s="98"/>
      <c r="P5" s="137" t="s">
        <v>298</v>
      </c>
    </row>
    <row r="6" spans="1:16" s="101" customFormat="1" ht="20.100000000000001" customHeight="1">
      <c r="A6" s="317" t="s">
        <v>98</v>
      </c>
      <c r="B6" s="97" t="s">
        <v>70</v>
      </c>
      <c r="C6" s="31"/>
      <c r="D6" s="32"/>
      <c r="E6" s="32"/>
      <c r="F6" s="32"/>
      <c r="G6" s="32"/>
      <c r="H6" s="32"/>
      <c r="I6" s="32"/>
      <c r="J6" s="32"/>
      <c r="L6" s="96"/>
      <c r="M6" s="113"/>
      <c r="N6" s="119" t="s">
        <v>179</v>
      </c>
      <c r="O6" s="98"/>
      <c r="P6" s="137" t="s">
        <v>298</v>
      </c>
    </row>
    <row r="7" spans="1:16" ht="20.100000000000001" customHeight="1">
      <c r="A7" s="317" t="s">
        <v>99</v>
      </c>
      <c r="B7" s="97" t="s">
        <v>70</v>
      </c>
      <c r="C7" s="97" t="s">
        <v>70</v>
      </c>
      <c r="D7" s="95" t="s">
        <v>70</v>
      </c>
      <c r="E7" s="95"/>
      <c r="F7" s="95"/>
      <c r="G7" s="95"/>
      <c r="H7" s="95"/>
      <c r="I7" s="95"/>
      <c r="J7" s="95"/>
      <c r="K7" s="163"/>
      <c r="L7" s="96" t="s">
        <v>17</v>
      </c>
      <c r="N7" s="119" t="s">
        <v>179</v>
      </c>
      <c r="O7" s="98"/>
      <c r="P7" s="138" t="s">
        <v>298</v>
      </c>
    </row>
    <row r="8" spans="1:16" ht="20.100000000000001" customHeight="1">
      <c r="A8" s="317" t="s">
        <v>99</v>
      </c>
      <c r="B8" s="97" t="s">
        <v>70</v>
      </c>
      <c r="I8" s="116" t="s">
        <v>70</v>
      </c>
      <c r="K8" s="163"/>
      <c r="L8" s="96" t="s">
        <v>255</v>
      </c>
      <c r="N8" s="119" t="s">
        <v>321</v>
      </c>
      <c r="O8" s="98"/>
      <c r="P8" s="138" t="s">
        <v>298</v>
      </c>
    </row>
    <row r="9" spans="1:16" ht="20.100000000000001" customHeight="1">
      <c r="A9" s="317" t="s">
        <v>99</v>
      </c>
      <c r="B9" s="97" t="s">
        <v>70</v>
      </c>
      <c r="I9" s="116" t="s">
        <v>70</v>
      </c>
      <c r="K9" s="163"/>
      <c r="L9" s="96" t="s">
        <v>256</v>
      </c>
      <c r="N9" s="119" t="s">
        <v>256</v>
      </c>
      <c r="O9" s="98"/>
      <c r="P9" s="138" t="s">
        <v>298</v>
      </c>
    </row>
    <row r="10" spans="1:16" ht="20.100000000000001" customHeight="1">
      <c r="A10" s="317" t="s">
        <v>99</v>
      </c>
      <c r="B10" s="360" t="s">
        <v>70</v>
      </c>
      <c r="K10" s="174" t="s">
        <v>70</v>
      </c>
      <c r="M10" s="96" t="s">
        <v>803</v>
      </c>
      <c r="N10" s="86" t="s">
        <v>802</v>
      </c>
      <c r="O10" s="96" t="s">
        <v>804</v>
      </c>
      <c r="P10" s="136"/>
    </row>
    <row r="11" spans="1:16" ht="20.100000000000001" customHeight="1">
      <c r="A11" s="317" t="s">
        <v>99</v>
      </c>
      <c r="B11" s="360"/>
      <c r="K11" s="174" t="s">
        <v>70</v>
      </c>
      <c r="L11" s="457" t="s">
        <v>989</v>
      </c>
      <c r="M11" s="458" t="s">
        <v>990</v>
      </c>
      <c r="N11" s="119" t="s">
        <v>988</v>
      </c>
      <c r="O11" s="98"/>
      <c r="P11" s="136"/>
    </row>
    <row r="12" spans="1:16" ht="20.100000000000001" customHeight="1">
      <c r="A12" s="317" t="s">
        <v>99</v>
      </c>
      <c r="B12" s="446" t="s">
        <v>70</v>
      </c>
      <c r="K12" s="174" t="s">
        <v>70</v>
      </c>
      <c r="L12" s="445" t="s">
        <v>969</v>
      </c>
      <c r="M12" s="447" t="s">
        <v>973</v>
      </c>
      <c r="N12" s="114" t="s">
        <v>976</v>
      </c>
      <c r="O12" s="442" t="s">
        <v>977</v>
      </c>
    </row>
    <row r="13" spans="1:16" ht="20.100000000000001" customHeight="1">
      <c r="A13" s="317" t="s">
        <v>99</v>
      </c>
      <c r="B13" s="446" t="s">
        <v>70</v>
      </c>
      <c r="K13" s="174" t="s">
        <v>70</v>
      </c>
      <c r="L13" s="459" t="s">
        <v>992</v>
      </c>
      <c r="M13" s="447"/>
      <c r="N13" s="114" t="s">
        <v>991</v>
      </c>
      <c r="O13" s="442"/>
    </row>
    <row r="14" spans="1:16" ht="20.100000000000001" customHeight="1">
      <c r="A14" s="317" t="s">
        <v>99</v>
      </c>
      <c r="B14" s="454" t="s">
        <v>70</v>
      </c>
      <c r="J14" s="452" t="s">
        <v>70</v>
      </c>
      <c r="K14" s="163"/>
      <c r="L14" s="453" t="s">
        <v>982</v>
      </c>
      <c r="N14" s="462" t="s">
        <v>987</v>
      </c>
      <c r="O14" s="460" t="s">
        <v>993</v>
      </c>
    </row>
    <row r="15" spans="1:16" ht="20.100000000000001" customHeight="1">
      <c r="A15" s="317" t="s">
        <v>98</v>
      </c>
      <c r="B15" s="454" t="s">
        <v>70</v>
      </c>
      <c r="J15" s="452" t="s">
        <v>70</v>
      </c>
      <c r="K15" s="163"/>
      <c r="N15" s="461" t="s">
        <v>986</v>
      </c>
      <c r="O15" s="456" t="s">
        <v>984</v>
      </c>
    </row>
    <row r="16" spans="1:16" ht="20.100000000000001" customHeight="1">
      <c r="A16" s="317" t="s">
        <v>98</v>
      </c>
      <c r="B16" s="452" t="s">
        <v>70</v>
      </c>
      <c r="J16" s="452" t="s">
        <v>70</v>
      </c>
      <c r="K16" s="163"/>
      <c r="N16" s="462" t="s">
        <v>985</v>
      </c>
      <c r="O16" s="455" t="s">
        <v>983</v>
      </c>
    </row>
    <row r="17" spans="1:12" ht="20.100000000000001" customHeight="1">
      <c r="A17" s="317" t="s">
        <v>100</v>
      </c>
      <c r="K17" s="163"/>
    </row>
    <row r="18" spans="1:12" ht="20.100000000000001" customHeight="1">
      <c r="A18" s="317" t="s">
        <v>100</v>
      </c>
      <c r="K18" s="163"/>
    </row>
    <row r="19" spans="1:12" ht="20.100000000000001" customHeight="1">
      <c r="A19" s="317" t="s">
        <v>100</v>
      </c>
      <c r="E19" s="463" t="s">
        <v>1006</v>
      </c>
      <c r="G19" s="464" t="s">
        <v>1004</v>
      </c>
      <c r="K19" s="115"/>
      <c r="L19" s="115"/>
    </row>
    <row r="20" spans="1:12" ht="20.100000000000001" customHeight="1">
      <c r="A20" s="317"/>
      <c r="E20" s="463" t="s">
        <v>1023</v>
      </c>
      <c r="G20" s="464"/>
      <c r="I20" s="463" t="s">
        <v>1019</v>
      </c>
      <c r="K20" s="115"/>
      <c r="L20" s="115"/>
    </row>
    <row r="21" spans="1:12" ht="20.100000000000001" customHeight="1">
      <c r="A21" s="317"/>
      <c r="E21" s="463" t="s">
        <v>1023</v>
      </c>
      <c r="F21" s="464">
        <v>1</v>
      </c>
      <c r="G21" s="464"/>
      <c r="I21" s="463"/>
      <c r="K21" s="115"/>
      <c r="L21" s="459" t="s">
        <v>866</v>
      </c>
    </row>
    <row r="22" spans="1:12">
      <c r="A22" s="317" t="s">
        <v>100</v>
      </c>
      <c r="E22" s="463" t="s">
        <v>1023</v>
      </c>
      <c r="F22" s="464">
        <v>2</v>
      </c>
      <c r="G22" s="465"/>
      <c r="K22" s="115"/>
      <c r="L22" s="459" t="s">
        <v>998</v>
      </c>
    </row>
    <row r="23" spans="1:12">
      <c r="A23" s="317" t="s">
        <v>100</v>
      </c>
      <c r="E23" s="463" t="s">
        <v>1023</v>
      </c>
      <c r="F23" s="464">
        <v>3</v>
      </c>
      <c r="G23" s="465"/>
      <c r="K23" s="115"/>
      <c r="L23" s="459" t="s">
        <v>868</v>
      </c>
    </row>
    <row r="24" spans="1:12">
      <c r="A24" s="317" t="s">
        <v>100</v>
      </c>
      <c r="E24" s="463" t="s">
        <v>1023</v>
      </c>
      <c r="F24" s="464">
        <v>4</v>
      </c>
      <c r="G24" s="465"/>
      <c r="K24" s="115"/>
      <c r="L24" s="459" t="s">
        <v>999</v>
      </c>
    </row>
    <row r="25" spans="1:12">
      <c r="A25" s="317"/>
      <c r="F25" s="464"/>
      <c r="G25" s="465"/>
      <c r="H25" s="115"/>
      <c r="K25" s="163"/>
      <c r="L25" s="467" t="s">
        <v>1022</v>
      </c>
    </row>
    <row r="26" spans="1:12">
      <c r="A26" s="317"/>
      <c r="F26" s="464"/>
      <c r="G26" s="465"/>
      <c r="H26" s="115"/>
      <c r="K26" s="163"/>
      <c r="L26" s="459" t="s">
        <v>1021</v>
      </c>
    </row>
    <row r="27" spans="1:12">
      <c r="A27" s="317"/>
      <c r="F27" s="464"/>
      <c r="G27" s="465"/>
      <c r="H27" s="115"/>
      <c r="K27" s="163"/>
      <c r="L27" s="459" t="s">
        <v>1041</v>
      </c>
    </row>
    <row r="28" spans="1:12">
      <c r="A28" s="317" t="s">
        <v>100</v>
      </c>
      <c r="E28" s="463" t="s">
        <v>1024</v>
      </c>
      <c r="F28" s="464">
        <v>1</v>
      </c>
      <c r="G28" s="465"/>
      <c r="H28" s="464" t="s">
        <v>1020</v>
      </c>
      <c r="K28" s="115"/>
      <c r="L28" s="115"/>
    </row>
    <row r="29" spans="1:12">
      <c r="A29" s="317"/>
      <c r="E29" s="463" t="s">
        <v>1024</v>
      </c>
      <c r="F29" s="464">
        <v>2</v>
      </c>
      <c r="G29" s="465"/>
      <c r="H29" s="464"/>
      <c r="K29" s="163">
        <v>5</v>
      </c>
      <c r="L29" s="459" t="s">
        <v>1000</v>
      </c>
    </row>
    <row r="30" spans="1:12">
      <c r="A30" s="317" t="s">
        <v>100</v>
      </c>
      <c r="E30" s="116" t="s">
        <v>1024</v>
      </c>
      <c r="F30" s="464">
        <v>3</v>
      </c>
      <c r="G30" s="465"/>
      <c r="K30" s="163">
        <v>6</v>
      </c>
      <c r="L30" s="459" t="s">
        <v>1003</v>
      </c>
    </row>
    <row r="31" spans="1:12">
      <c r="A31" s="317" t="s">
        <v>100</v>
      </c>
      <c r="E31" s="116" t="s">
        <v>1024</v>
      </c>
      <c r="F31" s="464">
        <v>4</v>
      </c>
      <c r="G31" s="465"/>
      <c r="K31" s="163">
        <v>7</v>
      </c>
      <c r="L31" s="459" t="s">
        <v>1002</v>
      </c>
    </row>
    <row r="32" spans="1:12">
      <c r="A32" s="317" t="s">
        <v>100</v>
      </c>
      <c r="F32" s="465"/>
      <c r="G32" s="465"/>
      <c r="K32" s="163">
        <v>8</v>
      </c>
      <c r="L32" s="459" t="s">
        <v>1001</v>
      </c>
    </row>
    <row r="33" spans="1:13">
      <c r="A33" s="317" t="s">
        <v>100</v>
      </c>
      <c r="F33" s="465"/>
      <c r="G33" s="465"/>
      <c r="K33" s="163"/>
    </row>
    <row r="34" spans="1:13">
      <c r="A34" s="317"/>
      <c r="E34" s="463" t="s">
        <v>1026</v>
      </c>
      <c r="G34" s="464" t="s">
        <v>1007</v>
      </c>
      <c r="K34" s="163"/>
      <c r="L34" s="459" t="s">
        <v>1012</v>
      </c>
    </row>
    <row r="35" spans="1:13">
      <c r="A35" s="317"/>
      <c r="G35" s="464"/>
      <c r="K35" s="163"/>
      <c r="L35" s="459"/>
    </row>
    <row r="36" spans="1:13">
      <c r="A36" s="317"/>
      <c r="G36" s="465"/>
      <c r="K36" s="163"/>
      <c r="L36" s="459" t="s">
        <v>1011</v>
      </c>
    </row>
    <row r="37" spans="1:13">
      <c r="A37" s="317"/>
      <c r="G37" s="465"/>
      <c r="K37" s="163"/>
      <c r="L37" s="459"/>
      <c r="M37" s="459" t="s">
        <v>1008</v>
      </c>
    </row>
    <row r="38" spans="1:13">
      <c r="A38" s="317"/>
      <c r="G38" s="465"/>
      <c r="K38" s="163"/>
      <c r="L38" s="459"/>
      <c r="M38" s="459" t="s">
        <v>1010</v>
      </c>
    </row>
    <row r="39" spans="1:13">
      <c r="A39" s="317"/>
      <c r="G39" s="465"/>
      <c r="K39" s="163"/>
      <c r="L39" s="459"/>
      <c r="M39" s="459" t="s">
        <v>1009</v>
      </c>
    </row>
    <row r="40" spans="1:13">
      <c r="A40" s="317"/>
      <c r="G40" s="465"/>
      <c r="K40" s="163"/>
      <c r="L40" s="459"/>
      <c r="M40" s="459"/>
    </row>
    <row r="41" spans="1:13">
      <c r="A41" s="317" t="s">
        <v>100</v>
      </c>
      <c r="E41" s="463" t="s">
        <v>1027</v>
      </c>
      <c r="G41" s="464" t="s">
        <v>1005</v>
      </c>
      <c r="K41" s="163"/>
      <c r="L41" s="459" t="s">
        <v>1013</v>
      </c>
    </row>
    <row r="42" spans="1:13">
      <c r="A42" s="317" t="s">
        <v>100</v>
      </c>
      <c r="G42" s="465"/>
      <c r="K42" s="163"/>
      <c r="L42" s="459" t="s">
        <v>1014</v>
      </c>
    </row>
    <row r="43" spans="1:13">
      <c r="A43" s="317"/>
      <c r="G43" s="465"/>
      <c r="K43" s="163"/>
      <c r="L43" s="459"/>
    </row>
    <row r="44" spans="1:13">
      <c r="A44" s="317"/>
      <c r="E44" s="463" t="s">
        <v>1028</v>
      </c>
      <c r="G44" s="464" t="s">
        <v>1029</v>
      </c>
      <c r="K44" s="163"/>
      <c r="L44" s="459"/>
    </row>
    <row r="45" spans="1:13">
      <c r="A45" s="317"/>
      <c r="E45" s="463" t="s">
        <v>1030</v>
      </c>
      <c r="G45" s="465"/>
      <c r="H45" s="464" t="s">
        <v>1033</v>
      </c>
      <c r="K45" s="163"/>
      <c r="L45" s="459" t="s">
        <v>1034</v>
      </c>
    </row>
    <row r="46" spans="1:13">
      <c r="A46" s="317"/>
      <c r="E46" s="463" t="s">
        <v>1025</v>
      </c>
      <c r="G46" s="465"/>
      <c r="H46" s="464" t="s">
        <v>357</v>
      </c>
      <c r="K46" s="163"/>
      <c r="L46" s="459"/>
    </row>
    <row r="47" spans="1:13">
      <c r="A47" s="317"/>
      <c r="E47" s="463" t="s">
        <v>1032</v>
      </c>
      <c r="G47" s="465"/>
      <c r="H47" s="464" t="s">
        <v>1038</v>
      </c>
      <c r="K47" s="163"/>
      <c r="L47" s="472" t="s">
        <v>1055</v>
      </c>
    </row>
    <row r="48" spans="1:13">
      <c r="A48" s="317"/>
      <c r="E48" s="463"/>
      <c r="G48" s="465"/>
      <c r="H48" s="464"/>
      <c r="K48" s="163"/>
      <c r="L48" s="472" t="s">
        <v>1053</v>
      </c>
    </row>
    <row r="49" spans="1:15">
      <c r="A49" s="317"/>
      <c r="E49" s="463"/>
      <c r="G49" s="465"/>
      <c r="H49" s="464"/>
      <c r="K49" s="163"/>
      <c r="L49" s="472" t="s">
        <v>1052</v>
      </c>
    </row>
    <row r="50" spans="1:15">
      <c r="A50" s="317"/>
      <c r="E50" s="463"/>
      <c r="G50" s="465"/>
      <c r="H50" s="464"/>
      <c r="K50" s="163"/>
      <c r="L50" s="472" t="s">
        <v>1054</v>
      </c>
    </row>
    <row r="51" spans="1:15">
      <c r="A51" s="317"/>
      <c r="E51" s="466" t="s">
        <v>1036</v>
      </c>
      <c r="G51" s="465"/>
      <c r="H51" s="464" t="s">
        <v>1031</v>
      </c>
      <c r="K51" s="163"/>
      <c r="L51" s="459"/>
    </row>
    <row r="52" spans="1:15">
      <c r="A52" s="317"/>
      <c r="E52" s="466"/>
      <c r="G52" s="465"/>
      <c r="H52" s="464"/>
      <c r="K52" s="163"/>
      <c r="L52" s="459" t="s">
        <v>1039</v>
      </c>
      <c r="N52" s="115"/>
    </row>
    <row r="53" spans="1:15">
      <c r="A53" s="317"/>
      <c r="E53" s="466"/>
      <c r="G53" s="465"/>
      <c r="H53" s="464"/>
      <c r="K53" s="163"/>
      <c r="L53" s="459" t="s">
        <v>1035</v>
      </c>
    </row>
    <row r="54" spans="1:15">
      <c r="A54" s="317"/>
      <c r="E54" s="466"/>
      <c r="G54" s="465"/>
      <c r="H54" s="464"/>
      <c r="K54" s="163"/>
      <c r="L54" s="459"/>
    </row>
    <row r="55" spans="1:15">
      <c r="A55" s="317" t="s">
        <v>100</v>
      </c>
      <c r="E55" s="466" t="s">
        <v>1037</v>
      </c>
      <c r="G55" s="115"/>
      <c r="H55" s="464" t="s">
        <v>1015</v>
      </c>
      <c r="K55" s="163"/>
      <c r="L55" s="459" t="s">
        <v>1016</v>
      </c>
    </row>
    <row r="56" spans="1:15">
      <c r="A56" s="317"/>
      <c r="E56" s="463"/>
      <c r="G56" s="115"/>
      <c r="H56" s="464"/>
      <c r="K56" s="163"/>
      <c r="L56" s="459" t="s">
        <v>1017</v>
      </c>
    </row>
    <row r="57" spans="1:15">
      <c r="A57" s="317"/>
      <c r="E57" s="463"/>
      <c r="G57" s="115"/>
      <c r="H57" s="464"/>
      <c r="K57" s="163"/>
      <c r="L57" s="459" t="s">
        <v>1018</v>
      </c>
    </row>
    <row r="58" spans="1:15">
      <c r="A58" s="317" t="s">
        <v>100</v>
      </c>
      <c r="G58" s="465"/>
      <c r="H58" s="115"/>
      <c r="K58" s="163"/>
      <c r="L58" s="472" t="s">
        <v>1051</v>
      </c>
    </row>
    <row r="59" spans="1:15">
      <c r="A59" s="317"/>
      <c r="G59" s="465"/>
      <c r="H59" s="115"/>
      <c r="K59" s="163"/>
      <c r="L59" s="466"/>
    </row>
    <row r="60" spans="1:15">
      <c r="A60" s="317" t="s">
        <v>100</v>
      </c>
      <c r="E60" s="463" t="s">
        <v>1040</v>
      </c>
      <c r="G60" s="471" t="s">
        <v>1050</v>
      </c>
      <c r="K60" s="163"/>
      <c r="L60" s="472" t="s">
        <v>1056</v>
      </c>
    </row>
    <row r="61" spans="1:15">
      <c r="A61" s="317"/>
      <c r="E61" s="463"/>
      <c r="G61" s="471"/>
      <c r="K61" s="163"/>
      <c r="L61" s="472" t="s">
        <v>1047</v>
      </c>
    </row>
    <row r="62" spans="1:15">
      <c r="A62" s="317" t="s">
        <v>100</v>
      </c>
      <c r="K62" s="163"/>
      <c r="L62" s="459" t="s">
        <v>1042</v>
      </c>
      <c r="N62" s="114" t="s">
        <v>991</v>
      </c>
    </row>
    <row r="63" spans="1:15">
      <c r="A63" s="317" t="s">
        <v>100</v>
      </c>
      <c r="K63" s="163"/>
      <c r="L63" s="472" t="s">
        <v>1049</v>
      </c>
      <c r="N63" s="114" t="s">
        <v>1048</v>
      </c>
      <c r="O63" s="473">
        <v>0.64930555555555558</v>
      </c>
    </row>
    <row r="64" spans="1:15">
      <c r="K64" s="163"/>
      <c r="N64" s="114"/>
    </row>
    <row r="65" spans="11:11">
      <c r="K65" s="116"/>
    </row>
  </sheetData>
  <phoneticPr fontId="87" type="noConversion"/>
  <hyperlinks>
    <hyperlink ref="N3" r:id="rId1" xr:uid="{7B14E0E4-0D8D-4F3F-B360-687265E89F49}"/>
    <hyperlink ref="N4" r:id="rId2" xr:uid="{DC8767A7-39F0-4D75-B453-A2E956A94E64}"/>
    <hyperlink ref="N5" r:id="rId3" xr:uid="{ECF0886C-9C04-4C21-82A6-73F5A88BDE7C}"/>
    <hyperlink ref="N6" r:id="rId4" xr:uid="{73C0FC54-0F26-44F8-9A4D-86818826230C}"/>
    <hyperlink ref="N7" r:id="rId5" xr:uid="{FA7617B5-2B70-4065-AB50-8FC1EC215EEE}"/>
    <hyperlink ref="N8" r:id="rId6" xr:uid="{36A9D8E7-9863-429B-A1F4-15C6B15D6830}"/>
    <hyperlink ref="N9" r:id="rId7" xr:uid="{2C6D06D9-6424-4C0C-82E2-14283E968489}"/>
    <hyperlink ref="N62" r:id="rId8" xr:uid="{68EDCE5B-1039-4C33-ADA1-32092AF1ED82}"/>
    <hyperlink ref="N10" r:id="rId9" xr:uid="{AA3799EA-E95F-4151-919A-F5D165503563}"/>
  </hyperlinks>
  <pageMargins left="0.7" right="0.7" top="0.78740157499999996" bottom="0.78740157499999996" header="0.3" footer="0.3"/>
  <pageSetup paperSize="9" orientation="portrait" r:id="rId1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FA2-14D2-4424-8722-B60EE9A209E6}">
  <sheetPr codeName="Tabelle14"/>
  <dimension ref="A1:P35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0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5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6" t="s">
        <v>101</v>
      </c>
      <c r="B2" s="27"/>
      <c r="C2" s="27"/>
      <c r="D2" s="28"/>
      <c r="E2" s="28"/>
      <c r="F2" s="28"/>
      <c r="G2" s="28"/>
      <c r="H2" s="28"/>
      <c r="J2" s="28"/>
      <c r="L2" s="103"/>
      <c r="M2" s="103"/>
      <c r="N2" s="172"/>
      <c r="O2" s="11"/>
    </row>
    <row r="3" spans="1:16" s="2" customFormat="1" ht="20.100000000000001" customHeight="1">
      <c r="A3" s="317" t="s">
        <v>99</v>
      </c>
      <c r="B3" s="36" t="s">
        <v>70</v>
      </c>
      <c r="C3" s="33"/>
      <c r="D3" s="33"/>
      <c r="E3" s="33"/>
      <c r="F3" s="33"/>
      <c r="G3" s="33"/>
      <c r="H3" s="33"/>
      <c r="I3" s="36" t="s">
        <v>70</v>
      </c>
      <c r="J3" s="33"/>
      <c r="K3" s="163"/>
      <c r="L3" s="103" t="s">
        <v>248</v>
      </c>
      <c r="M3" s="103" t="s">
        <v>250</v>
      </c>
      <c r="N3" s="119" t="s">
        <v>458</v>
      </c>
      <c r="O3" s="18"/>
      <c r="P3" s="145" t="s">
        <v>298</v>
      </c>
    </row>
    <row r="4" spans="1:16" s="2" customFormat="1" ht="20.100000000000001" customHeight="1">
      <c r="A4" s="317" t="s">
        <v>99</v>
      </c>
      <c r="B4" s="36" t="s">
        <v>70</v>
      </c>
      <c r="C4" s="33"/>
      <c r="D4" s="33"/>
      <c r="E4" s="33"/>
      <c r="F4" s="33"/>
      <c r="G4" s="33"/>
      <c r="H4" s="33"/>
      <c r="I4" s="36" t="s">
        <v>70</v>
      </c>
      <c r="J4" s="33"/>
      <c r="K4" s="163"/>
      <c r="L4" s="103" t="s">
        <v>249</v>
      </c>
      <c r="M4" s="103" t="s">
        <v>250</v>
      </c>
      <c r="N4" s="119" t="s">
        <v>459</v>
      </c>
      <c r="O4" s="18"/>
      <c r="P4" s="145" t="s">
        <v>298</v>
      </c>
    </row>
    <row r="5" spans="1:16" s="2" customFormat="1" ht="20.100000000000001" customHeight="1">
      <c r="A5" s="317" t="s">
        <v>99</v>
      </c>
      <c r="B5" s="29" t="s">
        <v>70</v>
      </c>
      <c r="C5" s="31"/>
      <c r="D5" s="32"/>
      <c r="E5" s="32"/>
      <c r="F5" s="32"/>
      <c r="G5" s="32"/>
      <c r="H5" s="32"/>
      <c r="I5" s="99"/>
      <c r="J5" s="32"/>
      <c r="K5" s="29" t="s">
        <v>70</v>
      </c>
      <c r="L5" s="173" t="s">
        <v>463</v>
      </c>
      <c r="M5" s="103"/>
      <c r="N5" s="119" t="s">
        <v>460</v>
      </c>
      <c r="O5" s="11"/>
      <c r="P5" s="145" t="s">
        <v>298</v>
      </c>
    </row>
    <row r="6" spans="1:16" s="2" customFormat="1" ht="20.100000000000001" customHeight="1">
      <c r="A6" s="317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30"/>
      <c r="K6" s="167" t="s">
        <v>70</v>
      </c>
      <c r="L6" s="103" t="s">
        <v>462</v>
      </c>
      <c r="M6" s="103"/>
      <c r="N6" s="119" t="s">
        <v>461</v>
      </c>
      <c r="O6" s="11"/>
      <c r="P6" s="145" t="s">
        <v>298</v>
      </c>
    </row>
    <row r="7" spans="1:16" s="2" customFormat="1" ht="20.100000000000001" customHeight="1">
      <c r="A7" s="317" t="s">
        <v>100</v>
      </c>
      <c r="B7" s="29"/>
      <c r="C7" s="31"/>
      <c r="D7" s="32"/>
      <c r="E7" s="32"/>
      <c r="F7" s="32"/>
      <c r="G7" s="32"/>
      <c r="H7" s="32"/>
      <c r="I7" s="32"/>
      <c r="J7" s="32"/>
      <c r="L7" s="103"/>
      <c r="M7" s="103"/>
      <c r="N7" s="83"/>
      <c r="O7" s="11"/>
      <c r="P7" s="144"/>
    </row>
    <row r="8" spans="1:16" ht="20.100000000000001" customHeight="1">
      <c r="A8" s="317" t="s">
        <v>100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03"/>
      <c r="M8" s="103"/>
      <c r="N8" s="83"/>
      <c r="O8" s="11"/>
      <c r="P8" s="149"/>
    </row>
    <row r="9" spans="1:16" ht="20.100000000000001" customHeight="1">
      <c r="A9" s="317" t="s">
        <v>100</v>
      </c>
      <c r="B9" s="29"/>
      <c r="K9" s="163"/>
      <c r="L9" s="103"/>
      <c r="M9" s="103"/>
      <c r="O9" s="11"/>
      <c r="P9" s="149"/>
    </row>
    <row r="10" spans="1:16" ht="20.100000000000001" customHeight="1">
      <c r="A10" s="317" t="s">
        <v>100</v>
      </c>
      <c r="B10" s="29"/>
      <c r="K10" s="163"/>
      <c r="L10" s="103"/>
      <c r="M10" s="103"/>
      <c r="O10" s="11"/>
      <c r="P10" s="149"/>
    </row>
    <row r="11" spans="1:16" ht="20.100000000000001" customHeight="1">
      <c r="A11" s="317" t="s">
        <v>100</v>
      </c>
      <c r="B11" s="29"/>
      <c r="K11" s="163"/>
      <c r="L11" s="103"/>
      <c r="M11" s="103"/>
      <c r="O11" s="11"/>
      <c r="P11" s="149"/>
    </row>
    <row r="12" spans="1:16" ht="20.100000000000001" customHeight="1">
      <c r="A12" s="317" t="s">
        <v>100</v>
      </c>
      <c r="B12" s="29"/>
      <c r="K12" s="163"/>
      <c r="L12" s="103"/>
      <c r="M12" s="103"/>
      <c r="O12" s="11"/>
      <c r="P12" s="149"/>
    </row>
    <row r="13" spans="1:16" ht="20.100000000000001" customHeight="1">
      <c r="A13" s="317" t="s">
        <v>100</v>
      </c>
      <c r="B13" s="29"/>
      <c r="K13" s="163"/>
      <c r="L13" s="103"/>
      <c r="M13" s="103"/>
      <c r="O13" s="11"/>
      <c r="P13" s="149"/>
    </row>
    <row r="14" spans="1:16" ht="20.100000000000001" customHeight="1">
      <c r="A14" s="317" t="s">
        <v>100</v>
      </c>
      <c r="B14" s="29"/>
      <c r="K14" s="163"/>
      <c r="L14" s="103"/>
      <c r="M14" s="103"/>
      <c r="P14" s="149"/>
    </row>
    <row r="15" spans="1:16" ht="20.100000000000001" customHeight="1">
      <c r="A15" s="317" t="s">
        <v>100</v>
      </c>
      <c r="K15" s="163"/>
      <c r="L15" s="103"/>
      <c r="M15" s="103"/>
      <c r="P15" s="149"/>
    </row>
    <row r="16" spans="1:16" ht="20.100000000000001" customHeight="1">
      <c r="A16" s="317" t="s">
        <v>100</v>
      </c>
      <c r="K16" s="163"/>
      <c r="L16" s="103"/>
      <c r="M16" s="103"/>
      <c r="P16" s="149"/>
    </row>
    <row r="17" spans="1:16" ht="20.100000000000001" customHeight="1">
      <c r="A17" s="317" t="s">
        <v>100</v>
      </c>
      <c r="K17" s="163"/>
      <c r="L17" s="103"/>
      <c r="M17" s="103"/>
      <c r="P17" s="149"/>
    </row>
    <row r="18" spans="1:16" ht="20.100000000000001" customHeight="1">
      <c r="A18" s="317" t="s">
        <v>100</v>
      </c>
      <c r="K18" s="163"/>
      <c r="L18" s="103"/>
      <c r="M18" s="103"/>
      <c r="P18" s="149"/>
    </row>
    <row r="19" spans="1:16" ht="20.100000000000001" customHeight="1">
      <c r="A19" s="317" t="s">
        <v>100</v>
      </c>
      <c r="K19" s="163"/>
      <c r="L19" s="103"/>
      <c r="M19" s="103"/>
      <c r="P19" s="149"/>
    </row>
    <row r="20" spans="1:16">
      <c r="A20" s="317" t="s">
        <v>100</v>
      </c>
      <c r="K20" s="163"/>
      <c r="L20" s="103"/>
      <c r="M20" s="103"/>
      <c r="P20" s="149"/>
    </row>
    <row r="21" spans="1:16">
      <c r="A21" s="317" t="s">
        <v>100</v>
      </c>
      <c r="K21" s="163"/>
      <c r="L21" s="103"/>
      <c r="M21" s="103"/>
      <c r="P21" s="149"/>
    </row>
    <row r="22" spans="1:16">
      <c r="A22" s="317" t="s">
        <v>100</v>
      </c>
      <c r="K22" s="163"/>
      <c r="L22" s="103"/>
      <c r="M22" s="103"/>
      <c r="P22" s="149"/>
    </row>
    <row r="23" spans="1:16">
      <c r="A23" s="317" t="s">
        <v>100</v>
      </c>
      <c r="K23" s="163"/>
      <c r="L23" s="103"/>
      <c r="M23" s="103"/>
      <c r="P23" s="149"/>
    </row>
    <row r="24" spans="1:16">
      <c r="A24" s="317" t="s">
        <v>100</v>
      </c>
      <c r="K24" s="163"/>
      <c r="L24" s="103"/>
      <c r="M24" s="103"/>
      <c r="P24" s="149"/>
    </row>
    <row r="25" spans="1:16">
      <c r="A25" s="317" t="s">
        <v>100</v>
      </c>
      <c r="K25" s="163"/>
      <c r="L25" s="103"/>
      <c r="M25" s="103"/>
      <c r="P25" s="149"/>
    </row>
    <row r="26" spans="1:16">
      <c r="A26" s="317" t="s">
        <v>100</v>
      </c>
      <c r="K26" s="163"/>
      <c r="L26" s="103"/>
      <c r="M26" s="103"/>
      <c r="P26" s="149"/>
    </row>
    <row r="27" spans="1:16">
      <c r="A27" s="317" t="s">
        <v>100</v>
      </c>
      <c r="K27" s="163"/>
      <c r="L27" s="103"/>
      <c r="M27" s="103"/>
      <c r="P27" s="149"/>
    </row>
    <row r="28" spans="1:16">
      <c r="A28" s="317" t="s">
        <v>100</v>
      </c>
      <c r="K28" s="163"/>
      <c r="L28" s="103"/>
      <c r="M28" s="103"/>
      <c r="P28" s="149"/>
    </row>
    <row r="29" spans="1:16">
      <c r="A29" s="317" t="s">
        <v>100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CA8CCB04-75F3-4015-8797-501F8D5ABB5E}"/>
    <hyperlink ref="N4" r:id="rId2" xr:uid="{C606B886-9144-4CB0-93BA-C57CF29F200D}"/>
    <hyperlink ref="N5" r:id="rId3" xr:uid="{BA63BBE1-2B7F-4099-A92A-EA15817AFC1F}"/>
    <hyperlink ref="N6" r:id="rId4" xr:uid="{8A06D5FC-3569-48B3-8388-D1B4C66303AD}"/>
    <hyperlink ref="L6" r:id="rId5" display="AS SW Learn to dance Waltz Butterfly Fallaway Spin.mp4" xr:uid="{6CA453F2-710F-42BA-A23D-B5D0F8EC1A6F}"/>
  </hyperlink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94B8-4882-425D-939E-D3EE7CB3DB94}">
  <sheetPr codeName="Tabelle15"/>
  <dimension ref="A1:P44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20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5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6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6" s="2" customFormat="1" ht="20.100000000000001" customHeight="1">
      <c r="A3" s="317" t="s">
        <v>99</v>
      </c>
      <c r="B3" s="29" t="s">
        <v>70</v>
      </c>
      <c r="C3" s="29"/>
      <c r="D3" s="30"/>
      <c r="E3" s="30"/>
      <c r="F3" s="30"/>
      <c r="G3" s="30"/>
      <c r="H3" s="30"/>
      <c r="I3" s="95" t="s">
        <v>70</v>
      </c>
      <c r="J3" s="30"/>
      <c r="L3" s="96" t="s">
        <v>243</v>
      </c>
      <c r="M3" s="4"/>
      <c r="N3" s="119" t="s">
        <v>322</v>
      </c>
      <c r="O3" s="11"/>
      <c r="P3" s="145" t="s">
        <v>298</v>
      </c>
    </row>
    <row r="4" spans="1:16" s="2" customFormat="1" ht="20.100000000000001" customHeight="1">
      <c r="A4" s="317" t="s">
        <v>98</v>
      </c>
      <c r="B4" s="29" t="s">
        <v>70</v>
      </c>
      <c r="C4" s="31"/>
      <c r="D4" s="32"/>
      <c r="E4" s="32"/>
      <c r="F4" s="32"/>
      <c r="G4" s="32"/>
      <c r="H4" s="32"/>
      <c r="I4" s="100" t="s">
        <v>70</v>
      </c>
      <c r="J4" s="32"/>
      <c r="M4" s="4"/>
      <c r="N4" s="119" t="s">
        <v>323</v>
      </c>
      <c r="O4" s="96" t="s">
        <v>244</v>
      </c>
      <c r="P4" s="145" t="s">
        <v>298</v>
      </c>
    </row>
    <row r="5" spans="1:16" s="2" customFormat="1" ht="20.100000000000001" customHeight="1">
      <c r="A5" s="317" t="s">
        <v>99</v>
      </c>
      <c r="B5" s="29" t="s">
        <v>70</v>
      </c>
      <c r="C5" s="31"/>
      <c r="D5" s="32"/>
      <c r="E5" s="32"/>
      <c r="F5" s="32"/>
      <c r="G5" s="32"/>
      <c r="H5" s="32"/>
      <c r="I5" s="99" t="s">
        <v>70</v>
      </c>
      <c r="J5" s="32"/>
      <c r="L5" s="1" t="s">
        <v>245</v>
      </c>
      <c r="M5" s="4"/>
      <c r="N5" s="119" t="s">
        <v>324</v>
      </c>
      <c r="O5" s="11"/>
      <c r="P5" s="145" t="s">
        <v>298</v>
      </c>
    </row>
    <row r="6" spans="1:16" s="2" customFormat="1" ht="20.100000000000001" customHeight="1">
      <c r="A6" s="317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181" t="s">
        <v>70</v>
      </c>
      <c r="L6" s="178" t="s">
        <v>562</v>
      </c>
      <c r="M6" s="4"/>
      <c r="N6" s="119" t="s">
        <v>540</v>
      </c>
      <c r="O6" s="11"/>
      <c r="P6" s="145" t="s">
        <v>298</v>
      </c>
    </row>
    <row r="7" spans="1:16" s="2" customFormat="1" ht="20.100000000000001" customHeight="1">
      <c r="A7" s="317" t="s">
        <v>99</v>
      </c>
      <c r="B7" s="29" t="s">
        <v>70</v>
      </c>
      <c r="C7" s="31"/>
      <c r="D7" s="32"/>
      <c r="E7" s="32"/>
      <c r="F7" s="32"/>
      <c r="G7" s="32"/>
      <c r="H7" s="32"/>
      <c r="I7" s="32"/>
      <c r="J7" s="181" t="s">
        <v>70</v>
      </c>
      <c r="L7" s="178" t="s">
        <v>562</v>
      </c>
      <c r="M7" s="4"/>
      <c r="N7" s="119" t="s">
        <v>541</v>
      </c>
      <c r="O7" s="11"/>
      <c r="P7" s="145" t="s">
        <v>298</v>
      </c>
    </row>
    <row r="8" spans="1:16" ht="20.100000000000001" customHeight="1">
      <c r="A8" s="317" t="s">
        <v>99</v>
      </c>
      <c r="B8" s="29" t="s">
        <v>70</v>
      </c>
      <c r="C8" s="29"/>
      <c r="D8" s="30"/>
      <c r="E8" s="30"/>
      <c r="F8" s="30"/>
      <c r="G8" s="30"/>
      <c r="H8" s="30"/>
      <c r="I8" s="30"/>
      <c r="J8" s="181" t="s">
        <v>70</v>
      </c>
      <c r="K8" s="163"/>
      <c r="L8" s="178" t="s">
        <v>562</v>
      </c>
      <c r="N8" s="119" t="s">
        <v>542</v>
      </c>
      <c r="O8" s="11"/>
      <c r="P8" s="150" t="s">
        <v>298</v>
      </c>
    </row>
    <row r="9" spans="1:16" ht="20.100000000000001" customHeight="1">
      <c r="A9" s="317" t="s">
        <v>99</v>
      </c>
      <c r="B9" s="29" t="s">
        <v>70</v>
      </c>
      <c r="J9" s="181" t="s">
        <v>70</v>
      </c>
      <c r="K9" s="163"/>
      <c r="L9" s="178" t="s">
        <v>562</v>
      </c>
      <c r="N9" s="119" t="s">
        <v>543</v>
      </c>
      <c r="O9" s="11"/>
      <c r="P9" s="150" t="s">
        <v>298</v>
      </c>
    </row>
    <row r="10" spans="1:16" ht="20.100000000000001" customHeight="1">
      <c r="A10" s="317" t="s">
        <v>99</v>
      </c>
      <c r="B10" s="29" t="s">
        <v>70</v>
      </c>
      <c r="J10" s="181" t="s">
        <v>70</v>
      </c>
      <c r="K10" s="163"/>
      <c r="L10" s="178" t="s">
        <v>562</v>
      </c>
      <c r="N10" s="119" t="s">
        <v>544</v>
      </c>
      <c r="O10" s="11"/>
      <c r="P10" s="150" t="s">
        <v>298</v>
      </c>
    </row>
    <row r="11" spans="1:16" ht="20.100000000000001" customHeight="1">
      <c r="A11" s="317" t="s">
        <v>99</v>
      </c>
      <c r="B11" s="29" t="s">
        <v>70</v>
      </c>
      <c r="J11" s="181" t="s">
        <v>70</v>
      </c>
      <c r="K11" s="163"/>
      <c r="L11" s="178" t="s">
        <v>562</v>
      </c>
      <c r="N11" s="119" t="s">
        <v>545</v>
      </c>
      <c r="O11" s="11"/>
      <c r="P11" s="150" t="s">
        <v>298</v>
      </c>
    </row>
    <row r="12" spans="1:16" ht="20.100000000000001" customHeight="1">
      <c r="A12" s="317" t="s">
        <v>99</v>
      </c>
      <c r="B12" s="29" t="s">
        <v>70</v>
      </c>
      <c r="J12" s="181" t="s">
        <v>70</v>
      </c>
      <c r="K12" s="163"/>
      <c r="L12" s="178" t="s">
        <v>562</v>
      </c>
      <c r="N12" s="119" t="s">
        <v>546</v>
      </c>
      <c r="O12" s="11"/>
      <c r="P12" s="150" t="s">
        <v>298</v>
      </c>
    </row>
    <row r="13" spans="1:16" ht="20.100000000000001" customHeight="1">
      <c r="A13" s="317" t="s">
        <v>99</v>
      </c>
      <c r="B13" s="29" t="s">
        <v>70</v>
      </c>
      <c r="J13" s="181" t="s">
        <v>70</v>
      </c>
      <c r="K13" s="163"/>
      <c r="L13" s="178" t="s">
        <v>562</v>
      </c>
      <c r="N13" s="119" t="s">
        <v>547</v>
      </c>
      <c r="O13" s="11"/>
      <c r="P13" s="150" t="s">
        <v>298</v>
      </c>
    </row>
    <row r="14" spans="1:16" ht="20.100000000000001" customHeight="1">
      <c r="A14" s="317" t="s">
        <v>99</v>
      </c>
      <c r="B14" s="29" t="s">
        <v>70</v>
      </c>
      <c r="J14" s="181" t="s">
        <v>70</v>
      </c>
      <c r="K14" s="163"/>
      <c r="L14" s="178" t="s">
        <v>562</v>
      </c>
      <c r="N14" s="119" t="s">
        <v>548</v>
      </c>
      <c r="P14" s="150" t="s">
        <v>298</v>
      </c>
    </row>
    <row r="15" spans="1:16" ht="20.100000000000001" customHeight="1">
      <c r="A15" s="317" t="s">
        <v>99</v>
      </c>
      <c r="B15" s="29" t="s">
        <v>70</v>
      </c>
      <c r="J15" s="181" t="s">
        <v>70</v>
      </c>
      <c r="K15" s="163"/>
      <c r="L15" s="178" t="s">
        <v>562</v>
      </c>
      <c r="N15" s="119" t="s">
        <v>549</v>
      </c>
      <c r="P15" s="150" t="s">
        <v>298</v>
      </c>
    </row>
    <row r="16" spans="1:16" ht="20.100000000000001" customHeight="1">
      <c r="A16" s="317" t="s">
        <v>99</v>
      </c>
      <c r="B16" s="29" t="s">
        <v>70</v>
      </c>
      <c r="J16" s="181" t="s">
        <v>70</v>
      </c>
      <c r="K16" s="163"/>
      <c r="L16" s="178" t="s">
        <v>562</v>
      </c>
      <c r="N16" s="119" t="s">
        <v>550</v>
      </c>
      <c r="P16" s="150" t="s">
        <v>298</v>
      </c>
    </row>
    <row r="17" spans="1:16" ht="20.100000000000001" customHeight="1">
      <c r="A17" s="317" t="s">
        <v>99</v>
      </c>
      <c r="B17" s="29" t="s">
        <v>70</v>
      </c>
      <c r="J17" s="181" t="s">
        <v>70</v>
      </c>
      <c r="K17" s="163"/>
      <c r="L17" s="178" t="s">
        <v>562</v>
      </c>
      <c r="N17" s="119" t="s">
        <v>551</v>
      </c>
      <c r="P17" s="150" t="s">
        <v>298</v>
      </c>
    </row>
    <row r="18" spans="1:16" ht="20.100000000000001" customHeight="1">
      <c r="A18" s="317" t="s">
        <v>99</v>
      </c>
      <c r="B18" s="29" t="s">
        <v>70</v>
      </c>
      <c r="J18" s="181" t="s">
        <v>70</v>
      </c>
      <c r="K18" s="163"/>
      <c r="L18" s="178" t="s">
        <v>562</v>
      </c>
      <c r="N18" s="119" t="s">
        <v>552</v>
      </c>
      <c r="P18" s="150" t="s">
        <v>298</v>
      </c>
    </row>
    <row r="19" spans="1:16" ht="20.100000000000001" customHeight="1">
      <c r="A19" s="317" t="s">
        <v>99</v>
      </c>
      <c r="B19" s="29" t="s">
        <v>70</v>
      </c>
      <c r="J19" s="181" t="s">
        <v>70</v>
      </c>
      <c r="K19" s="163"/>
      <c r="L19" s="178" t="s">
        <v>562</v>
      </c>
      <c r="N19" s="119" t="s">
        <v>553</v>
      </c>
      <c r="P19" s="150" t="s">
        <v>298</v>
      </c>
    </row>
    <row r="20" spans="1:16">
      <c r="A20" s="317" t="s">
        <v>99</v>
      </c>
      <c r="B20" s="29" t="s">
        <v>70</v>
      </c>
      <c r="J20" s="181" t="s">
        <v>70</v>
      </c>
      <c r="K20" s="163"/>
      <c r="L20" s="178" t="s">
        <v>562</v>
      </c>
      <c r="N20" s="119" t="s">
        <v>554</v>
      </c>
      <c r="P20" s="150" t="s">
        <v>298</v>
      </c>
    </row>
    <row r="21" spans="1:16">
      <c r="A21" s="317" t="s">
        <v>99</v>
      </c>
      <c r="B21" s="29" t="s">
        <v>70</v>
      </c>
      <c r="J21" s="181" t="s">
        <v>70</v>
      </c>
      <c r="K21" s="163"/>
      <c r="L21" s="178" t="s">
        <v>562</v>
      </c>
      <c r="N21" s="119" t="s">
        <v>555</v>
      </c>
      <c r="P21" s="150" t="s">
        <v>298</v>
      </c>
    </row>
    <row r="22" spans="1:16">
      <c r="A22" s="317" t="s">
        <v>99</v>
      </c>
      <c r="B22" s="29" t="s">
        <v>70</v>
      </c>
      <c r="J22" s="181" t="s">
        <v>70</v>
      </c>
      <c r="K22" s="163"/>
      <c r="L22" s="178" t="s">
        <v>562</v>
      </c>
      <c r="N22" s="119" t="s">
        <v>556</v>
      </c>
      <c r="P22" s="150" t="s">
        <v>298</v>
      </c>
    </row>
    <row r="23" spans="1:16">
      <c r="A23" s="317" t="s">
        <v>99</v>
      </c>
      <c r="B23" s="29" t="s">
        <v>70</v>
      </c>
      <c r="J23" s="181" t="s">
        <v>70</v>
      </c>
      <c r="K23" s="163"/>
      <c r="L23" s="178" t="s">
        <v>562</v>
      </c>
      <c r="N23" s="119" t="s">
        <v>557</v>
      </c>
      <c r="P23" s="150" t="s">
        <v>298</v>
      </c>
    </row>
    <row r="24" spans="1:16">
      <c r="A24" s="317" t="s">
        <v>99</v>
      </c>
      <c r="B24" s="29" t="s">
        <v>70</v>
      </c>
      <c r="J24" s="181" t="s">
        <v>70</v>
      </c>
      <c r="K24" s="163"/>
      <c r="L24" s="178" t="s">
        <v>562</v>
      </c>
      <c r="N24" s="119" t="s">
        <v>558</v>
      </c>
      <c r="P24" s="150" t="s">
        <v>298</v>
      </c>
    </row>
    <row r="25" spans="1:16">
      <c r="A25" s="317" t="s">
        <v>99</v>
      </c>
      <c r="B25" s="29" t="s">
        <v>70</v>
      </c>
      <c r="J25" s="181" t="s">
        <v>70</v>
      </c>
      <c r="K25" s="163"/>
      <c r="L25" s="178" t="s">
        <v>562</v>
      </c>
      <c r="N25" s="119" t="s">
        <v>559</v>
      </c>
      <c r="P25" s="150" t="s">
        <v>298</v>
      </c>
    </row>
    <row r="26" spans="1:16">
      <c r="A26" s="317" t="s">
        <v>99</v>
      </c>
      <c r="B26" s="29" t="s">
        <v>70</v>
      </c>
      <c r="J26" s="181" t="s">
        <v>70</v>
      </c>
      <c r="K26" s="163"/>
      <c r="L26" s="178" t="s">
        <v>562</v>
      </c>
      <c r="N26" s="119" t="s">
        <v>560</v>
      </c>
      <c r="P26" s="150" t="s">
        <v>298</v>
      </c>
    </row>
    <row r="27" spans="1:16">
      <c r="A27" s="317" t="s">
        <v>100</v>
      </c>
      <c r="K27" s="163"/>
      <c r="N27" s="119" t="s">
        <v>561</v>
      </c>
      <c r="P27" s="149" t="s">
        <v>298</v>
      </c>
    </row>
    <row r="28" spans="1:16">
      <c r="A28" s="317" t="s">
        <v>99</v>
      </c>
      <c r="K28" s="163"/>
      <c r="N28" s="119"/>
      <c r="P28" s="149" t="s">
        <v>298</v>
      </c>
    </row>
    <row r="29" spans="1:16">
      <c r="A29" s="317" t="s">
        <v>99</v>
      </c>
      <c r="K29" s="163"/>
      <c r="N29" s="119"/>
      <c r="P29" s="149" t="s">
        <v>298</v>
      </c>
    </row>
    <row r="30" spans="1:16">
      <c r="A30" s="317" t="s">
        <v>99</v>
      </c>
      <c r="K30" s="163"/>
      <c r="N30" s="119"/>
      <c r="P30" s="149" t="s">
        <v>298</v>
      </c>
    </row>
    <row r="31" spans="1:16">
      <c r="A31" s="317" t="s">
        <v>99</v>
      </c>
      <c r="K31" s="163"/>
      <c r="N31" s="119"/>
      <c r="P31" s="149" t="s">
        <v>298</v>
      </c>
    </row>
    <row r="32" spans="1:16">
      <c r="A32" s="317" t="s">
        <v>99</v>
      </c>
      <c r="K32" s="163"/>
      <c r="N32" s="119"/>
      <c r="P32" s="149" t="s">
        <v>298</v>
      </c>
    </row>
    <row r="33" spans="1:16">
      <c r="A33" s="317" t="s">
        <v>99</v>
      </c>
      <c r="K33" s="163"/>
      <c r="N33" s="119"/>
      <c r="P33" s="149" t="s">
        <v>298</v>
      </c>
    </row>
    <row r="34" spans="1:16">
      <c r="A34" s="317" t="s">
        <v>99</v>
      </c>
      <c r="K34" s="163"/>
      <c r="N34" s="119"/>
      <c r="P34" s="149" t="s">
        <v>298</v>
      </c>
    </row>
    <row r="35" spans="1:16">
      <c r="A35" s="317" t="s">
        <v>99</v>
      </c>
      <c r="K35" s="33"/>
      <c r="N35" s="119"/>
      <c r="P35" s="149" t="s">
        <v>298</v>
      </c>
    </row>
    <row r="36" spans="1:16">
      <c r="A36" s="317" t="s">
        <v>99</v>
      </c>
      <c r="N36" s="119"/>
      <c r="P36" s="149" t="s">
        <v>298</v>
      </c>
    </row>
    <row r="37" spans="1:16">
      <c r="A37" s="317" t="s">
        <v>99</v>
      </c>
      <c r="N37" s="119"/>
      <c r="P37" s="149" t="s">
        <v>298</v>
      </c>
    </row>
    <row r="38" spans="1:16">
      <c r="A38" s="317" t="s">
        <v>99</v>
      </c>
      <c r="N38" s="119"/>
      <c r="P38" s="149" t="s">
        <v>298</v>
      </c>
    </row>
    <row r="39" spans="1:16">
      <c r="A39" s="317" t="s">
        <v>99</v>
      </c>
      <c r="N39" s="119"/>
      <c r="P39" s="149" t="s">
        <v>298</v>
      </c>
    </row>
    <row r="40" spans="1:16">
      <c r="A40" s="317" t="s">
        <v>99</v>
      </c>
      <c r="N40" s="119"/>
      <c r="P40" s="149" t="s">
        <v>298</v>
      </c>
    </row>
    <row r="41" spans="1:16">
      <c r="A41" s="317" t="s">
        <v>99</v>
      </c>
      <c r="N41" s="119"/>
      <c r="P41" s="149" t="s">
        <v>298</v>
      </c>
    </row>
    <row r="42" spans="1:16">
      <c r="A42" s="317" t="s">
        <v>99</v>
      </c>
      <c r="N42" s="119"/>
      <c r="P42" s="149" t="s">
        <v>298</v>
      </c>
    </row>
    <row r="43" spans="1:16">
      <c r="A43" s="317" t="s">
        <v>99</v>
      </c>
      <c r="N43" s="119"/>
      <c r="P43" s="149" t="s">
        <v>298</v>
      </c>
    </row>
    <row r="44" spans="1:16">
      <c r="A44" s="317" t="s">
        <v>100</v>
      </c>
      <c r="P44" s="149"/>
    </row>
  </sheetData>
  <hyperlinks>
    <hyperlink ref="N27" r:id="rId1" xr:uid="{7C091A4C-16D3-4B76-86A5-6EB4F5343F0C}"/>
    <hyperlink ref="N3" r:id="rId2" xr:uid="{5C90E64F-04D2-4B4B-B335-1D6B45645B1C}"/>
    <hyperlink ref="N4" r:id="rId3" xr:uid="{973A86D1-81A0-47FD-9CB1-E05AD2294C56}"/>
    <hyperlink ref="N5" r:id="rId4" xr:uid="{8D4DD79F-7874-44B5-B61B-A47CB5FEAF74}"/>
    <hyperlink ref="N6" r:id="rId5" xr:uid="{8CA931F8-3FFC-4C02-913E-44868AD6497D}"/>
    <hyperlink ref="N7" r:id="rId6" xr:uid="{F1D95523-DF93-42A0-B77B-7BC613890F5F}"/>
    <hyperlink ref="N8" r:id="rId7" xr:uid="{4CCE6586-633D-4EE1-A61D-314EF44BDA7F}"/>
    <hyperlink ref="N9" r:id="rId8" xr:uid="{85E25542-46CB-4505-BAE4-3954A77A9DBE}"/>
    <hyperlink ref="N10" r:id="rId9" xr:uid="{C7D4AF38-BC54-4A8B-885F-6F429F08D0B6}"/>
    <hyperlink ref="N11" r:id="rId10" xr:uid="{3BD96D6B-E3CB-4086-AEF3-86F129F5B1FC}"/>
    <hyperlink ref="N12" r:id="rId11" xr:uid="{A948941B-631B-4F16-B684-260973593EF4}"/>
    <hyperlink ref="N13" r:id="rId12" xr:uid="{DC849524-386C-4300-92D3-F6389A2A1BF2}"/>
    <hyperlink ref="N14" r:id="rId13" xr:uid="{721D0C67-FB2F-4F26-BAFC-81FF38E42E54}"/>
    <hyperlink ref="N15" r:id="rId14" xr:uid="{0E8C836B-991C-4262-B909-36FC00C346CD}"/>
    <hyperlink ref="N16" r:id="rId15" xr:uid="{10947D52-E003-4E8F-811E-35059C1398CE}"/>
    <hyperlink ref="N17" r:id="rId16" xr:uid="{F265CB2E-4739-43F6-852D-E4EE7442368D}"/>
    <hyperlink ref="N18" r:id="rId17" xr:uid="{C28F83A8-0AC6-4070-8DFB-9641D70F966A}"/>
    <hyperlink ref="N19" r:id="rId18" xr:uid="{484F8791-56A0-4927-BDE3-F22E9378B332}"/>
    <hyperlink ref="N20" r:id="rId19" xr:uid="{C1E736B2-26D7-4BD1-86C0-A1DA0BE698EA}"/>
    <hyperlink ref="N21" r:id="rId20" xr:uid="{EECFF1A1-579D-4C56-AB69-7C482FF140AB}"/>
    <hyperlink ref="N22" r:id="rId21" xr:uid="{48E6E19B-9E01-48AB-9742-891937DB6585}"/>
    <hyperlink ref="N23" r:id="rId22" xr:uid="{4B761DEA-1C9A-4F58-A73B-205D0957D93F}"/>
    <hyperlink ref="N24" r:id="rId23" xr:uid="{809753B1-B863-4E6D-9B4B-EF7B6083FC53}"/>
    <hyperlink ref="N25" r:id="rId24" xr:uid="{E2F24DBC-786E-45A5-89C8-E67222B8AE9D}"/>
    <hyperlink ref="N26" r:id="rId25" xr:uid="{C2551C1E-7B7E-450D-82DB-C850F5659EC2}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3550-6606-4D7D-AD47-55C420DEF3AA}">
  <sheetPr codeName="Tabelle16"/>
  <dimension ref="A1:Q36"/>
  <sheetViews>
    <sheetView workbookViewId="0">
      <selection activeCell="L18" sqref="L18"/>
    </sheetView>
  </sheetViews>
  <sheetFormatPr baseColWidth="10" defaultColWidth="11.5546875" defaultRowHeight="15.6"/>
  <cols>
    <col min="1" max="1" width="8.33203125" style="320" customWidth="1"/>
    <col min="2" max="10" width="3.6640625" style="33" bestFit="1" customWidth="1"/>
    <col min="11" max="11" width="6.6640625" bestFit="1" customWidth="1"/>
    <col min="12" max="12" width="41.88671875" style="79" bestFit="1" customWidth="1"/>
    <col min="13" max="13" width="19.6640625" style="17" customWidth="1"/>
    <col min="14" max="14" width="39" style="79" bestFit="1" customWidth="1"/>
    <col min="15" max="15" width="16.109375" style="76" customWidth="1"/>
    <col min="16" max="16" width="5.88671875" style="17" customWidth="1"/>
    <col min="17" max="16384" width="11.5546875" style="17"/>
  </cols>
  <sheetData>
    <row r="1" spans="1:17" s="2" customFormat="1" ht="55.2" customHeight="1">
      <c r="A1" s="315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7" s="2" customFormat="1" ht="20.100000000000001" customHeight="1">
      <c r="A2" s="316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7" s="2" customFormat="1" ht="20.100000000000001" customHeight="1">
      <c r="A3" s="316" t="s">
        <v>99</v>
      </c>
      <c r="B3" s="170" t="s">
        <v>70</v>
      </c>
      <c r="C3" s="27"/>
      <c r="D3" s="28"/>
      <c r="E3" s="28"/>
      <c r="F3" s="28"/>
      <c r="G3" s="28"/>
      <c r="H3" s="28"/>
      <c r="J3" s="28"/>
      <c r="K3" s="167" t="s">
        <v>70</v>
      </c>
      <c r="L3" s="169" t="s">
        <v>393</v>
      </c>
      <c r="M3" s="168" t="s">
        <v>392</v>
      </c>
      <c r="N3" s="119" t="s">
        <v>393</v>
      </c>
      <c r="O3" s="11"/>
      <c r="P3" s="145" t="s">
        <v>298</v>
      </c>
      <c r="Q3" s="2" t="s">
        <v>634</v>
      </c>
    </row>
    <row r="4" spans="1:17" s="2" customFormat="1" ht="20.100000000000001" customHeight="1">
      <c r="A4" s="317" t="s">
        <v>99</v>
      </c>
      <c r="B4" s="29" t="s">
        <v>70</v>
      </c>
      <c r="C4" s="29"/>
      <c r="D4" s="30"/>
      <c r="E4" s="30"/>
      <c r="F4" s="30"/>
      <c r="G4" s="30"/>
      <c r="H4" s="30"/>
      <c r="I4" s="95"/>
      <c r="J4" s="30"/>
      <c r="K4" s="167" t="s">
        <v>70</v>
      </c>
      <c r="L4" s="169" t="s">
        <v>394</v>
      </c>
      <c r="M4" s="168" t="s">
        <v>392</v>
      </c>
      <c r="N4" s="119" t="s">
        <v>394</v>
      </c>
      <c r="O4" s="11"/>
      <c r="P4" s="145" t="s">
        <v>298</v>
      </c>
    </row>
    <row r="5" spans="1:17" s="2" customFormat="1" ht="20.100000000000001" customHeight="1">
      <c r="A5" s="317" t="s">
        <v>99</v>
      </c>
      <c r="B5" s="29" t="s">
        <v>70</v>
      </c>
      <c r="C5" s="31"/>
      <c r="D5" s="32"/>
      <c r="E5" s="32"/>
      <c r="F5" s="32"/>
      <c r="G5" s="32"/>
      <c r="H5" s="32"/>
      <c r="I5" s="100"/>
      <c r="J5" s="32"/>
      <c r="K5" s="167" t="s">
        <v>70</v>
      </c>
      <c r="L5" s="169" t="s">
        <v>395</v>
      </c>
      <c r="M5" s="168" t="s">
        <v>392</v>
      </c>
      <c r="N5" s="119" t="s">
        <v>395</v>
      </c>
      <c r="O5" s="168"/>
      <c r="P5" s="145" t="s">
        <v>298</v>
      </c>
    </row>
    <row r="6" spans="1:17" s="2" customFormat="1" ht="20.100000000000001" customHeight="1">
      <c r="A6" s="317" t="s">
        <v>99</v>
      </c>
      <c r="B6" s="29" t="s">
        <v>70</v>
      </c>
      <c r="C6" s="31"/>
      <c r="D6" s="32"/>
      <c r="E6" s="32"/>
      <c r="F6" s="32"/>
      <c r="G6" s="32"/>
      <c r="H6" s="32"/>
      <c r="I6" s="99"/>
      <c r="J6" s="32"/>
      <c r="K6" s="167" t="s">
        <v>70</v>
      </c>
      <c r="L6" s="169" t="s">
        <v>464</v>
      </c>
      <c r="M6" s="168" t="s">
        <v>392</v>
      </c>
      <c r="N6" s="119" t="s">
        <v>396</v>
      </c>
      <c r="O6" s="168" t="s">
        <v>471</v>
      </c>
      <c r="P6" s="145" t="s">
        <v>298</v>
      </c>
    </row>
    <row r="7" spans="1:17" s="2" customFormat="1" ht="20.100000000000001" customHeight="1">
      <c r="A7" s="317" t="s">
        <v>98</v>
      </c>
      <c r="B7" s="29" t="s">
        <v>70</v>
      </c>
      <c r="C7" s="29"/>
      <c r="D7" s="30"/>
      <c r="E7" s="30"/>
      <c r="F7" s="30"/>
      <c r="G7" s="30"/>
      <c r="H7" s="30"/>
      <c r="I7" s="30"/>
      <c r="J7" s="30"/>
      <c r="K7" s="167" t="s">
        <v>70</v>
      </c>
      <c r="L7" s="169"/>
      <c r="M7" s="168" t="s">
        <v>392</v>
      </c>
      <c r="N7" s="119" t="s">
        <v>397</v>
      </c>
      <c r="O7" s="168" t="s">
        <v>466</v>
      </c>
      <c r="P7" s="145" t="s">
        <v>298</v>
      </c>
    </row>
    <row r="8" spans="1:17" s="2" customFormat="1" ht="20.100000000000001" customHeight="1">
      <c r="A8" s="317" t="s">
        <v>98</v>
      </c>
      <c r="B8" s="29" t="s">
        <v>70</v>
      </c>
      <c r="C8" s="31"/>
      <c r="D8" s="32"/>
      <c r="E8" s="32"/>
      <c r="F8" s="32"/>
      <c r="G8" s="32"/>
      <c r="H8" s="32"/>
      <c r="I8" s="32"/>
      <c r="J8" s="32"/>
      <c r="K8" s="167" t="s">
        <v>70</v>
      </c>
      <c r="L8" s="169"/>
      <c r="M8" s="168" t="s">
        <v>392</v>
      </c>
      <c r="N8" s="119" t="s">
        <v>398</v>
      </c>
      <c r="O8" s="168" t="s">
        <v>467</v>
      </c>
      <c r="P8" s="145" t="s">
        <v>298</v>
      </c>
    </row>
    <row r="9" spans="1:17" ht="20.100000000000001" customHeight="1">
      <c r="A9" s="317" t="s">
        <v>98</v>
      </c>
      <c r="B9" s="29" t="s">
        <v>70</v>
      </c>
      <c r="C9" s="29"/>
      <c r="D9" s="30"/>
      <c r="E9" s="30"/>
      <c r="F9" s="30"/>
      <c r="G9" s="30"/>
      <c r="H9" s="30"/>
      <c r="I9" s="30"/>
      <c r="J9" s="30"/>
      <c r="K9" s="167" t="s">
        <v>70</v>
      </c>
      <c r="L9" s="169"/>
      <c r="M9" s="168" t="s">
        <v>392</v>
      </c>
      <c r="N9" s="119" t="s">
        <v>399</v>
      </c>
      <c r="O9" s="168" t="s">
        <v>468</v>
      </c>
      <c r="P9" s="150" t="s">
        <v>298</v>
      </c>
    </row>
    <row r="10" spans="1:17" ht="20.100000000000001" customHeight="1">
      <c r="A10" s="317" t="s">
        <v>98</v>
      </c>
      <c r="B10" s="29" t="s">
        <v>70</v>
      </c>
      <c r="K10" s="167" t="s">
        <v>70</v>
      </c>
      <c r="L10" s="169"/>
      <c r="M10" s="168" t="s">
        <v>392</v>
      </c>
      <c r="N10" s="119" t="s">
        <v>400</v>
      </c>
      <c r="O10" s="168" t="s">
        <v>469</v>
      </c>
      <c r="P10" s="150" t="s">
        <v>298</v>
      </c>
    </row>
    <row r="11" spans="1:17" ht="20.100000000000001" customHeight="1">
      <c r="A11" s="317" t="s">
        <v>99</v>
      </c>
      <c r="B11" s="29" t="s">
        <v>70</v>
      </c>
      <c r="K11" s="167" t="s">
        <v>70</v>
      </c>
      <c r="L11" s="169" t="s">
        <v>401</v>
      </c>
      <c r="M11" s="168" t="s">
        <v>392</v>
      </c>
      <c r="N11" s="119" t="s">
        <v>401</v>
      </c>
      <c r="O11" s="168"/>
      <c r="P11" s="150" t="s">
        <v>298</v>
      </c>
    </row>
    <row r="12" spans="1:17" ht="20.100000000000001" customHeight="1">
      <c r="A12" s="317" t="s">
        <v>99</v>
      </c>
      <c r="B12" s="29" t="s">
        <v>70</v>
      </c>
      <c r="K12" s="167" t="s">
        <v>70</v>
      </c>
      <c r="L12" s="169" t="s">
        <v>402</v>
      </c>
      <c r="M12" s="168" t="s">
        <v>392</v>
      </c>
      <c r="N12" s="119" t="s">
        <v>402</v>
      </c>
      <c r="O12" s="168"/>
      <c r="P12" s="150" t="s">
        <v>298</v>
      </c>
    </row>
    <row r="13" spans="1:17" ht="20.100000000000001" customHeight="1">
      <c r="A13" s="317" t="s">
        <v>99</v>
      </c>
      <c r="B13" s="29" t="s">
        <v>70</v>
      </c>
      <c r="K13" s="167" t="s">
        <v>70</v>
      </c>
      <c r="L13" s="169" t="s">
        <v>465</v>
      </c>
      <c r="M13" s="168" t="s">
        <v>392</v>
      </c>
      <c r="N13" s="119" t="s">
        <v>403</v>
      </c>
      <c r="O13" s="168" t="s">
        <v>471</v>
      </c>
      <c r="P13" s="150" t="s">
        <v>298</v>
      </c>
    </row>
    <row r="14" spans="1:17" ht="20.100000000000001" customHeight="1">
      <c r="A14" s="317" t="s">
        <v>98</v>
      </c>
      <c r="B14" s="29" t="s">
        <v>70</v>
      </c>
      <c r="K14" s="167" t="s">
        <v>70</v>
      </c>
      <c r="L14" s="169"/>
      <c r="M14" s="168" t="s">
        <v>392</v>
      </c>
      <c r="N14" s="119" t="s">
        <v>404</v>
      </c>
      <c r="O14" s="168" t="s">
        <v>466</v>
      </c>
      <c r="P14" s="150" t="s">
        <v>298</v>
      </c>
    </row>
    <row r="15" spans="1:17" ht="20.100000000000001" customHeight="1">
      <c r="A15" s="317" t="s">
        <v>98</v>
      </c>
      <c r="B15" s="29" t="s">
        <v>70</v>
      </c>
      <c r="K15" s="167" t="s">
        <v>70</v>
      </c>
      <c r="L15" s="169"/>
      <c r="M15" s="168" t="s">
        <v>392</v>
      </c>
      <c r="N15" s="119" t="s">
        <v>405</v>
      </c>
      <c r="O15" s="168" t="s">
        <v>467</v>
      </c>
      <c r="P15" s="150" t="s">
        <v>298</v>
      </c>
    </row>
    <row r="16" spans="1:17" ht="20.100000000000001" customHeight="1">
      <c r="A16" s="317" t="s">
        <v>99</v>
      </c>
      <c r="B16" s="29" t="s">
        <v>70</v>
      </c>
      <c r="K16" s="167" t="s">
        <v>70</v>
      </c>
      <c r="L16" s="169" t="s">
        <v>470</v>
      </c>
      <c r="M16" s="168" t="s">
        <v>392</v>
      </c>
      <c r="N16" s="119" t="s">
        <v>406</v>
      </c>
      <c r="O16" s="168" t="s">
        <v>471</v>
      </c>
      <c r="P16" s="150" t="s">
        <v>298</v>
      </c>
    </row>
    <row r="17" spans="1:16" ht="20.100000000000001" customHeight="1">
      <c r="A17" s="317" t="s">
        <v>98</v>
      </c>
      <c r="B17" s="29" t="s">
        <v>70</v>
      </c>
      <c r="K17" s="167" t="s">
        <v>70</v>
      </c>
      <c r="L17" s="169"/>
      <c r="M17" s="168" t="s">
        <v>392</v>
      </c>
      <c r="N17" s="119" t="s">
        <v>407</v>
      </c>
      <c r="O17" s="168" t="s">
        <v>466</v>
      </c>
      <c r="P17" s="150" t="s">
        <v>298</v>
      </c>
    </row>
    <row r="18" spans="1:16" ht="20.100000000000001" customHeight="1">
      <c r="A18" s="317" t="s">
        <v>98</v>
      </c>
      <c r="B18" s="29" t="s">
        <v>70</v>
      </c>
      <c r="K18" s="167" t="s">
        <v>70</v>
      </c>
      <c r="L18" s="169"/>
      <c r="M18" s="168" t="s">
        <v>392</v>
      </c>
      <c r="N18" s="119" t="s">
        <v>408</v>
      </c>
      <c r="O18" s="168" t="s">
        <v>467</v>
      </c>
      <c r="P18" s="150" t="s">
        <v>298</v>
      </c>
    </row>
    <row r="19" spans="1:16" ht="20.100000000000001" customHeight="1">
      <c r="A19" s="317" t="s">
        <v>98</v>
      </c>
      <c r="B19" s="29" t="s">
        <v>70</v>
      </c>
      <c r="K19" s="167" t="s">
        <v>70</v>
      </c>
      <c r="L19" s="169"/>
      <c r="M19" s="168" t="s">
        <v>392</v>
      </c>
      <c r="N19" s="119" t="s">
        <v>409</v>
      </c>
      <c r="O19" s="168" t="s">
        <v>468</v>
      </c>
      <c r="P19" s="150" t="s">
        <v>298</v>
      </c>
    </row>
    <row r="20" spans="1:16" ht="20.100000000000001" customHeight="1">
      <c r="A20" s="317" t="s">
        <v>98</v>
      </c>
      <c r="B20" s="29" t="s">
        <v>70</v>
      </c>
      <c r="K20" s="167" t="s">
        <v>70</v>
      </c>
      <c r="L20" s="169"/>
      <c r="M20" s="168" t="s">
        <v>392</v>
      </c>
      <c r="N20" s="119" t="s">
        <v>410</v>
      </c>
      <c r="O20" s="168" t="s">
        <v>469</v>
      </c>
      <c r="P20" s="150" t="s">
        <v>298</v>
      </c>
    </row>
    <row r="21" spans="1:16" ht="20.100000000000001" customHeight="1">
      <c r="A21" s="317" t="s">
        <v>98</v>
      </c>
      <c r="B21" s="29" t="s">
        <v>70</v>
      </c>
      <c r="K21" s="167" t="s">
        <v>70</v>
      </c>
      <c r="L21" s="169"/>
      <c r="M21" s="168" t="s">
        <v>392</v>
      </c>
      <c r="N21" s="119" t="s">
        <v>411</v>
      </c>
      <c r="O21" s="168" t="s">
        <v>472</v>
      </c>
      <c r="P21" s="150" t="s">
        <v>298</v>
      </c>
    </row>
    <row r="22" spans="1:16" ht="20.100000000000001" customHeight="1">
      <c r="A22" s="317" t="s">
        <v>99</v>
      </c>
      <c r="B22" s="29" t="s">
        <v>70</v>
      </c>
      <c r="K22" s="167" t="s">
        <v>70</v>
      </c>
      <c r="L22" s="169" t="s">
        <v>412</v>
      </c>
      <c r="M22" s="168" t="s">
        <v>392</v>
      </c>
      <c r="N22" s="119" t="s">
        <v>412</v>
      </c>
      <c r="O22" s="11"/>
      <c r="P22" s="150" t="s">
        <v>298</v>
      </c>
    </row>
    <row r="23" spans="1:16" ht="20.100000000000001" customHeight="1">
      <c r="A23" s="317" t="s">
        <v>99</v>
      </c>
      <c r="B23" s="29" t="s">
        <v>70</v>
      </c>
      <c r="K23" s="167" t="s">
        <v>70</v>
      </c>
      <c r="L23" s="169" t="s">
        <v>413</v>
      </c>
      <c r="M23" s="168" t="s">
        <v>392</v>
      </c>
      <c r="N23" s="119" t="s">
        <v>413</v>
      </c>
      <c r="O23" s="11"/>
      <c r="P23" s="150" t="s">
        <v>298</v>
      </c>
    </row>
    <row r="24" spans="1:16" ht="20.100000000000001" customHeight="1">
      <c r="A24" s="317" t="s">
        <v>99</v>
      </c>
      <c r="B24" s="29" t="s">
        <v>70</v>
      </c>
      <c r="K24" s="167" t="s">
        <v>70</v>
      </c>
      <c r="L24" s="169" t="s">
        <v>414</v>
      </c>
      <c r="M24" s="168" t="s">
        <v>392</v>
      </c>
      <c r="N24" s="119" t="s">
        <v>414</v>
      </c>
      <c r="O24" s="11"/>
      <c r="P24" s="150" t="s">
        <v>298</v>
      </c>
    </row>
    <row r="25" spans="1:16" ht="20.100000000000001" customHeight="1">
      <c r="A25" s="317" t="s">
        <v>99</v>
      </c>
      <c r="B25" s="29" t="s">
        <v>70</v>
      </c>
      <c r="K25" s="167" t="s">
        <v>70</v>
      </c>
      <c r="L25" s="169" t="s">
        <v>415</v>
      </c>
      <c r="M25" s="168" t="s">
        <v>392</v>
      </c>
      <c r="N25" s="119" t="s">
        <v>415</v>
      </c>
      <c r="O25" s="11"/>
      <c r="P25" s="150" t="s">
        <v>298</v>
      </c>
    </row>
    <row r="26" spans="1:16" ht="20.100000000000001" customHeight="1">
      <c r="A26" s="317" t="s">
        <v>99</v>
      </c>
      <c r="B26" s="29" t="s">
        <v>70</v>
      </c>
      <c r="K26" s="167" t="s">
        <v>70</v>
      </c>
      <c r="L26" s="169" t="s">
        <v>416</v>
      </c>
      <c r="M26" s="168" t="s">
        <v>392</v>
      </c>
      <c r="N26" s="119" t="s">
        <v>416</v>
      </c>
      <c r="O26" s="11"/>
      <c r="P26" s="150" t="s">
        <v>298</v>
      </c>
    </row>
    <row r="27" spans="1:16" ht="20.100000000000001" customHeight="1">
      <c r="A27" s="317" t="s">
        <v>99</v>
      </c>
      <c r="B27" s="29" t="s">
        <v>70</v>
      </c>
      <c r="K27" s="167" t="s">
        <v>70</v>
      </c>
      <c r="L27" s="169" t="s">
        <v>417</v>
      </c>
      <c r="M27" s="168" t="s">
        <v>392</v>
      </c>
      <c r="N27" s="119" t="s">
        <v>417</v>
      </c>
      <c r="O27" s="11"/>
      <c r="P27" s="150" t="s">
        <v>298</v>
      </c>
    </row>
    <row r="28" spans="1:16" ht="20.100000000000001" customHeight="1">
      <c r="A28" s="317" t="s">
        <v>100</v>
      </c>
      <c r="B28" s="29" t="s">
        <v>70</v>
      </c>
      <c r="K28" s="167" t="s">
        <v>70</v>
      </c>
      <c r="L28" s="17"/>
      <c r="N28" s="17"/>
      <c r="O28" s="11"/>
      <c r="P28" s="149"/>
    </row>
    <row r="29" spans="1:16" ht="20.100000000000001" customHeight="1">
      <c r="A29" s="317" t="s">
        <v>100</v>
      </c>
      <c r="B29" s="29"/>
      <c r="K29" s="167"/>
      <c r="L29" s="169"/>
      <c r="M29" s="168"/>
      <c r="N29" s="119"/>
      <c r="O29" s="11"/>
      <c r="P29" s="149"/>
    </row>
    <row r="30" spans="1:16">
      <c r="K30" s="163"/>
      <c r="N30" s="17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163"/>
    </row>
    <row r="36" spans="11:11">
      <c r="K36" s="33"/>
    </row>
  </sheetData>
  <phoneticPr fontId="87" type="noConversion"/>
  <hyperlinks>
    <hyperlink ref="N3" r:id="rId1" xr:uid="{725C8457-77BF-48E7-B1F1-03BF901D0DE5}"/>
    <hyperlink ref="N4" r:id="rId2" xr:uid="{992632C9-0CCA-4BFC-A25E-058C1DF994CC}"/>
    <hyperlink ref="N5" r:id="rId3" xr:uid="{BBEB7964-44AA-41E7-9297-2C6A60F568F1}"/>
    <hyperlink ref="N6" r:id="rId4" xr:uid="{B1F999B6-8532-4824-91E1-634DF5C2E3A1}"/>
    <hyperlink ref="N7" r:id="rId5" xr:uid="{ED6ADCF8-66B6-4786-9EB6-BC5E18773E96}"/>
    <hyperlink ref="N8" r:id="rId6" xr:uid="{BEF38158-D602-434B-B2DC-A1F8559DBD49}"/>
    <hyperlink ref="N9" r:id="rId7" xr:uid="{8B06AFE7-36FC-4CD9-81BA-49459A644715}"/>
    <hyperlink ref="N10" r:id="rId8" xr:uid="{C0D0590E-D4AC-4F1F-B462-9833BF6B6A23}"/>
    <hyperlink ref="N11" r:id="rId9" xr:uid="{669EE079-00CE-4B2C-96A4-EF6BB77246C8}"/>
    <hyperlink ref="N12" r:id="rId10" xr:uid="{8D912165-DF0A-491B-803B-4026FB18264A}"/>
    <hyperlink ref="N13" r:id="rId11" xr:uid="{C3BBC880-9692-4811-8063-EAAC68D3773B}"/>
    <hyperlink ref="N14" r:id="rId12" xr:uid="{12020377-6B39-420E-B4B0-826503A3EE5E}"/>
    <hyperlink ref="N15" r:id="rId13" xr:uid="{20ED163F-A81E-4715-BBD5-6C100FD400D9}"/>
    <hyperlink ref="N16" r:id="rId14" xr:uid="{FE5546BC-1FE3-4D5A-9DCE-DD8E8CE1A3AC}"/>
    <hyperlink ref="N17" r:id="rId15" xr:uid="{79035691-24BD-4D2E-81FD-5F0937023944}"/>
    <hyperlink ref="N18" r:id="rId16" xr:uid="{7B6A898B-48F4-44D6-9D5A-9A859FE8C864}"/>
    <hyperlink ref="N19" r:id="rId17" xr:uid="{A55A694C-CE55-4B80-9CBD-994811DB1553}"/>
    <hyperlink ref="N20" r:id="rId18" xr:uid="{21ABED47-0FD7-4169-9F2D-85BF734C2805}"/>
    <hyperlink ref="N21" r:id="rId19" xr:uid="{715E38AB-3C57-4E9B-ABD2-BC0B6CACF3AB}"/>
    <hyperlink ref="N22" r:id="rId20" xr:uid="{AF43F5EE-3D5C-4360-874C-5B686DE235E0}"/>
    <hyperlink ref="N23" r:id="rId21" xr:uid="{E76FC383-67EC-4FA5-852B-BA7F9419C7E0}"/>
    <hyperlink ref="N24" r:id="rId22" xr:uid="{FA6B413A-BCD2-4CA9-A5FF-2E8AF31BA7E2}"/>
    <hyperlink ref="N25" r:id="rId23" xr:uid="{2D5ED677-3962-48A6-9B5D-C6B2D25DDF9D}"/>
    <hyperlink ref="N26" r:id="rId24" xr:uid="{F4EA82EA-864B-4038-8132-C8160FD40511}"/>
    <hyperlink ref="N27" r:id="rId25" xr:uid="{4565B0D3-6C6A-4BA9-8D74-7D2D1C07C5A2}"/>
  </hyperlinks>
  <pageMargins left="0.7" right="0.7" top="0.78740157499999996" bottom="0.78740157499999996" header="0.3" footer="0.3"/>
  <pageSetup paperSize="9" orientation="portrait" r:id="rId2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6DB9-3F0B-4939-ABED-2796E201A1F9}">
  <sheetPr codeName="Tabelle17"/>
  <dimension ref="A1:P35"/>
  <sheetViews>
    <sheetView workbookViewId="0">
      <selection activeCell="N7" sqref="N7"/>
    </sheetView>
  </sheetViews>
  <sheetFormatPr baseColWidth="10" defaultColWidth="11.5546875" defaultRowHeight="15.6"/>
  <cols>
    <col min="1" max="1" width="8.33203125" style="320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5" t="s">
        <v>94</v>
      </c>
      <c r="B1" s="229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6" t="s">
        <v>101</v>
      </c>
      <c r="B2" s="27"/>
      <c r="C2" s="27"/>
      <c r="D2" s="28"/>
      <c r="E2" s="28"/>
      <c r="F2" s="28"/>
      <c r="G2" s="28"/>
      <c r="H2" s="28"/>
      <c r="J2" s="28"/>
      <c r="L2" s="78"/>
      <c r="O2" s="11"/>
    </row>
    <row r="3" spans="1:16" s="2" customFormat="1" ht="20.100000000000001" customHeight="1">
      <c r="A3" s="317" t="s">
        <v>99</v>
      </c>
      <c r="B3" s="29" t="s">
        <v>70</v>
      </c>
      <c r="C3" s="29"/>
      <c r="D3" s="30"/>
      <c r="E3" s="30"/>
      <c r="F3" s="30"/>
      <c r="G3" s="30"/>
      <c r="H3" s="30"/>
      <c r="I3" s="95"/>
      <c r="J3" s="30"/>
      <c r="K3" s="167" t="s">
        <v>70</v>
      </c>
      <c r="L3" s="96"/>
      <c r="M3" s="171" t="s">
        <v>392</v>
      </c>
      <c r="N3" s="364" t="s">
        <v>418</v>
      </c>
      <c r="O3" s="11"/>
      <c r="P3" s="145" t="s">
        <v>298</v>
      </c>
    </row>
    <row r="4" spans="1:16" s="2" customFormat="1" ht="20.100000000000001" customHeight="1">
      <c r="A4" s="317" t="s">
        <v>99</v>
      </c>
      <c r="B4" s="29" t="s">
        <v>70</v>
      </c>
      <c r="C4" s="31"/>
      <c r="D4" s="32"/>
      <c r="E4" s="32"/>
      <c r="F4" s="32"/>
      <c r="G4" s="32"/>
      <c r="H4" s="32"/>
      <c r="I4" s="100"/>
      <c r="J4" s="32"/>
      <c r="K4" s="167" t="s">
        <v>70</v>
      </c>
      <c r="M4" s="4"/>
      <c r="N4" s="119" t="s">
        <v>419</v>
      </c>
      <c r="O4" s="96"/>
      <c r="P4" s="145" t="s">
        <v>298</v>
      </c>
    </row>
    <row r="5" spans="1:16" s="2" customFormat="1" ht="20.100000000000001" customHeight="1">
      <c r="A5" s="317" t="s">
        <v>99</v>
      </c>
      <c r="B5" s="362" t="s">
        <v>70</v>
      </c>
      <c r="C5" s="29"/>
      <c r="D5" s="30"/>
      <c r="E5" s="30"/>
      <c r="F5" s="30"/>
      <c r="G5" s="30"/>
      <c r="H5" s="30"/>
      <c r="I5" s="30"/>
      <c r="J5" s="30"/>
      <c r="K5" s="361" t="s">
        <v>70</v>
      </c>
      <c r="L5" s="363" t="s">
        <v>809</v>
      </c>
      <c r="M5" s="439" t="s">
        <v>967</v>
      </c>
      <c r="N5" s="119" t="s">
        <v>808</v>
      </c>
      <c r="O5" s="11"/>
      <c r="P5" s="145" t="s">
        <v>298</v>
      </c>
    </row>
    <row r="6" spans="1:16" s="2" customFormat="1" ht="20.100000000000001" customHeight="1">
      <c r="A6" s="317" t="s">
        <v>99</v>
      </c>
      <c r="B6" s="362" t="s">
        <v>70</v>
      </c>
      <c r="C6" s="31"/>
      <c r="D6" s="32"/>
      <c r="E6" s="32"/>
      <c r="F6" s="32"/>
      <c r="G6" s="32"/>
      <c r="H6" s="32"/>
      <c r="I6" s="32"/>
      <c r="J6" s="32"/>
      <c r="K6" s="361" t="s">
        <v>70</v>
      </c>
      <c r="L6" s="363" t="s">
        <v>811</v>
      </c>
      <c r="M6" s="468" t="s">
        <v>1044</v>
      </c>
      <c r="N6" s="119" t="s">
        <v>810</v>
      </c>
      <c r="O6" s="11"/>
      <c r="P6" s="145" t="s">
        <v>298</v>
      </c>
    </row>
    <row r="7" spans="1:16" s="16" customFormat="1" ht="20.100000000000001" customHeight="1">
      <c r="A7" s="317"/>
      <c r="B7" s="362"/>
      <c r="C7" s="31"/>
      <c r="D7" s="32"/>
      <c r="E7" s="32"/>
      <c r="F7" s="32"/>
      <c r="G7" s="32"/>
      <c r="H7" s="32"/>
      <c r="I7" s="32"/>
      <c r="J7" s="32"/>
      <c r="K7" s="361"/>
      <c r="L7" s="470" t="s">
        <v>811</v>
      </c>
      <c r="M7" s="469" t="s">
        <v>1045</v>
      </c>
      <c r="N7" s="86" t="s">
        <v>1043</v>
      </c>
      <c r="O7" s="11"/>
      <c r="P7" s="255"/>
    </row>
    <row r="8" spans="1:16" ht="20.100000000000001" customHeight="1">
      <c r="A8" s="317" t="s">
        <v>99</v>
      </c>
      <c r="B8" s="362" t="s">
        <v>70</v>
      </c>
      <c r="C8" s="31"/>
      <c r="D8" s="32"/>
      <c r="E8" s="32"/>
      <c r="F8" s="32"/>
      <c r="G8" s="32"/>
      <c r="H8" s="32"/>
      <c r="I8" s="32"/>
      <c r="J8" s="32"/>
      <c r="K8" s="361" t="s">
        <v>70</v>
      </c>
      <c r="L8" s="17" t="s">
        <v>9</v>
      </c>
      <c r="N8" s="83" t="s">
        <v>812</v>
      </c>
      <c r="O8" s="11"/>
      <c r="P8" s="149"/>
    </row>
    <row r="9" spans="1:16" ht="20.100000000000001" customHeight="1">
      <c r="A9" s="317" t="s">
        <v>99</v>
      </c>
      <c r="B9" s="362" t="s">
        <v>70</v>
      </c>
      <c r="C9" s="31"/>
      <c r="D9" s="32"/>
      <c r="E9" s="32"/>
      <c r="F9" s="32"/>
      <c r="G9" s="32"/>
      <c r="H9" s="32"/>
      <c r="I9" s="32"/>
      <c r="J9" s="32"/>
      <c r="K9" s="361" t="s">
        <v>70</v>
      </c>
      <c r="L9" s="79" t="s">
        <v>995</v>
      </c>
      <c r="M9" s="17" t="s">
        <v>997</v>
      </c>
      <c r="N9" s="79" t="s">
        <v>994</v>
      </c>
      <c r="O9" s="17" t="s">
        <v>996</v>
      </c>
      <c r="P9" s="149"/>
    </row>
    <row r="10" spans="1:16" ht="20.100000000000001" customHeight="1">
      <c r="A10" s="317" t="s">
        <v>100</v>
      </c>
      <c r="B10" s="29"/>
      <c r="K10" s="163"/>
      <c r="O10" s="11"/>
      <c r="P10" s="149"/>
    </row>
    <row r="11" spans="1:16" ht="20.100000000000001" customHeight="1">
      <c r="A11" s="317" t="s">
        <v>100</v>
      </c>
      <c r="B11" s="29"/>
      <c r="K11" s="163"/>
      <c r="O11" s="11"/>
      <c r="P11" s="149"/>
    </row>
    <row r="12" spans="1:16" ht="20.100000000000001" customHeight="1">
      <c r="A12" s="317" t="s">
        <v>100</v>
      </c>
      <c r="B12" s="29"/>
      <c r="K12" s="163"/>
      <c r="O12" s="11"/>
      <c r="P12" s="149"/>
    </row>
    <row r="13" spans="1:16" ht="20.100000000000001" customHeight="1">
      <c r="A13" s="317" t="s">
        <v>100</v>
      </c>
      <c r="B13" s="29"/>
      <c r="K13" s="163"/>
      <c r="O13" s="11"/>
      <c r="P13" s="149"/>
    </row>
    <row r="14" spans="1:16" ht="20.100000000000001" customHeight="1">
      <c r="A14" s="317" t="s">
        <v>100</v>
      </c>
      <c r="B14" s="29"/>
      <c r="K14" s="163"/>
      <c r="P14" s="149"/>
    </row>
    <row r="15" spans="1:16" ht="20.100000000000001" customHeight="1">
      <c r="A15" s="318"/>
      <c r="K15" s="163"/>
    </row>
    <row r="16" spans="1:16" ht="20.100000000000001" customHeight="1">
      <c r="A16" s="318"/>
      <c r="K16" s="163"/>
    </row>
    <row r="17" spans="1:11" ht="20.100000000000001" customHeight="1">
      <c r="A17" s="318"/>
      <c r="K17" s="163"/>
    </row>
    <row r="18" spans="1:11" ht="20.100000000000001" customHeight="1">
      <c r="A18" s="319"/>
      <c r="K18" s="163"/>
    </row>
    <row r="19" spans="1:11" ht="20.100000000000001" customHeight="1">
      <c r="K19" s="163"/>
    </row>
    <row r="20" spans="1:11">
      <c r="K20" s="163"/>
    </row>
    <row r="21" spans="1:11">
      <c r="K21" s="163"/>
    </row>
    <row r="22" spans="1:11">
      <c r="K22" s="163"/>
    </row>
    <row r="23" spans="1:11">
      <c r="K23" s="163"/>
    </row>
    <row r="24" spans="1:11">
      <c r="K24" s="163"/>
    </row>
    <row r="25" spans="1:11">
      <c r="K25" s="163"/>
    </row>
    <row r="26" spans="1:11">
      <c r="K26" s="163"/>
    </row>
    <row r="27" spans="1:11">
      <c r="K27" s="163"/>
    </row>
    <row r="28" spans="1:11">
      <c r="K28" s="163"/>
    </row>
    <row r="29" spans="1:11">
      <c r="K29" s="163"/>
    </row>
    <row r="30" spans="1:11">
      <c r="K30" s="163"/>
    </row>
    <row r="31" spans="1:11">
      <c r="K31" s="163"/>
    </row>
    <row r="32" spans="1:11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D781CDA4-5B5A-4B4B-AD73-01ED10AE071B}"/>
    <hyperlink ref="N4" r:id="rId2" xr:uid="{ED718AD8-3A6D-47DA-B26B-4978D22091BD}"/>
    <hyperlink ref="N5" r:id="rId3" xr:uid="{AF51B990-A7ED-4FBC-A7A5-B2DF09B32CF9}"/>
    <hyperlink ref="N6" r:id="rId4" xr:uid="{7599656F-F20B-414B-B398-69EF2F5C3697}"/>
    <hyperlink ref="N7" r:id="rId5" xr:uid="{8C73B710-FB94-40AF-92B5-5F8942361D7E}"/>
  </hyperlinks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490C-551E-4BF7-84E9-B3E612D9E692}">
  <sheetPr codeName="Tabelle18"/>
  <dimension ref="A1:P35"/>
  <sheetViews>
    <sheetView workbookViewId="0">
      <selection activeCell="K2" sqref="K2"/>
    </sheetView>
  </sheetViews>
  <sheetFormatPr baseColWidth="10" defaultColWidth="11.5546875" defaultRowHeight="15.6"/>
  <cols>
    <col min="1" max="1" width="8.33203125" style="314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1" t="s">
        <v>94</v>
      </c>
      <c r="B1" s="405" t="str">
        <f>def!B1</f>
        <v>Alles</v>
      </c>
      <c r="C1" s="229" t="str">
        <f>def!C1</f>
        <v>Gruppe 1</v>
      </c>
      <c r="D1" s="229" t="str">
        <f>def!D1</f>
        <v>Gruppe 2</v>
      </c>
      <c r="E1" s="229" t="str">
        <f>def!E1</f>
        <v>Yael</v>
      </c>
      <c r="F1" s="229" t="str">
        <f>def!F1</f>
        <v>Gruppe 4</v>
      </c>
      <c r="G1" s="229" t="str">
        <f>def!G1</f>
        <v>Hans</v>
      </c>
      <c r="H1" s="229" t="str">
        <f>def!H1</f>
        <v>Rust</v>
      </c>
      <c r="I1" s="229" t="str">
        <f>def!I1</f>
        <v>Rust26</v>
      </c>
      <c r="J1" s="229" t="str">
        <f>def!J1</f>
        <v>Sonst</v>
      </c>
      <c r="K1" s="229" t="str">
        <f>def!K1</f>
        <v>Buch + Basic</v>
      </c>
      <c r="L1" s="77" t="s">
        <v>68</v>
      </c>
      <c r="M1" s="24" t="s">
        <v>69</v>
      </c>
      <c r="N1" s="77" t="s">
        <v>14</v>
      </c>
      <c r="O1" s="23" t="s">
        <v>95</v>
      </c>
    </row>
    <row r="2" spans="1:16" s="2" customFormat="1" ht="20.100000000000001" customHeight="1">
      <c r="A2" s="312" t="s">
        <v>101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172" t="s">
        <v>420</v>
      </c>
      <c r="O2" s="11"/>
    </row>
    <row r="3" spans="1:16" s="2" customFormat="1" ht="20.100000000000001" customHeight="1">
      <c r="A3" s="313" t="s">
        <v>99</v>
      </c>
      <c r="B3" s="29" t="s">
        <v>70</v>
      </c>
      <c r="C3" s="29"/>
      <c r="D3" s="30"/>
      <c r="E3" s="30"/>
      <c r="F3" s="30"/>
      <c r="G3" s="30"/>
      <c r="H3" s="30"/>
      <c r="I3" s="95"/>
      <c r="J3" s="30"/>
      <c r="K3" s="29" t="s">
        <v>70</v>
      </c>
      <c r="L3" s="96"/>
      <c r="M3" s="4"/>
      <c r="N3" s="119" t="s">
        <v>421</v>
      </c>
      <c r="O3" s="11"/>
      <c r="P3" s="145" t="s">
        <v>298</v>
      </c>
    </row>
    <row r="4" spans="1:16" s="2" customFormat="1" ht="20.100000000000001" customHeight="1">
      <c r="A4" s="313" t="s">
        <v>99</v>
      </c>
      <c r="B4" s="29" t="s">
        <v>70</v>
      </c>
      <c r="C4" s="31"/>
      <c r="D4" s="32"/>
      <c r="E4" s="32"/>
      <c r="F4" s="32"/>
      <c r="G4" s="32"/>
      <c r="H4" s="32"/>
      <c r="I4" s="100"/>
      <c r="J4" s="32"/>
      <c r="K4" s="29" t="s">
        <v>70</v>
      </c>
      <c r="M4" s="4"/>
      <c r="N4" s="119" t="s">
        <v>422</v>
      </c>
      <c r="O4" s="96"/>
      <c r="P4" s="145" t="s">
        <v>298</v>
      </c>
    </row>
    <row r="5" spans="1:16" s="2" customFormat="1" ht="20.100000000000001" customHeight="1">
      <c r="A5" s="313" t="s">
        <v>99</v>
      </c>
      <c r="B5" s="29" t="s">
        <v>70</v>
      </c>
      <c r="C5" s="31"/>
      <c r="D5" s="32"/>
      <c r="E5" s="32"/>
      <c r="F5" s="32"/>
      <c r="G5" s="32"/>
      <c r="H5" s="32"/>
      <c r="I5" s="99"/>
      <c r="J5" s="32"/>
      <c r="K5" s="29" t="s">
        <v>70</v>
      </c>
      <c r="L5" s="1"/>
      <c r="M5" s="4"/>
      <c r="N5" s="119" t="s">
        <v>423</v>
      </c>
      <c r="O5" s="11"/>
      <c r="P5" s="145" t="s">
        <v>298</v>
      </c>
    </row>
    <row r="6" spans="1:16" s="2" customFormat="1" ht="20.100000000000001" customHeight="1">
      <c r="A6" s="313" t="s">
        <v>99</v>
      </c>
      <c r="B6" s="29" t="s">
        <v>70</v>
      </c>
      <c r="C6" s="29"/>
      <c r="D6" s="30"/>
      <c r="E6" s="30"/>
      <c r="F6" s="30"/>
      <c r="G6" s="30"/>
      <c r="H6" s="30"/>
      <c r="I6" s="30"/>
      <c r="J6" s="30"/>
      <c r="K6" s="167" t="s">
        <v>70</v>
      </c>
      <c r="L6" s="1"/>
      <c r="M6" s="4"/>
      <c r="N6" s="119" t="s">
        <v>424</v>
      </c>
      <c r="O6" s="11"/>
      <c r="P6" s="145" t="s">
        <v>298</v>
      </c>
    </row>
    <row r="7" spans="1:16" s="2" customFormat="1" ht="20.100000000000001" customHeight="1">
      <c r="A7" s="313" t="s">
        <v>100</v>
      </c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  <c r="P7" s="144"/>
    </row>
    <row r="8" spans="1:16" ht="20.100000000000001" customHeight="1">
      <c r="A8" s="313" t="s">
        <v>100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"/>
      <c r="N8" s="83"/>
      <c r="O8" s="11"/>
      <c r="P8" s="149"/>
    </row>
    <row r="9" spans="1:16" ht="20.100000000000001" customHeight="1">
      <c r="A9" s="313" t="s">
        <v>100</v>
      </c>
      <c r="B9" s="29"/>
      <c r="K9" s="163"/>
      <c r="O9" s="11"/>
      <c r="P9" s="149"/>
    </row>
    <row r="10" spans="1:16" ht="20.100000000000001" customHeight="1">
      <c r="A10" s="313" t="s">
        <v>100</v>
      </c>
      <c r="B10" s="29"/>
      <c r="K10" s="163"/>
      <c r="O10" s="11"/>
      <c r="P10" s="149"/>
    </row>
    <row r="11" spans="1:16" ht="20.100000000000001" customHeight="1">
      <c r="A11" s="313" t="s">
        <v>100</v>
      </c>
      <c r="B11" s="29"/>
      <c r="K11" s="163"/>
      <c r="O11" s="11"/>
      <c r="P11" s="149"/>
    </row>
    <row r="12" spans="1:16" ht="20.100000000000001" customHeight="1">
      <c r="A12" s="313" t="s">
        <v>100</v>
      </c>
      <c r="B12" s="29"/>
      <c r="K12" s="163"/>
      <c r="O12" s="11"/>
      <c r="P12" s="149"/>
    </row>
    <row r="13" spans="1:16" ht="20.100000000000001" customHeight="1">
      <c r="A13" s="313" t="s">
        <v>100</v>
      </c>
      <c r="B13" s="29"/>
      <c r="K13" s="163"/>
      <c r="O13" s="11"/>
      <c r="P13" s="149"/>
    </row>
    <row r="14" spans="1:16" ht="20.100000000000001" customHeight="1">
      <c r="A14" s="313" t="s">
        <v>100</v>
      </c>
      <c r="B14" s="29"/>
      <c r="K14" s="163"/>
      <c r="P14" s="149"/>
    </row>
    <row r="15" spans="1:16" ht="20.100000000000001" customHeight="1">
      <c r="A15" s="313" t="s">
        <v>100</v>
      </c>
      <c r="K15" s="163"/>
      <c r="P15" s="149"/>
    </row>
    <row r="16" spans="1:16" ht="20.100000000000001" customHeight="1">
      <c r="A16" s="313" t="s">
        <v>100</v>
      </c>
      <c r="K16" s="163"/>
      <c r="P16" s="149"/>
    </row>
    <row r="17" spans="1:16" ht="20.100000000000001" customHeight="1">
      <c r="A17" s="313" t="s">
        <v>100</v>
      </c>
      <c r="K17" s="163"/>
      <c r="P17" s="149"/>
    </row>
    <row r="18" spans="1:16" ht="20.100000000000001" customHeight="1">
      <c r="A18" s="313" t="s">
        <v>100</v>
      </c>
      <c r="K18" s="163"/>
      <c r="P18" s="149"/>
    </row>
    <row r="19" spans="1:16" ht="20.100000000000001" customHeight="1">
      <c r="A19" s="313" t="s">
        <v>100</v>
      </c>
      <c r="K19" s="163"/>
      <c r="P19" s="149"/>
    </row>
    <row r="20" spans="1:16">
      <c r="A20" s="313" t="s">
        <v>100</v>
      </c>
      <c r="K20" s="163"/>
      <c r="P20" s="149"/>
    </row>
    <row r="21" spans="1:16">
      <c r="A21" s="313" t="s">
        <v>100</v>
      </c>
      <c r="K21" s="163"/>
      <c r="P21" s="149"/>
    </row>
    <row r="22" spans="1:16">
      <c r="A22" s="313" t="s">
        <v>100</v>
      </c>
      <c r="K22" s="163"/>
      <c r="P22" s="149"/>
    </row>
    <row r="23" spans="1:16">
      <c r="A23" s="313" t="s">
        <v>100</v>
      </c>
      <c r="K23" s="163"/>
      <c r="P23" s="149"/>
    </row>
    <row r="24" spans="1:16">
      <c r="A24" s="313" t="s">
        <v>100</v>
      </c>
      <c r="K24" s="163"/>
      <c r="P24" s="149"/>
    </row>
    <row r="25" spans="1:16">
      <c r="A25" s="313" t="s">
        <v>100</v>
      </c>
      <c r="K25" s="163"/>
      <c r="P25" s="149"/>
    </row>
    <row r="26" spans="1:16">
      <c r="A26" s="313" t="s">
        <v>100</v>
      </c>
      <c r="K26" s="163"/>
      <c r="P26" s="149"/>
    </row>
    <row r="27" spans="1:16">
      <c r="A27" s="313" t="s">
        <v>100</v>
      </c>
      <c r="K27" s="163"/>
      <c r="P27" s="149"/>
    </row>
    <row r="28" spans="1:16">
      <c r="A28" s="313" t="s">
        <v>100</v>
      </c>
      <c r="K28" s="163"/>
      <c r="P28" s="149"/>
    </row>
    <row r="29" spans="1:16">
      <c r="A29" s="313" t="s">
        <v>100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E2501E2F-13E9-468C-AF8C-A1FC88378901}"/>
    <hyperlink ref="N4" r:id="rId2" xr:uid="{C02FEA81-D869-480B-B526-3B1AFC795540}"/>
    <hyperlink ref="N5" r:id="rId3" xr:uid="{C0CCC4A9-9967-408A-8066-C49314319065}"/>
    <hyperlink ref="N6" r:id="rId4" xr:uid="{6E882BAF-3B18-4EDD-ABFD-106566DC07F5}"/>
  </hyperlinks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60CE-F7E0-4542-958F-F8E6EEB8ABF9}">
  <sheetPr codeName="Tabelle12"/>
  <dimension ref="A1:O441"/>
  <sheetViews>
    <sheetView zoomScale="115" zoomScaleNormal="115" workbookViewId="0">
      <pane ySplit="1" topLeftCell="A42" activePane="bottomLeft" state="frozen"/>
      <selection pane="bottomLeft" activeCell="G49" sqref="G49"/>
    </sheetView>
  </sheetViews>
  <sheetFormatPr baseColWidth="10" defaultColWidth="11.5546875" defaultRowHeight="15.6"/>
  <cols>
    <col min="1" max="1" width="11.5546875" style="11"/>
    <col min="2" max="2" width="4.88671875" style="11" customWidth="1"/>
    <col min="3" max="3" width="19.109375" style="11" customWidth="1"/>
    <col min="4" max="4" width="5.5546875" style="11" bestFit="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185" t="s">
        <v>563</v>
      </c>
      <c r="B1" s="185" t="s">
        <v>574</v>
      </c>
      <c r="C1" s="202" t="s">
        <v>577</v>
      </c>
      <c r="D1" s="185" t="s">
        <v>573</v>
      </c>
      <c r="E1" s="185" t="s">
        <v>341</v>
      </c>
      <c r="F1" s="199" t="s">
        <v>569</v>
      </c>
      <c r="G1" s="185" t="s">
        <v>42</v>
      </c>
      <c r="H1" s="200" t="s">
        <v>344</v>
      </c>
      <c r="I1" s="200" t="s">
        <v>357</v>
      </c>
      <c r="J1" s="201" t="s">
        <v>576</v>
      </c>
      <c r="K1" s="200" t="s">
        <v>573</v>
      </c>
      <c r="L1" s="198" t="s">
        <v>341</v>
      </c>
      <c r="M1" s="199" t="s">
        <v>569</v>
      </c>
      <c r="N1" s="200" t="s">
        <v>42</v>
      </c>
      <c r="O1" s="200" t="s">
        <v>344</v>
      </c>
    </row>
    <row r="2" spans="1:15" ht="19.95" customHeight="1">
      <c r="A2" s="186" t="s">
        <v>97</v>
      </c>
    </row>
    <row r="3" spans="1:15" ht="19.95" customHeight="1">
      <c r="A3" s="188" t="s">
        <v>564</v>
      </c>
      <c r="C3" s="277" t="s">
        <v>579</v>
      </c>
      <c r="D3" s="277"/>
      <c r="E3" s="277" t="str">
        <f>CC!L22</f>
        <v xml:space="preserve">Puppenspieler </v>
      </c>
      <c r="F3" s="277"/>
      <c r="G3" s="278" t="e">
        <f>HYPERLINK("#'CC'!Q" &amp; J3, "Zurück zu CC")</f>
        <v>#N/A</v>
      </c>
      <c r="H3" s="277"/>
      <c r="I3" s="277" t="s">
        <v>568</v>
      </c>
      <c r="J3" s="277" t="e">
        <f>MATCH(C3, CC!Q:Q, 0)</f>
        <v>#N/A</v>
      </c>
      <c r="K3" s="277"/>
      <c r="L3" s="279"/>
      <c r="M3" s="279"/>
      <c r="N3" s="279"/>
      <c r="O3" s="279"/>
    </row>
    <row r="4" spans="1:15" ht="19.95" customHeight="1">
      <c r="A4" s="188" t="s">
        <v>97</v>
      </c>
      <c r="B4" s="182"/>
      <c r="C4" s="182" t="s">
        <v>339</v>
      </c>
      <c r="D4" s="182"/>
      <c r="E4" s="182"/>
      <c r="F4" s="182"/>
      <c r="G4" s="182"/>
      <c r="H4" s="182"/>
      <c r="I4" s="182"/>
      <c r="J4" s="182" t="s">
        <v>340</v>
      </c>
      <c r="K4" s="182"/>
      <c r="L4" s="183"/>
      <c r="M4" s="182"/>
      <c r="N4" s="182"/>
      <c r="O4" s="182"/>
    </row>
    <row r="5" spans="1:15" ht="19.95" customHeight="1">
      <c r="A5" s="186" t="s">
        <v>565</v>
      </c>
      <c r="B5" s="195">
        <v>1</v>
      </c>
      <c r="C5" s="195" t="s">
        <v>337</v>
      </c>
      <c r="D5" s="195" t="s">
        <v>131</v>
      </c>
      <c r="E5" s="184" t="s">
        <v>131</v>
      </c>
      <c r="F5" s="182" t="s">
        <v>342</v>
      </c>
      <c r="G5" s="182"/>
      <c r="H5" s="182" t="s">
        <v>346</v>
      </c>
      <c r="I5" s="182"/>
      <c r="J5" s="184" t="s">
        <v>337</v>
      </c>
      <c r="K5" s="195" t="s">
        <v>130</v>
      </c>
      <c r="L5" s="184" t="s">
        <v>130</v>
      </c>
      <c r="M5" s="182" t="s">
        <v>346</v>
      </c>
      <c r="N5" s="182"/>
      <c r="O5" s="182" t="s">
        <v>346</v>
      </c>
    </row>
    <row r="6" spans="1:15" ht="19.95" customHeight="1">
      <c r="A6" s="186" t="s">
        <v>565</v>
      </c>
      <c r="B6" s="184">
        <v>2</v>
      </c>
      <c r="C6" s="184" t="s">
        <v>87</v>
      </c>
      <c r="D6" s="195" t="s">
        <v>130</v>
      </c>
      <c r="E6" s="184" t="s">
        <v>351</v>
      </c>
      <c r="F6" s="182" t="s">
        <v>342</v>
      </c>
      <c r="G6" s="182"/>
      <c r="H6" s="182" t="s">
        <v>347</v>
      </c>
      <c r="I6" s="182"/>
      <c r="J6" s="184" t="s">
        <v>87</v>
      </c>
      <c r="K6" s="195" t="s">
        <v>131</v>
      </c>
      <c r="L6" s="184" t="s">
        <v>352</v>
      </c>
      <c r="M6" s="182" t="s">
        <v>346</v>
      </c>
      <c r="N6" s="182"/>
      <c r="O6" s="182" t="s">
        <v>347</v>
      </c>
    </row>
    <row r="7" spans="1:15" ht="19.95" customHeight="1">
      <c r="A7" s="186" t="s">
        <v>565</v>
      </c>
      <c r="B7" s="195">
        <v>3</v>
      </c>
      <c r="C7" s="195" t="s">
        <v>338</v>
      </c>
      <c r="D7" s="195" t="s">
        <v>130</v>
      </c>
      <c r="E7" s="195" t="s">
        <v>130</v>
      </c>
      <c r="F7" s="182" t="s">
        <v>342</v>
      </c>
      <c r="G7" s="182"/>
      <c r="H7" s="182" t="s">
        <v>345</v>
      </c>
      <c r="I7" s="182" t="s">
        <v>571</v>
      </c>
      <c r="J7" s="195" t="s">
        <v>570</v>
      </c>
      <c r="K7" s="195" t="s">
        <v>131</v>
      </c>
      <c r="L7" s="184"/>
      <c r="M7" s="182"/>
      <c r="O7" s="182"/>
    </row>
    <row r="8" spans="1:15" ht="19.95" customHeight="1">
      <c r="A8" s="186" t="s">
        <v>565</v>
      </c>
      <c r="B8" s="184">
        <v>4</v>
      </c>
      <c r="C8" s="195" t="s">
        <v>87</v>
      </c>
      <c r="D8" s="195" t="s">
        <v>131</v>
      </c>
      <c r="E8" s="184" t="s">
        <v>352</v>
      </c>
      <c r="F8" s="182" t="s">
        <v>342</v>
      </c>
      <c r="G8" s="182"/>
      <c r="H8" s="182" t="s">
        <v>347</v>
      </c>
      <c r="J8" s="184" t="s">
        <v>40</v>
      </c>
      <c r="K8" s="195" t="s">
        <v>130</v>
      </c>
      <c r="L8" s="184"/>
      <c r="M8" s="182"/>
      <c r="N8" s="182" t="s">
        <v>356</v>
      </c>
      <c r="O8" s="182"/>
    </row>
    <row r="9" spans="1:15" ht="19.95" customHeight="1">
      <c r="A9" s="186" t="s">
        <v>565</v>
      </c>
      <c r="B9" s="195">
        <v>5</v>
      </c>
      <c r="C9" s="195" t="s">
        <v>570</v>
      </c>
      <c r="D9" s="195" t="s">
        <v>131</v>
      </c>
      <c r="E9" s="195" t="s">
        <v>131</v>
      </c>
      <c r="F9" s="182" t="s">
        <v>342</v>
      </c>
      <c r="G9" s="182"/>
      <c r="H9" s="182" t="s">
        <v>345</v>
      </c>
      <c r="I9" s="182" t="s">
        <v>359</v>
      </c>
      <c r="J9" s="195" t="s">
        <v>338</v>
      </c>
      <c r="K9" s="195" t="s">
        <v>130</v>
      </c>
      <c r="L9" s="184"/>
      <c r="M9" s="182" t="s">
        <v>346</v>
      </c>
      <c r="N9" s="182"/>
      <c r="O9" s="182"/>
    </row>
    <row r="10" spans="1:15" ht="19.95" customHeight="1">
      <c r="A10" s="186" t="s">
        <v>565</v>
      </c>
      <c r="B10" s="184">
        <v>6</v>
      </c>
      <c r="C10" s="184" t="s">
        <v>358</v>
      </c>
      <c r="D10" s="195" t="s">
        <v>130</v>
      </c>
      <c r="E10" s="184" t="s">
        <v>352</v>
      </c>
      <c r="F10" s="182" t="s">
        <v>355</v>
      </c>
      <c r="G10" s="182" t="s">
        <v>348</v>
      </c>
      <c r="H10" s="182" t="s">
        <v>347</v>
      </c>
      <c r="I10" s="182" t="s">
        <v>359</v>
      </c>
      <c r="J10" s="195" t="s">
        <v>87</v>
      </c>
      <c r="K10" s="195" t="s">
        <v>131</v>
      </c>
      <c r="L10" s="184"/>
      <c r="M10" s="182" t="s">
        <v>343</v>
      </c>
      <c r="N10" s="182"/>
      <c r="O10" s="182"/>
    </row>
    <row r="11" spans="1:15" ht="19.95" customHeight="1">
      <c r="A11" s="186" t="s">
        <v>565</v>
      </c>
      <c r="B11" s="195">
        <v>7</v>
      </c>
      <c r="C11" s="184" t="s">
        <v>338</v>
      </c>
      <c r="D11" s="195" t="s">
        <v>130</v>
      </c>
      <c r="E11" s="184" t="s">
        <v>130</v>
      </c>
      <c r="F11" s="182" t="s">
        <v>342</v>
      </c>
      <c r="G11" s="182" t="s">
        <v>349</v>
      </c>
      <c r="H11" s="182" t="s">
        <v>345</v>
      </c>
      <c r="I11" s="182" t="s">
        <v>360</v>
      </c>
      <c r="J11" s="184" t="s">
        <v>338</v>
      </c>
      <c r="K11" s="195" t="s">
        <v>131</v>
      </c>
      <c r="L11" s="184" t="s">
        <v>131</v>
      </c>
      <c r="M11" s="182" t="s">
        <v>346</v>
      </c>
      <c r="N11" s="182" t="s">
        <v>349</v>
      </c>
      <c r="O11" s="182" t="s">
        <v>345</v>
      </c>
    </row>
    <row r="12" spans="1:15" ht="19.95" customHeight="1">
      <c r="A12" s="186" t="s">
        <v>565</v>
      </c>
      <c r="B12" s="184">
        <v>8</v>
      </c>
      <c r="C12" s="184" t="s">
        <v>31</v>
      </c>
      <c r="D12" s="195" t="s">
        <v>131</v>
      </c>
      <c r="E12" s="184" t="s">
        <v>350</v>
      </c>
      <c r="F12" s="139" t="s">
        <v>572</v>
      </c>
      <c r="G12" s="182" t="s">
        <v>348</v>
      </c>
      <c r="H12" s="182" t="s">
        <v>345</v>
      </c>
      <c r="I12" s="182" t="s">
        <v>361</v>
      </c>
      <c r="J12" s="184" t="s">
        <v>338</v>
      </c>
      <c r="K12" s="195" t="s">
        <v>130</v>
      </c>
      <c r="L12" s="184" t="s">
        <v>130</v>
      </c>
      <c r="M12" s="139" t="s">
        <v>343</v>
      </c>
      <c r="N12" s="182" t="s">
        <v>353</v>
      </c>
      <c r="O12" s="182" t="s">
        <v>345</v>
      </c>
    </row>
    <row r="13" spans="1:15" ht="19.95" customHeight="1">
      <c r="A13" s="186" t="s">
        <v>565</v>
      </c>
      <c r="B13" s="195">
        <v>9</v>
      </c>
      <c r="C13" s="155" t="s">
        <v>338</v>
      </c>
      <c r="D13" s="197" t="s">
        <v>130</v>
      </c>
      <c r="E13" s="155" t="s">
        <v>130</v>
      </c>
      <c r="F13" s="139" t="s">
        <v>342</v>
      </c>
      <c r="G13" s="182" t="s">
        <v>349</v>
      </c>
      <c r="H13" s="182" t="s">
        <v>345</v>
      </c>
      <c r="I13" s="182"/>
      <c r="J13" s="155" t="s">
        <v>338</v>
      </c>
      <c r="K13" s="197" t="s">
        <v>131</v>
      </c>
      <c r="L13" s="155" t="s">
        <v>131</v>
      </c>
      <c r="M13" s="139" t="s">
        <v>346</v>
      </c>
      <c r="N13" s="182" t="s">
        <v>354</v>
      </c>
      <c r="O13" s="182" t="s">
        <v>345</v>
      </c>
    </row>
    <row r="14" spans="1:15" ht="19.95" customHeight="1">
      <c r="A14" s="186" t="s">
        <v>565</v>
      </c>
      <c r="B14" s="184">
        <v>10</v>
      </c>
      <c r="C14" s="182" t="s">
        <v>87</v>
      </c>
      <c r="D14" s="182" t="s">
        <v>131</v>
      </c>
      <c r="E14" s="182" t="s">
        <v>351</v>
      </c>
      <c r="F14" s="182" t="s">
        <v>343</v>
      </c>
      <c r="G14" s="182"/>
      <c r="H14" s="182" t="s">
        <v>347</v>
      </c>
      <c r="I14" s="182"/>
      <c r="J14" s="182" t="s">
        <v>87</v>
      </c>
      <c r="K14" s="182" t="s">
        <v>130</v>
      </c>
      <c r="L14" s="182" t="s">
        <v>351</v>
      </c>
      <c r="M14" s="182" t="s">
        <v>355</v>
      </c>
      <c r="N14" s="182" t="s">
        <v>349</v>
      </c>
      <c r="O14" s="182" t="s">
        <v>347</v>
      </c>
    </row>
    <row r="15" spans="1:15" ht="19.95" customHeight="1">
      <c r="A15" s="196" t="s">
        <v>565</v>
      </c>
      <c r="B15" s="182">
        <v>11</v>
      </c>
      <c r="C15" s="182" t="s">
        <v>575</v>
      </c>
      <c r="D15" s="182" t="s">
        <v>131</v>
      </c>
      <c r="E15" s="182"/>
      <c r="F15" s="182"/>
      <c r="G15" s="182"/>
      <c r="H15" s="182"/>
      <c r="I15" s="182"/>
      <c r="J15" s="182" t="s">
        <v>575</v>
      </c>
      <c r="K15" s="182" t="s">
        <v>130</v>
      </c>
      <c r="L15" s="182"/>
      <c r="M15" s="182"/>
      <c r="N15" s="182"/>
      <c r="O15" s="182"/>
    </row>
    <row r="16" spans="1:15" ht="19.95" customHeight="1">
      <c r="A16" s="186" t="s">
        <v>566</v>
      </c>
    </row>
    <row r="17" spans="1:15" ht="19.95" customHeight="1">
      <c r="A17" s="203" t="s">
        <v>564</v>
      </c>
      <c r="C17" s="277" t="s">
        <v>578</v>
      </c>
      <c r="D17" s="277"/>
      <c r="E17" s="277" t="str">
        <f>CC!L20</f>
        <v>Verfolger</v>
      </c>
      <c r="F17" s="277"/>
      <c r="G17" s="278" t="e">
        <f>HYPERLINK("#'CC'!Q" &amp; J17, "Zurück zu CC")</f>
        <v>#N/A</v>
      </c>
      <c r="H17" s="277"/>
      <c r="I17" s="277" t="s">
        <v>568</v>
      </c>
      <c r="J17" s="277" t="e">
        <f>MATCH(C17, CC!Q:Q, 0)</f>
        <v>#N/A</v>
      </c>
      <c r="K17" s="277"/>
      <c r="L17" s="279"/>
      <c r="M17" s="279"/>
      <c r="N17" s="279"/>
      <c r="O17" s="279"/>
    </row>
    <row r="18" spans="1:15" ht="19.95" customHeight="1">
      <c r="A18" s="203" t="s">
        <v>97</v>
      </c>
    </row>
    <row r="19" spans="1:15" ht="19.95" customHeight="1">
      <c r="A19" s="203" t="s">
        <v>565</v>
      </c>
      <c r="B19" s="11">
        <f>B18+1</f>
        <v>1</v>
      </c>
      <c r="C19" s="206" t="s">
        <v>87</v>
      </c>
      <c r="D19" s="206" t="s">
        <v>588</v>
      </c>
      <c r="E19" s="206" t="s">
        <v>351</v>
      </c>
      <c r="F19" s="206" t="s">
        <v>342</v>
      </c>
    </row>
    <row r="20" spans="1:15" ht="19.95" customHeight="1">
      <c r="A20" s="203"/>
      <c r="B20" s="11">
        <f>B19+1</f>
        <v>2</v>
      </c>
      <c r="C20" s="206" t="s">
        <v>338</v>
      </c>
      <c r="D20" s="206" t="s">
        <v>130</v>
      </c>
      <c r="E20" s="206" t="s">
        <v>130</v>
      </c>
      <c r="F20" s="206" t="s">
        <v>342</v>
      </c>
    </row>
    <row r="21" spans="1:15" ht="19.95" customHeight="1">
      <c r="A21" s="203"/>
      <c r="B21" s="11">
        <f>B20+1</f>
        <v>3</v>
      </c>
      <c r="C21" s="206" t="s">
        <v>593</v>
      </c>
      <c r="D21" s="206" t="s">
        <v>592</v>
      </c>
      <c r="E21" s="206" t="s">
        <v>352</v>
      </c>
      <c r="F21" s="206" t="s">
        <v>342</v>
      </c>
    </row>
    <row r="22" spans="1:15" ht="19.95" customHeight="1">
      <c r="A22" s="203"/>
      <c r="B22" s="11">
        <f>B21+1</f>
        <v>4</v>
      </c>
      <c r="C22" s="206" t="s">
        <v>594</v>
      </c>
      <c r="D22" s="206" t="s">
        <v>592</v>
      </c>
      <c r="E22" s="206" t="s">
        <v>595</v>
      </c>
      <c r="F22" s="206" t="s">
        <v>342</v>
      </c>
    </row>
    <row r="23" spans="1:15" ht="19.95" customHeight="1">
      <c r="A23" s="203" t="s">
        <v>565</v>
      </c>
      <c r="B23" s="11">
        <f>B22+1</f>
        <v>5</v>
      </c>
      <c r="C23" s="206" t="s">
        <v>584</v>
      </c>
      <c r="D23" s="206" t="s">
        <v>131</v>
      </c>
      <c r="E23" s="206" t="s">
        <v>596</v>
      </c>
      <c r="F23" s="206" t="s">
        <v>572</v>
      </c>
    </row>
    <row r="24" spans="1:15" ht="19.95" customHeight="1">
      <c r="A24" s="203" t="s">
        <v>565</v>
      </c>
      <c r="B24" s="11">
        <f t="shared" ref="B24:B37" si="0">B23+1</f>
        <v>6</v>
      </c>
      <c r="C24" s="206" t="s">
        <v>584</v>
      </c>
      <c r="D24" s="206" t="s">
        <v>131</v>
      </c>
      <c r="E24" s="206" t="s">
        <v>596</v>
      </c>
      <c r="F24" s="206" t="s">
        <v>572</v>
      </c>
    </row>
    <row r="25" spans="1:15" ht="19.95" customHeight="1">
      <c r="A25" s="203" t="s">
        <v>565</v>
      </c>
      <c r="B25" s="11">
        <f t="shared" si="0"/>
        <v>7</v>
      </c>
      <c r="C25" s="206" t="s">
        <v>87</v>
      </c>
      <c r="D25" s="206" t="s">
        <v>131</v>
      </c>
      <c r="E25" s="206" t="s">
        <v>351</v>
      </c>
      <c r="F25" s="206" t="s">
        <v>572</v>
      </c>
    </row>
    <row r="26" spans="1:15" ht="19.95" customHeight="1">
      <c r="A26" s="203" t="s">
        <v>565</v>
      </c>
      <c r="B26" s="11">
        <f t="shared" si="0"/>
        <v>8</v>
      </c>
      <c r="C26" s="206" t="s">
        <v>570</v>
      </c>
      <c r="D26" s="206" t="s">
        <v>131</v>
      </c>
      <c r="E26" s="206" t="s">
        <v>131</v>
      </c>
      <c r="F26" s="206" t="s">
        <v>342</v>
      </c>
    </row>
    <row r="27" spans="1:15" ht="19.95" customHeight="1">
      <c r="A27" s="203" t="s">
        <v>565</v>
      </c>
      <c r="B27" s="11">
        <f t="shared" si="0"/>
        <v>9</v>
      </c>
      <c r="C27" s="206" t="s">
        <v>585</v>
      </c>
      <c r="D27" s="206" t="s">
        <v>588</v>
      </c>
      <c r="E27" s="206" t="s">
        <v>350</v>
      </c>
      <c r="F27" s="206" t="s">
        <v>355</v>
      </c>
    </row>
    <row r="28" spans="1:15" ht="19.95" customHeight="1">
      <c r="A28" s="203" t="s">
        <v>565</v>
      </c>
      <c r="B28" s="11">
        <f t="shared" si="0"/>
        <v>10</v>
      </c>
      <c r="C28" s="206" t="s">
        <v>338</v>
      </c>
      <c r="D28" s="206" t="s">
        <v>130</v>
      </c>
      <c r="E28" s="206" t="s">
        <v>350</v>
      </c>
      <c r="F28" s="206" t="s">
        <v>346</v>
      </c>
    </row>
    <row r="29" spans="1:15" ht="19.95" customHeight="1">
      <c r="A29" s="203" t="s">
        <v>565</v>
      </c>
      <c r="B29" s="11">
        <f t="shared" si="0"/>
        <v>11</v>
      </c>
      <c r="C29" s="206" t="s">
        <v>584</v>
      </c>
      <c r="D29" s="206" t="s">
        <v>131</v>
      </c>
      <c r="E29" s="206" t="s">
        <v>596</v>
      </c>
      <c r="F29" s="206" t="s">
        <v>597</v>
      </c>
    </row>
    <row r="30" spans="1:15" ht="19.95" customHeight="1">
      <c r="A30" s="203" t="s">
        <v>565</v>
      </c>
      <c r="B30" s="11">
        <f t="shared" si="0"/>
        <v>12</v>
      </c>
      <c r="C30" s="206" t="s">
        <v>584</v>
      </c>
      <c r="D30" s="206" t="s">
        <v>131</v>
      </c>
      <c r="E30" s="206" t="s">
        <v>596</v>
      </c>
      <c r="F30" s="206" t="s">
        <v>597</v>
      </c>
    </row>
    <row r="31" spans="1:15" ht="19.95" customHeight="1">
      <c r="A31" s="203" t="s">
        <v>565</v>
      </c>
      <c r="B31" s="11">
        <f t="shared" si="0"/>
        <v>13</v>
      </c>
      <c r="C31" s="206" t="s">
        <v>87</v>
      </c>
      <c r="D31" s="206" t="s">
        <v>131</v>
      </c>
      <c r="E31" s="206" t="s">
        <v>351</v>
      </c>
      <c r="F31" s="206" t="s">
        <v>597</v>
      </c>
    </row>
    <row r="32" spans="1:15" ht="19.95" customHeight="1">
      <c r="A32" s="203" t="s">
        <v>565</v>
      </c>
      <c r="B32" s="11">
        <f t="shared" si="0"/>
        <v>14</v>
      </c>
      <c r="C32" s="206" t="s">
        <v>570</v>
      </c>
      <c r="D32" s="206" t="s">
        <v>131</v>
      </c>
      <c r="E32" s="206" t="s">
        <v>343</v>
      </c>
      <c r="F32" s="206" t="s">
        <v>343</v>
      </c>
    </row>
    <row r="33" spans="1:6" ht="19.95" customHeight="1">
      <c r="A33" s="203" t="s">
        <v>565</v>
      </c>
      <c r="B33" s="11">
        <f t="shared" si="0"/>
        <v>15</v>
      </c>
      <c r="C33" s="206" t="s">
        <v>590</v>
      </c>
      <c r="D33" s="206" t="s">
        <v>588</v>
      </c>
      <c r="E33" s="206" t="s">
        <v>343</v>
      </c>
      <c r="F33" s="206" t="s">
        <v>343</v>
      </c>
    </row>
    <row r="34" spans="1:6" ht="19.95" customHeight="1">
      <c r="A34" s="203" t="s">
        <v>565</v>
      </c>
      <c r="B34" s="11">
        <f t="shared" si="0"/>
        <v>16</v>
      </c>
      <c r="C34" s="206" t="s">
        <v>586</v>
      </c>
      <c r="D34" s="206" t="s">
        <v>589</v>
      </c>
      <c r="E34" s="206" t="s">
        <v>343</v>
      </c>
      <c r="F34" s="206" t="s">
        <v>343</v>
      </c>
    </row>
    <row r="35" spans="1:6" ht="19.95" customHeight="1">
      <c r="A35" s="203" t="s">
        <v>565</v>
      </c>
      <c r="B35" s="11">
        <f t="shared" si="0"/>
        <v>17</v>
      </c>
      <c r="C35" s="206" t="s">
        <v>587</v>
      </c>
      <c r="D35" s="206" t="s">
        <v>130</v>
      </c>
      <c r="F35" s="206" t="s">
        <v>355</v>
      </c>
    </row>
    <row r="36" spans="1:6" ht="19.95" customHeight="1">
      <c r="A36" s="203" t="s">
        <v>565</v>
      </c>
      <c r="B36" s="11">
        <f t="shared" si="0"/>
        <v>18</v>
      </c>
      <c r="C36" s="206" t="s">
        <v>591</v>
      </c>
      <c r="D36" s="206" t="s">
        <v>588</v>
      </c>
    </row>
    <row r="37" spans="1:6" ht="19.95" customHeight="1">
      <c r="A37" s="203" t="s">
        <v>565</v>
      </c>
      <c r="B37" s="11">
        <f t="shared" si="0"/>
        <v>19</v>
      </c>
      <c r="C37" s="206" t="s">
        <v>587</v>
      </c>
      <c r="D37" s="206" t="s">
        <v>131</v>
      </c>
    </row>
    <row r="38" spans="1:6" ht="19.95" customHeight="1">
      <c r="A38" s="186"/>
      <c r="C38" s="206"/>
      <c r="D38" s="206"/>
    </row>
    <row r="39" spans="1:6" ht="19.95" customHeight="1">
      <c r="A39" s="186"/>
      <c r="C39" s="206"/>
      <c r="D39" s="206"/>
    </row>
    <row r="40" spans="1:6" ht="19.95" customHeight="1">
      <c r="A40" s="188"/>
      <c r="C40" s="11" t="s">
        <v>91</v>
      </c>
      <c r="F40" s="11" t="s">
        <v>93</v>
      </c>
    </row>
    <row r="41" spans="1:6" ht="19.95" customHeight="1">
      <c r="A41" s="188"/>
      <c r="E41" s="11" t="s">
        <v>71</v>
      </c>
      <c r="F41" s="11" t="s">
        <v>80</v>
      </c>
    </row>
    <row r="42" spans="1:6" ht="19.95" customHeight="1">
      <c r="A42" s="188"/>
      <c r="E42" s="11" t="s">
        <v>72</v>
      </c>
    </row>
    <row r="43" spans="1:6" ht="19.95" customHeight="1">
      <c r="A43" s="188"/>
      <c r="E43" s="11" t="s">
        <v>92</v>
      </c>
    </row>
    <row r="44" spans="1:6" ht="19.95" customHeight="1">
      <c r="A44" s="188"/>
      <c r="E44" s="11" t="s">
        <v>74</v>
      </c>
    </row>
    <row r="45" spans="1:6" ht="19.95" customHeight="1">
      <c r="A45" s="188"/>
      <c r="E45" s="11" t="s">
        <v>73</v>
      </c>
    </row>
    <row r="46" spans="1:6" ht="19.95" customHeight="1">
      <c r="A46" s="188"/>
      <c r="C46" s="11" t="s">
        <v>90</v>
      </c>
    </row>
    <row r="47" spans="1:6" ht="19.95" customHeight="1">
      <c r="A47" s="188"/>
      <c r="E47" s="11" t="s">
        <v>84</v>
      </c>
    </row>
    <row r="48" spans="1:6" ht="19.95" customHeight="1">
      <c r="A48" s="188"/>
      <c r="E48" s="11" t="s">
        <v>81</v>
      </c>
    </row>
    <row r="49" spans="1:9" ht="19.95" customHeight="1">
      <c r="A49" s="188"/>
      <c r="E49" s="11" t="s">
        <v>82</v>
      </c>
    </row>
    <row r="50" spans="1:9" ht="19.95" customHeight="1">
      <c r="A50" s="188"/>
      <c r="E50" s="11" t="s">
        <v>83</v>
      </c>
    </row>
    <row r="51" spans="1:9" ht="19.95" customHeight="1">
      <c r="A51" s="188"/>
      <c r="E51" s="11" t="s">
        <v>82</v>
      </c>
    </row>
    <row r="52" spans="1:9" ht="19.95" customHeight="1">
      <c r="A52" s="188"/>
      <c r="C52" s="11" t="s">
        <v>89</v>
      </c>
    </row>
    <row r="53" spans="1:9" ht="19.95" customHeight="1">
      <c r="A53" s="188"/>
      <c r="E53" s="11" t="s">
        <v>85</v>
      </c>
    </row>
    <row r="54" spans="1:9" ht="19.95" customHeight="1">
      <c r="A54" s="188"/>
      <c r="E54" s="11" t="s">
        <v>5</v>
      </c>
    </row>
    <row r="55" spans="1:9" ht="19.95" customHeight="1">
      <c r="A55" s="188"/>
      <c r="E55" s="11" t="s">
        <v>86</v>
      </c>
    </row>
    <row r="56" spans="1:9" ht="19.95" customHeight="1">
      <c r="A56" s="188"/>
      <c r="E56" s="11" t="s">
        <v>87</v>
      </c>
    </row>
    <row r="57" spans="1:9" ht="19.95" customHeight="1">
      <c r="A57" s="188"/>
      <c r="E57" s="11" t="s">
        <v>88</v>
      </c>
    </row>
    <row r="58" spans="1:9" ht="19.95" customHeight="1">
      <c r="A58" s="188"/>
      <c r="E58" s="11" t="s">
        <v>40</v>
      </c>
    </row>
    <row r="59" spans="1:9" ht="19.95" customHeight="1">
      <c r="A59" s="188"/>
      <c r="B59" s="189"/>
      <c r="C59" s="189"/>
      <c r="D59" s="189"/>
      <c r="F59" s="192"/>
      <c r="G59" s="193"/>
      <c r="H59" s="193"/>
      <c r="I59" s="194"/>
    </row>
    <row r="60" spans="1:9" ht="19.95" customHeight="1">
      <c r="A60" s="188"/>
      <c r="B60" s="189"/>
      <c r="C60" s="189"/>
      <c r="D60" s="189"/>
      <c r="F60" s="192"/>
      <c r="G60" s="193"/>
      <c r="H60" s="193"/>
      <c r="I60" s="194"/>
    </row>
    <row r="61" spans="1:9" ht="19.95" customHeight="1">
      <c r="A61" s="188"/>
      <c r="B61" s="189"/>
      <c r="C61" s="189"/>
      <c r="D61" s="189"/>
      <c r="F61" s="192"/>
      <c r="G61" s="193"/>
      <c r="H61" s="193"/>
      <c r="I61" s="194"/>
    </row>
    <row r="62" spans="1:9" ht="19.95" customHeight="1">
      <c r="A62" s="188"/>
      <c r="B62" s="189"/>
      <c r="C62" s="189"/>
      <c r="D62" s="189"/>
      <c r="F62" s="192"/>
      <c r="G62" s="193"/>
      <c r="H62" s="193"/>
      <c r="I62" s="194"/>
    </row>
    <row r="63" spans="1:9" ht="19.95" customHeight="1">
      <c r="A63" s="188"/>
      <c r="B63" s="189"/>
      <c r="C63" s="189"/>
      <c r="D63" s="189"/>
      <c r="F63" s="192"/>
      <c r="G63" s="193"/>
      <c r="H63" s="193"/>
      <c r="I63" s="194"/>
    </row>
    <row r="64" spans="1:9" ht="19.95" customHeight="1">
      <c r="A64" s="188"/>
      <c r="B64" s="189"/>
      <c r="C64" s="189"/>
      <c r="D64" s="189"/>
      <c r="F64" s="192"/>
      <c r="G64" s="193"/>
      <c r="H64" s="193"/>
      <c r="I64" s="194"/>
    </row>
    <row r="65" spans="1:9" ht="19.95" customHeight="1">
      <c r="A65" s="188"/>
      <c r="B65" s="189"/>
      <c r="C65" s="189"/>
      <c r="D65" s="189"/>
      <c r="F65" s="192"/>
      <c r="G65" s="193"/>
      <c r="H65" s="193"/>
      <c r="I65" s="194"/>
    </row>
    <row r="66" spans="1:9" ht="19.95" customHeight="1">
      <c r="A66" s="188"/>
    </row>
    <row r="67" spans="1:9" ht="19.95" customHeight="1">
      <c r="A67" s="188"/>
    </row>
    <row r="68" spans="1:9" ht="19.95" customHeight="1">
      <c r="A68" s="188"/>
    </row>
    <row r="69" spans="1:9" ht="19.95" customHeight="1">
      <c r="A69" s="188"/>
    </row>
    <row r="70" spans="1:9" ht="19.95" customHeight="1">
      <c r="A70" s="188"/>
    </row>
    <row r="71" spans="1:9" ht="19.95" customHeight="1">
      <c r="A71" s="188"/>
    </row>
    <row r="72" spans="1:9" ht="19.95" customHeight="1">
      <c r="A72" s="188"/>
    </row>
    <row r="73" spans="1:9" ht="19.95" customHeight="1">
      <c r="A73" s="188"/>
    </row>
    <row r="74" spans="1:9" ht="19.95" customHeight="1">
      <c r="A74" s="188"/>
    </row>
    <row r="75" spans="1:9" ht="19.95" customHeight="1">
      <c r="A75" s="188"/>
    </row>
    <row r="76" spans="1:9" ht="19.95" customHeight="1">
      <c r="A76" s="188"/>
    </row>
    <row r="77" spans="1:9" ht="19.95" customHeight="1">
      <c r="A77" s="188"/>
    </row>
    <row r="78" spans="1:9" ht="19.95" customHeight="1">
      <c r="A78" s="188"/>
    </row>
    <row r="79" spans="1:9" ht="19.95" customHeight="1">
      <c r="A79" s="188"/>
    </row>
    <row r="80" spans="1:9" ht="19.95" customHeight="1">
      <c r="A80" s="188"/>
    </row>
    <row r="81" spans="1:1" ht="19.95" customHeight="1">
      <c r="A81" s="188"/>
    </row>
    <row r="82" spans="1:1" ht="19.95" customHeight="1">
      <c r="A82" s="188"/>
    </row>
    <row r="83" spans="1:1" ht="19.95" customHeight="1">
      <c r="A83" s="188"/>
    </row>
    <row r="84" spans="1:1" ht="19.95" customHeight="1">
      <c r="A84" s="188"/>
    </row>
    <row r="85" spans="1:1" ht="19.95" customHeight="1">
      <c r="A85" s="188"/>
    </row>
    <row r="86" spans="1:1" ht="19.95" customHeight="1">
      <c r="A86" s="188"/>
    </row>
    <row r="87" spans="1:1" ht="19.95" customHeight="1">
      <c r="A87" s="188"/>
    </row>
    <row r="88" spans="1:1" ht="19.95" customHeight="1">
      <c r="A88" s="188"/>
    </row>
    <row r="89" spans="1:1" ht="19.95" customHeight="1">
      <c r="A89" s="188"/>
    </row>
    <row r="90" spans="1:1" ht="19.95" customHeight="1">
      <c r="A90" s="188"/>
    </row>
    <row r="91" spans="1:1" ht="19.95" customHeight="1">
      <c r="A91" s="188"/>
    </row>
    <row r="92" spans="1:1" ht="19.95" customHeight="1">
      <c r="A92" s="188"/>
    </row>
    <row r="93" spans="1:1" ht="19.95" customHeight="1">
      <c r="A93" s="188"/>
    </row>
    <row r="94" spans="1:1" ht="19.95" customHeight="1">
      <c r="A94" s="188"/>
    </row>
    <row r="95" spans="1:1" ht="19.95" customHeight="1">
      <c r="A95" s="188"/>
    </row>
    <row r="96" spans="1:1" ht="19.95" customHeight="1">
      <c r="A96" s="188"/>
    </row>
    <row r="97" spans="1:1" ht="19.95" customHeight="1">
      <c r="A97" s="188"/>
    </row>
    <row r="98" spans="1:1" ht="19.95" customHeight="1">
      <c r="A98" s="188"/>
    </row>
    <row r="99" spans="1:1" ht="19.95" customHeight="1">
      <c r="A99" s="188"/>
    </row>
    <row r="100" spans="1:1" ht="19.95" customHeight="1">
      <c r="A100" s="188"/>
    </row>
    <row r="101" spans="1:1" ht="19.95" customHeight="1">
      <c r="A101" s="188"/>
    </row>
    <row r="102" spans="1:1" ht="19.95" customHeight="1">
      <c r="A102" s="188"/>
    </row>
    <row r="103" spans="1:1" ht="19.95" customHeight="1">
      <c r="A103" s="188"/>
    </row>
    <row r="104" spans="1:1" ht="19.95" customHeight="1">
      <c r="A104" s="188"/>
    </row>
    <row r="105" spans="1:1" ht="19.95" customHeight="1">
      <c r="A105" s="188"/>
    </row>
    <row r="106" spans="1:1" ht="19.95" customHeight="1">
      <c r="A106" s="188"/>
    </row>
    <row r="107" spans="1:1" ht="19.95" customHeight="1">
      <c r="A107" s="188"/>
    </row>
    <row r="108" spans="1:1" ht="19.95" customHeight="1">
      <c r="A108" s="188"/>
    </row>
    <row r="109" spans="1:1" ht="19.95" customHeight="1">
      <c r="A109" s="188"/>
    </row>
    <row r="110" spans="1:1" ht="19.95" customHeight="1">
      <c r="A110" s="188"/>
    </row>
    <row r="111" spans="1:1" ht="19.95" customHeight="1">
      <c r="A111" s="188"/>
    </row>
    <row r="112" spans="1:1" ht="19.95" customHeight="1">
      <c r="A112" s="188"/>
    </row>
    <row r="113" spans="1:1" ht="19.95" customHeight="1">
      <c r="A113" s="188"/>
    </row>
    <row r="114" spans="1:1" ht="19.95" customHeight="1">
      <c r="A114" s="188"/>
    </row>
    <row r="115" spans="1:1" ht="19.95" customHeight="1">
      <c r="A115" s="188"/>
    </row>
    <row r="116" spans="1:1" ht="19.95" customHeight="1">
      <c r="A116" s="188"/>
    </row>
    <row r="117" spans="1:1" ht="19.95" customHeight="1">
      <c r="A117" s="188"/>
    </row>
    <row r="118" spans="1:1" ht="19.95" customHeight="1">
      <c r="A118" s="188"/>
    </row>
    <row r="119" spans="1:1" ht="19.95" customHeight="1">
      <c r="A119" s="188"/>
    </row>
    <row r="120" spans="1:1" ht="19.95" customHeight="1">
      <c r="A120" s="188"/>
    </row>
    <row r="121" spans="1:1" ht="19.95" customHeight="1">
      <c r="A121" s="188"/>
    </row>
    <row r="122" spans="1:1" ht="19.95" customHeight="1">
      <c r="A122" s="188"/>
    </row>
    <row r="123" spans="1:1" ht="19.95" customHeight="1">
      <c r="A123" s="188"/>
    </row>
    <row r="124" spans="1:1" ht="19.95" customHeight="1">
      <c r="A124" s="188"/>
    </row>
    <row r="125" spans="1:1" ht="19.95" customHeight="1">
      <c r="A125" s="188"/>
    </row>
    <row r="126" spans="1:1" ht="19.95" customHeight="1">
      <c r="A126" s="188"/>
    </row>
    <row r="127" spans="1:1" ht="19.95" customHeight="1">
      <c r="A127" s="188"/>
    </row>
    <row r="128" spans="1:1" ht="19.95" customHeight="1">
      <c r="A128" s="188"/>
    </row>
    <row r="129" spans="1:1" ht="19.95" customHeight="1">
      <c r="A129" s="188"/>
    </row>
    <row r="130" spans="1:1" ht="19.95" customHeight="1">
      <c r="A130" s="188"/>
    </row>
    <row r="131" spans="1:1" ht="19.95" customHeight="1">
      <c r="A131" s="188"/>
    </row>
    <row r="132" spans="1:1" ht="19.95" customHeight="1">
      <c r="A132" s="188"/>
    </row>
    <row r="133" spans="1:1" ht="19.95" customHeight="1">
      <c r="A133" s="188"/>
    </row>
    <row r="134" spans="1:1" ht="19.95" customHeight="1">
      <c r="A134" s="188"/>
    </row>
    <row r="135" spans="1:1" ht="19.95" customHeight="1">
      <c r="A135" s="188"/>
    </row>
    <row r="136" spans="1:1" ht="19.95" customHeight="1">
      <c r="A136" s="188"/>
    </row>
    <row r="137" spans="1:1" ht="19.95" customHeight="1">
      <c r="A137" s="188"/>
    </row>
    <row r="138" spans="1:1" ht="19.95" customHeight="1">
      <c r="A138" s="188"/>
    </row>
    <row r="139" spans="1:1" ht="19.95" customHeight="1">
      <c r="A139" s="188"/>
    </row>
    <row r="140" spans="1:1" ht="19.95" customHeight="1">
      <c r="A140" s="188"/>
    </row>
    <row r="141" spans="1:1" ht="19.95" customHeight="1">
      <c r="A141" s="188"/>
    </row>
    <row r="142" spans="1:1" ht="19.95" customHeight="1">
      <c r="A142" s="188"/>
    </row>
    <row r="143" spans="1:1" ht="19.95" customHeight="1">
      <c r="A143" s="188"/>
    </row>
    <row r="144" spans="1:1" ht="19.95" customHeight="1">
      <c r="A144" s="188"/>
    </row>
    <row r="145" spans="1:1" ht="19.95" customHeight="1">
      <c r="A145" s="188"/>
    </row>
    <row r="146" spans="1:1" ht="19.95" customHeight="1">
      <c r="A146" s="188"/>
    </row>
    <row r="147" spans="1:1" ht="19.95" customHeight="1">
      <c r="A147" s="188"/>
    </row>
    <row r="148" spans="1:1" ht="19.95" customHeight="1">
      <c r="A148" s="188"/>
    </row>
    <row r="149" spans="1:1" ht="19.95" customHeight="1">
      <c r="A149" s="188"/>
    </row>
    <row r="150" spans="1:1" ht="19.95" customHeight="1">
      <c r="A150" s="188"/>
    </row>
    <row r="151" spans="1:1" ht="19.95" customHeight="1">
      <c r="A151" s="188"/>
    </row>
    <row r="152" spans="1:1" ht="19.95" customHeight="1">
      <c r="A152" s="188"/>
    </row>
    <row r="153" spans="1:1" ht="19.95" customHeight="1">
      <c r="A153" s="188"/>
    </row>
    <row r="154" spans="1:1" ht="19.95" customHeight="1">
      <c r="A154" s="188"/>
    </row>
    <row r="155" spans="1:1" ht="19.95" customHeight="1">
      <c r="A155" s="188"/>
    </row>
    <row r="156" spans="1:1" ht="19.95" customHeight="1">
      <c r="A156" s="188"/>
    </row>
    <row r="157" spans="1:1" ht="19.95" customHeight="1">
      <c r="A157" s="188"/>
    </row>
    <row r="158" spans="1:1" ht="19.95" customHeight="1">
      <c r="A158" s="188"/>
    </row>
    <row r="159" spans="1:1" ht="19.95" customHeight="1">
      <c r="A159" s="188"/>
    </row>
    <row r="160" spans="1:1" ht="19.95" customHeight="1">
      <c r="A160" s="188"/>
    </row>
    <row r="161" spans="1:1" ht="19.95" customHeight="1">
      <c r="A161" s="188"/>
    </row>
    <row r="162" spans="1:1" ht="19.95" customHeight="1">
      <c r="A162" s="188"/>
    </row>
    <row r="163" spans="1:1" ht="19.95" customHeight="1">
      <c r="A163" s="188"/>
    </row>
    <row r="164" spans="1:1" ht="19.95" customHeight="1">
      <c r="A164" s="188"/>
    </row>
    <row r="165" spans="1:1" ht="19.95" customHeight="1">
      <c r="A165" s="188"/>
    </row>
    <row r="166" spans="1:1" ht="19.95" customHeight="1">
      <c r="A166" s="188"/>
    </row>
    <row r="167" spans="1:1" ht="19.95" customHeight="1">
      <c r="A167" s="188"/>
    </row>
    <row r="168" spans="1:1" ht="19.95" customHeight="1">
      <c r="A168" s="188"/>
    </row>
    <row r="169" spans="1:1" ht="19.95" customHeight="1">
      <c r="A169" s="188"/>
    </row>
    <row r="170" spans="1:1" ht="19.95" customHeight="1">
      <c r="A170" s="188"/>
    </row>
    <row r="171" spans="1:1" ht="19.95" customHeight="1">
      <c r="A171" s="188"/>
    </row>
    <row r="172" spans="1:1" ht="19.95" customHeight="1">
      <c r="A172" s="188"/>
    </row>
    <row r="173" spans="1:1" ht="19.95" customHeight="1">
      <c r="A173" s="188"/>
    </row>
    <row r="174" spans="1:1" ht="19.95" customHeight="1">
      <c r="A174" s="188"/>
    </row>
    <row r="175" spans="1:1" ht="19.95" customHeight="1">
      <c r="A175" s="188"/>
    </row>
    <row r="176" spans="1:1" ht="19.95" customHeight="1">
      <c r="A176" s="188"/>
    </row>
    <row r="177" spans="1:1" ht="19.95" customHeight="1">
      <c r="A177" s="188"/>
    </row>
    <row r="178" spans="1:1" ht="19.95" customHeight="1">
      <c r="A178" s="188"/>
    </row>
    <row r="179" spans="1:1" ht="19.95" customHeight="1">
      <c r="A179" s="188"/>
    </row>
    <row r="180" spans="1:1" ht="19.95" customHeight="1">
      <c r="A180" s="188"/>
    </row>
    <row r="181" spans="1:1" ht="19.95" customHeight="1">
      <c r="A181" s="188"/>
    </row>
    <row r="182" spans="1:1" ht="19.95" customHeight="1">
      <c r="A182" s="188"/>
    </row>
    <row r="183" spans="1:1" ht="19.95" customHeight="1">
      <c r="A183" s="188"/>
    </row>
    <row r="184" spans="1:1" ht="19.95" customHeight="1">
      <c r="A184" s="188"/>
    </row>
    <row r="185" spans="1:1" ht="19.95" customHeight="1">
      <c r="A185" s="188"/>
    </row>
    <row r="186" spans="1:1" ht="19.95" customHeight="1">
      <c r="A186" s="188"/>
    </row>
    <row r="187" spans="1:1" ht="19.95" customHeight="1">
      <c r="A187" s="188"/>
    </row>
    <row r="188" spans="1:1" ht="19.95" customHeight="1">
      <c r="A188" s="188"/>
    </row>
    <row r="189" spans="1:1" ht="19.95" customHeight="1">
      <c r="A189" s="188"/>
    </row>
    <row r="190" spans="1:1" ht="19.95" customHeight="1">
      <c r="A190" s="188"/>
    </row>
    <row r="191" spans="1:1" ht="19.95" customHeight="1">
      <c r="A191" s="188"/>
    </row>
    <row r="192" spans="1:1" ht="19.95" customHeight="1">
      <c r="A192" s="188"/>
    </row>
    <row r="193" spans="1:1" ht="19.95" customHeight="1">
      <c r="A193" s="188"/>
    </row>
    <row r="194" spans="1:1" ht="19.95" customHeight="1">
      <c r="A194" s="188"/>
    </row>
    <row r="195" spans="1:1" ht="19.95" customHeight="1">
      <c r="A195" s="188"/>
    </row>
    <row r="196" spans="1:1" ht="19.95" customHeight="1">
      <c r="A196" s="188"/>
    </row>
    <row r="197" spans="1:1" ht="19.95" customHeight="1">
      <c r="A197" s="188"/>
    </row>
    <row r="198" spans="1:1" ht="19.95" customHeight="1">
      <c r="A198" s="188"/>
    </row>
    <row r="199" spans="1:1" ht="19.95" customHeight="1">
      <c r="A199" s="188"/>
    </row>
    <row r="200" spans="1:1" ht="19.95" customHeight="1">
      <c r="A200" s="188"/>
    </row>
    <row r="201" spans="1:1" ht="19.95" customHeight="1">
      <c r="A201" s="188"/>
    </row>
    <row r="202" spans="1:1" ht="19.95" customHeight="1">
      <c r="A202" s="188"/>
    </row>
    <row r="203" spans="1:1" ht="19.95" customHeight="1">
      <c r="A203" s="188"/>
    </row>
    <row r="204" spans="1:1" ht="19.95" customHeight="1">
      <c r="A204" s="188"/>
    </row>
    <row r="205" spans="1:1" ht="19.95" customHeight="1">
      <c r="A205" s="188"/>
    </row>
    <row r="206" spans="1:1" ht="19.95" customHeight="1">
      <c r="A206" s="188"/>
    </row>
    <row r="207" spans="1:1" ht="19.95" customHeight="1">
      <c r="A207" s="188"/>
    </row>
    <row r="208" spans="1:1" ht="19.95" customHeight="1">
      <c r="A208" s="188"/>
    </row>
    <row r="209" spans="1:1" ht="19.95" customHeight="1">
      <c r="A209" s="188"/>
    </row>
    <row r="210" spans="1:1" ht="19.95" customHeight="1">
      <c r="A210" s="188"/>
    </row>
    <row r="211" spans="1:1" ht="19.95" customHeight="1">
      <c r="A211" s="188"/>
    </row>
    <row r="212" spans="1:1" ht="19.95" customHeight="1">
      <c r="A212" s="188"/>
    </row>
    <row r="213" spans="1:1" ht="19.95" customHeight="1">
      <c r="A213" s="188"/>
    </row>
    <row r="214" spans="1:1" ht="19.95" customHeight="1">
      <c r="A214" s="188"/>
    </row>
    <row r="215" spans="1:1" ht="19.95" customHeight="1">
      <c r="A215" s="188"/>
    </row>
    <row r="216" spans="1:1" ht="19.95" customHeight="1">
      <c r="A216" s="188"/>
    </row>
    <row r="217" spans="1:1" ht="19.95" customHeight="1">
      <c r="A217" s="188"/>
    </row>
    <row r="218" spans="1:1" ht="19.95" customHeight="1">
      <c r="A218" s="188"/>
    </row>
    <row r="219" spans="1:1" ht="19.95" customHeight="1">
      <c r="A219" s="188"/>
    </row>
    <row r="220" spans="1:1" ht="19.95" customHeight="1">
      <c r="A220" s="188"/>
    </row>
    <row r="221" spans="1:1" ht="19.95" customHeight="1">
      <c r="A221" s="188"/>
    </row>
    <row r="222" spans="1:1" ht="19.95" customHeight="1">
      <c r="A222" s="188"/>
    </row>
    <row r="223" spans="1:1" ht="19.95" customHeight="1">
      <c r="A223" s="188"/>
    </row>
    <row r="224" spans="1:1" ht="19.95" customHeight="1">
      <c r="A224" s="188"/>
    </row>
    <row r="225" spans="1:1" ht="19.95" customHeight="1">
      <c r="A225" s="188"/>
    </row>
    <row r="226" spans="1:1" ht="19.95" customHeight="1">
      <c r="A226" s="188"/>
    </row>
    <row r="227" spans="1:1" ht="19.95" customHeight="1">
      <c r="A227" s="188"/>
    </row>
    <row r="228" spans="1:1" ht="19.95" customHeight="1">
      <c r="A228" s="188"/>
    </row>
    <row r="229" spans="1:1" ht="19.95" customHeight="1">
      <c r="A229" s="188"/>
    </row>
    <row r="230" spans="1:1" ht="19.95" customHeight="1">
      <c r="A230" s="188"/>
    </row>
    <row r="231" spans="1:1" ht="19.95" customHeight="1">
      <c r="A231" s="188"/>
    </row>
    <row r="232" spans="1:1" ht="19.95" customHeight="1">
      <c r="A232" s="188"/>
    </row>
    <row r="233" spans="1:1" ht="19.95" customHeight="1">
      <c r="A233" s="188"/>
    </row>
    <row r="234" spans="1:1" ht="19.95" customHeight="1">
      <c r="A234" s="188"/>
    </row>
    <row r="235" spans="1:1" ht="19.95" customHeight="1">
      <c r="A235" s="188"/>
    </row>
    <row r="236" spans="1:1" ht="19.95" customHeight="1">
      <c r="A236" s="188"/>
    </row>
    <row r="237" spans="1:1" ht="19.95" customHeight="1">
      <c r="A237" s="188"/>
    </row>
    <row r="238" spans="1:1" ht="19.95" customHeight="1">
      <c r="A238" s="188"/>
    </row>
    <row r="239" spans="1:1" ht="19.95" customHeight="1">
      <c r="A239" s="188"/>
    </row>
    <row r="240" spans="1:1" ht="19.95" customHeight="1">
      <c r="A240" s="188"/>
    </row>
    <row r="241" spans="1:1" ht="19.95" customHeight="1">
      <c r="A241" s="188"/>
    </row>
    <row r="242" spans="1:1" ht="19.95" customHeight="1">
      <c r="A242" s="188"/>
    </row>
    <row r="243" spans="1:1" ht="19.95" customHeight="1">
      <c r="A243" s="188"/>
    </row>
    <row r="244" spans="1:1" ht="19.95" customHeight="1">
      <c r="A244" s="188"/>
    </row>
    <row r="245" spans="1:1" ht="19.95" customHeight="1">
      <c r="A245" s="188"/>
    </row>
    <row r="246" spans="1:1" ht="19.95" customHeight="1">
      <c r="A246" s="188"/>
    </row>
    <row r="247" spans="1:1" ht="19.95" customHeight="1">
      <c r="A247" s="188"/>
    </row>
    <row r="248" spans="1:1" ht="19.95" customHeight="1">
      <c r="A248" s="188"/>
    </row>
    <row r="249" spans="1:1" ht="19.95" customHeight="1">
      <c r="A249" s="188"/>
    </row>
    <row r="250" spans="1:1" ht="19.95" customHeight="1">
      <c r="A250" s="188"/>
    </row>
    <row r="251" spans="1:1" ht="19.95" customHeight="1">
      <c r="A251" s="188"/>
    </row>
    <row r="252" spans="1:1" ht="19.95" customHeight="1">
      <c r="A252" s="188"/>
    </row>
    <row r="253" spans="1:1" ht="19.95" customHeight="1">
      <c r="A253" s="188"/>
    </row>
    <row r="254" spans="1:1" ht="19.95" customHeight="1">
      <c r="A254" s="188"/>
    </row>
    <row r="255" spans="1:1" ht="19.95" customHeight="1">
      <c r="A255" s="188"/>
    </row>
    <row r="256" spans="1:1" ht="19.95" customHeight="1">
      <c r="A256" s="188"/>
    </row>
    <row r="257" spans="1:1" ht="19.95" customHeight="1">
      <c r="A257" s="188"/>
    </row>
    <row r="258" spans="1:1" ht="19.95" customHeight="1">
      <c r="A258" s="188"/>
    </row>
    <row r="259" spans="1:1" ht="19.95" customHeight="1">
      <c r="A259" s="188"/>
    </row>
    <row r="260" spans="1:1" ht="19.95" customHeight="1">
      <c r="A260" s="188"/>
    </row>
    <row r="261" spans="1:1" ht="19.95" customHeight="1">
      <c r="A261" s="188"/>
    </row>
    <row r="262" spans="1:1" ht="19.95" customHeight="1">
      <c r="A262" s="188"/>
    </row>
    <row r="263" spans="1:1" ht="19.95" customHeight="1">
      <c r="A263" s="188"/>
    </row>
    <row r="264" spans="1:1" ht="19.95" customHeight="1">
      <c r="A264" s="188"/>
    </row>
    <row r="265" spans="1:1" ht="19.95" customHeight="1">
      <c r="A265" s="188"/>
    </row>
    <row r="266" spans="1:1" ht="19.95" customHeight="1">
      <c r="A266" s="188"/>
    </row>
    <row r="267" spans="1:1" ht="19.95" customHeight="1">
      <c r="A267" s="188"/>
    </row>
    <row r="268" spans="1:1" ht="19.95" customHeight="1">
      <c r="A268" s="188"/>
    </row>
    <row r="269" spans="1:1" ht="19.95" customHeight="1">
      <c r="A269" s="188"/>
    </row>
    <row r="270" spans="1:1" ht="19.95" customHeight="1">
      <c r="A270" s="188"/>
    </row>
    <row r="271" spans="1:1" ht="19.95" customHeight="1">
      <c r="A271" s="188"/>
    </row>
    <row r="272" spans="1:1" ht="19.95" customHeight="1">
      <c r="A272" s="188"/>
    </row>
    <row r="273" spans="1:1" ht="19.95" customHeight="1">
      <c r="A273" s="188"/>
    </row>
    <row r="274" spans="1:1" ht="19.95" customHeight="1">
      <c r="A274" s="188"/>
    </row>
    <row r="275" spans="1:1" ht="19.95" customHeight="1">
      <c r="A275" s="188"/>
    </row>
    <row r="276" spans="1:1" ht="19.95" customHeight="1">
      <c r="A276" s="188"/>
    </row>
    <row r="277" spans="1:1" ht="19.95" customHeight="1">
      <c r="A277" s="188"/>
    </row>
    <row r="278" spans="1:1" ht="19.95" customHeight="1">
      <c r="A278" s="188"/>
    </row>
    <row r="279" spans="1:1" ht="19.95" customHeight="1">
      <c r="A279" s="188"/>
    </row>
    <row r="280" spans="1:1" ht="19.95" customHeight="1">
      <c r="A280" s="188"/>
    </row>
    <row r="281" spans="1:1" ht="19.95" customHeight="1">
      <c r="A281" s="188"/>
    </row>
    <row r="282" spans="1:1" ht="19.95" customHeight="1">
      <c r="A282" s="188"/>
    </row>
    <row r="283" spans="1:1" ht="19.95" customHeight="1">
      <c r="A283" s="188"/>
    </row>
    <row r="284" spans="1:1" ht="19.95" customHeight="1">
      <c r="A284" s="188"/>
    </row>
    <row r="285" spans="1:1" ht="19.95" customHeight="1">
      <c r="A285" s="188"/>
    </row>
    <row r="286" spans="1:1" ht="19.95" customHeight="1">
      <c r="A286" s="188"/>
    </row>
    <row r="287" spans="1:1" ht="19.95" customHeight="1">
      <c r="A287" s="188"/>
    </row>
    <row r="288" spans="1:1" ht="19.95" customHeight="1">
      <c r="A288" s="188"/>
    </row>
    <row r="289" spans="1:1" ht="19.95" customHeight="1">
      <c r="A289" s="188"/>
    </row>
    <row r="290" spans="1:1" ht="19.95" customHeight="1">
      <c r="A290" s="188"/>
    </row>
    <row r="291" spans="1:1" ht="19.95" customHeight="1">
      <c r="A291" s="188"/>
    </row>
    <row r="292" spans="1:1" ht="19.95" customHeight="1">
      <c r="A292" s="188"/>
    </row>
    <row r="293" spans="1:1" ht="19.95" customHeight="1">
      <c r="A293" s="188"/>
    </row>
    <row r="294" spans="1:1" ht="19.95" customHeight="1">
      <c r="A294" s="188"/>
    </row>
    <row r="295" spans="1:1" ht="19.95" customHeight="1">
      <c r="A295" s="188"/>
    </row>
    <row r="296" spans="1:1" ht="19.95" customHeight="1">
      <c r="A296" s="188"/>
    </row>
    <row r="297" spans="1:1" ht="19.95" customHeight="1">
      <c r="A297" s="188"/>
    </row>
    <row r="298" spans="1:1" ht="19.95" customHeight="1">
      <c r="A298" s="188"/>
    </row>
    <row r="299" spans="1:1" ht="19.95" customHeight="1">
      <c r="A299" s="188"/>
    </row>
    <row r="300" spans="1:1" ht="19.95" customHeight="1">
      <c r="A300" s="188"/>
    </row>
    <row r="301" spans="1:1" ht="19.95" customHeight="1">
      <c r="A301" s="188"/>
    </row>
    <row r="302" spans="1:1" ht="19.95" customHeight="1">
      <c r="A302" s="188"/>
    </row>
    <row r="303" spans="1:1" ht="19.95" customHeight="1">
      <c r="A303" s="188"/>
    </row>
    <row r="304" spans="1:1" ht="19.95" customHeight="1">
      <c r="A304" s="188"/>
    </row>
    <row r="305" ht="19.95" customHeight="1"/>
    <row r="306" ht="19.95" customHeight="1"/>
    <row r="307" ht="19.95" customHeight="1"/>
    <row r="308" ht="19.95" customHeight="1"/>
    <row r="309" ht="19.95" customHeight="1"/>
    <row r="310" ht="19.95" customHeight="1"/>
    <row r="311" ht="19.95" customHeight="1"/>
    <row r="312" ht="19.95" customHeight="1"/>
    <row r="313" ht="19.95" customHeight="1"/>
    <row r="314" ht="19.95" customHeight="1"/>
    <row r="315" ht="19.95" customHeight="1"/>
    <row r="316" ht="19.95" customHeight="1"/>
    <row r="317" ht="19.95" customHeight="1"/>
    <row r="318" ht="19.95" customHeight="1"/>
    <row r="319" ht="19.95" customHeight="1"/>
    <row r="320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</sheetData>
  <phoneticPr fontId="87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79E02-81FC-4FC8-9770-52A60CA7023D}">
  <sheetPr codeName="Tabelle21"/>
  <dimension ref="A1:V447"/>
  <sheetViews>
    <sheetView zoomScale="90" zoomScaleNormal="90" workbookViewId="0">
      <pane ySplit="1" topLeftCell="A74" activePane="bottomLeft" state="frozen"/>
      <selection pane="bottomLeft" activeCell="C81" sqref="C81"/>
    </sheetView>
  </sheetViews>
  <sheetFormatPr baseColWidth="10" defaultColWidth="11.5546875" defaultRowHeight="15.6"/>
  <cols>
    <col min="1" max="1" width="9.33203125" style="329" customWidth="1"/>
    <col min="2" max="2" width="4.88671875" style="11" customWidth="1"/>
    <col min="3" max="3" width="33" style="11" bestFit="1" customWidth="1"/>
    <col min="4" max="4" width="11.5546875" style="11"/>
    <col min="5" max="5" width="18.6640625" style="11" bestFit="1" customWidth="1"/>
    <col min="6" max="7" width="16.6640625" style="11" customWidth="1"/>
    <col min="8" max="8" width="13" style="11" bestFit="1" customWidth="1"/>
    <col min="9" max="9" width="12.88671875" style="9" customWidth="1"/>
    <col min="10" max="14" width="12.88671875" style="11" customWidth="1"/>
    <col min="16" max="16" width="13.44140625" style="11" bestFit="1" customWidth="1"/>
    <col min="17" max="17" width="11.5546875" style="11" bestFit="1" customWidth="1"/>
    <col min="18" max="18" width="11.5546875" style="11" customWidth="1"/>
    <col min="19" max="19" width="11.5546875" style="187"/>
    <col min="20" max="20" width="9.88671875" style="11" customWidth="1"/>
    <col min="21" max="16384" width="11.5546875" style="11"/>
  </cols>
  <sheetData>
    <row r="1" spans="1:22" ht="59.4" customHeight="1">
      <c r="A1" s="327" t="s">
        <v>563</v>
      </c>
      <c r="B1" s="185" t="s">
        <v>574</v>
      </c>
      <c r="C1" s="202" t="s">
        <v>577</v>
      </c>
      <c r="D1" s="422" t="s">
        <v>918</v>
      </c>
      <c r="E1" s="433" t="s">
        <v>960</v>
      </c>
      <c r="F1" s="433" t="s">
        <v>937</v>
      </c>
      <c r="G1" s="433" t="s">
        <v>938</v>
      </c>
      <c r="H1" s="433" t="s">
        <v>939</v>
      </c>
      <c r="I1" s="433" t="s">
        <v>940</v>
      </c>
      <c r="J1" s="435" t="s">
        <v>959</v>
      </c>
      <c r="K1" s="434" t="s">
        <v>941</v>
      </c>
      <c r="L1" s="434" t="s">
        <v>942</v>
      </c>
      <c r="M1" s="434" t="s">
        <v>943</v>
      </c>
      <c r="N1" s="434" t="s">
        <v>944</v>
      </c>
      <c r="P1" s="200"/>
      <c r="Q1" s="201"/>
      <c r="R1" s="200"/>
      <c r="S1" s="198"/>
      <c r="T1" s="199"/>
      <c r="U1" s="200"/>
      <c r="V1" s="200"/>
    </row>
    <row r="2" spans="1:22" ht="19.95" customHeight="1">
      <c r="A2" s="328" t="s">
        <v>97</v>
      </c>
    </row>
    <row r="3" spans="1:22" ht="19.95" customHeight="1">
      <c r="A3" s="328" t="s">
        <v>796</v>
      </c>
      <c r="B3" s="277"/>
      <c r="C3" s="352"/>
      <c r="D3" s="277"/>
      <c r="E3" s="352"/>
      <c r="F3" s="352"/>
      <c r="G3" s="351" t="str">
        <f>HYPERLINK("#'SW'!Q" &amp; H3,"Link")</f>
        <v>Link</v>
      </c>
      <c r="H3" s="352"/>
      <c r="I3" s="426"/>
      <c r="J3" s="277"/>
      <c r="K3" s="277"/>
      <c r="L3" s="277"/>
      <c r="M3" s="277"/>
      <c r="N3" s="277"/>
      <c r="P3" s="277"/>
      <c r="Q3" s="277"/>
      <c r="R3" s="277"/>
      <c r="S3" s="279"/>
      <c r="T3" s="279"/>
      <c r="U3" s="279"/>
      <c r="V3" s="279"/>
    </row>
    <row r="4" spans="1:22" ht="19.95" customHeight="1">
      <c r="A4" s="328" t="s">
        <v>747</v>
      </c>
      <c r="B4" s="182"/>
      <c r="C4" s="336" t="s">
        <v>47</v>
      </c>
      <c r="D4" s="182"/>
      <c r="E4" s="182"/>
      <c r="F4" s="182"/>
      <c r="G4" s="182"/>
      <c r="H4" s="182"/>
      <c r="I4" s="427"/>
      <c r="J4" s="182"/>
      <c r="K4" s="182"/>
      <c r="L4" s="182"/>
      <c r="M4" s="182"/>
      <c r="N4" s="182"/>
      <c r="P4" s="182"/>
      <c r="Q4" s="182"/>
      <c r="R4" s="182"/>
      <c r="S4" s="183"/>
      <c r="T4" s="182"/>
      <c r="U4" s="182"/>
      <c r="V4" s="182"/>
    </row>
    <row r="5" spans="1:22" ht="19.95" customHeight="1">
      <c r="A5" s="328" t="s">
        <v>565</v>
      </c>
      <c r="B5" s="184">
        <v>1</v>
      </c>
      <c r="C5" s="336" t="s">
        <v>745</v>
      </c>
      <c r="D5" s="182"/>
      <c r="E5" s="343"/>
      <c r="F5" s="343" t="s">
        <v>131</v>
      </c>
      <c r="G5" s="336" t="s">
        <v>54</v>
      </c>
      <c r="H5" s="182" t="s">
        <v>786</v>
      </c>
      <c r="I5" s="427"/>
      <c r="J5" s="182"/>
      <c r="K5" s="182"/>
      <c r="L5" s="182"/>
      <c r="M5" s="182"/>
      <c r="N5" s="182"/>
      <c r="P5" s="182"/>
      <c r="Q5" s="184"/>
      <c r="R5" s="195"/>
      <c r="S5" s="184"/>
      <c r="T5" s="182"/>
      <c r="U5" s="182"/>
      <c r="V5" s="182"/>
    </row>
    <row r="6" spans="1:22" ht="19.95" customHeight="1">
      <c r="A6" s="328" t="s">
        <v>565</v>
      </c>
      <c r="B6" s="184">
        <f>B5+1</f>
        <v>2</v>
      </c>
      <c r="C6" s="336" t="s">
        <v>746</v>
      </c>
      <c r="D6" s="182"/>
      <c r="E6" s="343"/>
      <c r="F6" s="343" t="s">
        <v>130</v>
      </c>
      <c r="G6" s="336" t="s">
        <v>51</v>
      </c>
      <c r="H6" s="182" t="s">
        <v>787</v>
      </c>
      <c r="I6" s="427"/>
      <c r="J6" s="182"/>
      <c r="K6" s="182"/>
      <c r="L6" s="182"/>
      <c r="M6" s="182"/>
      <c r="N6" s="182"/>
      <c r="Q6" s="184"/>
      <c r="R6" s="195"/>
      <c r="S6" s="184"/>
      <c r="T6" s="182"/>
      <c r="U6" s="182"/>
      <c r="V6" s="182"/>
    </row>
    <row r="7" spans="1:22" ht="19.95" customHeight="1">
      <c r="A7" s="328" t="s">
        <v>565</v>
      </c>
      <c r="B7" s="184">
        <f t="shared" ref="B7:B14" si="0">B6+1</f>
        <v>3</v>
      </c>
      <c r="C7" s="336" t="s">
        <v>743</v>
      </c>
      <c r="D7" s="182"/>
      <c r="E7" s="343"/>
      <c r="F7" s="343" t="s">
        <v>131</v>
      </c>
      <c r="G7" s="336" t="s">
        <v>54</v>
      </c>
      <c r="H7" s="182" t="s">
        <v>785</v>
      </c>
      <c r="I7" s="427"/>
      <c r="J7" s="182"/>
      <c r="K7" s="182"/>
      <c r="L7" s="182"/>
      <c r="M7" s="182"/>
      <c r="N7" s="182"/>
      <c r="P7" s="182"/>
      <c r="Q7" s="195"/>
      <c r="R7" s="195"/>
      <c r="S7" s="184"/>
      <c r="T7" s="182"/>
      <c r="U7" s="182"/>
      <c r="V7" s="182"/>
    </row>
    <row r="8" spans="1:22" ht="19.95" customHeight="1">
      <c r="A8" s="328" t="s">
        <v>565</v>
      </c>
      <c r="B8" s="184">
        <f t="shared" si="0"/>
        <v>4</v>
      </c>
      <c r="C8" s="336" t="s">
        <v>742</v>
      </c>
      <c r="D8" s="182"/>
      <c r="E8" s="343"/>
      <c r="F8" s="343" t="s">
        <v>130</v>
      </c>
      <c r="G8" s="349" t="s">
        <v>790</v>
      </c>
      <c r="H8" s="182" t="s">
        <v>788</v>
      </c>
      <c r="I8" s="427"/>
      <c r="J8" s="182"/>
      <c r="K8" s="182"/>
      <c r="L8" s="182"/>
      <c r="M8" s="182"/>
      <c r="N8" s="182"/>
      <c r="P8" s="182"/>
      <c r="Q8" s="195"/>
      <c r="R8" s="195"/>
      <c r="S8" s="184"/>
      <c r="T8" s="182"/>
      <c r="U8" s="182"/>
      <c r="V8" s="182"/>
    </row>
    <row r="9" spans="1:22" ht="19.95" customHeight="1">
      <c r="A9" s="328" t="s">
        <v>565</v>
      </c>
      <c r="B9" s="184">
        <f t="shared" si="0"/>
        <v>5</v>
      </c>
      <c r="C9" s="390" t="s">
        <v>743</v>
      </c>
      <c r="D9" s="182"/>
      <c r="E9" s="343"/>
      <c r="F9" s="343" t="s">
        <v>131</v>
      </c>
      <c r="G9" s="349" t="s">
        <v>792</v>
      </c>
      <c r="H9" s="182" t="s">
        <v>785</v>
      </c>
      <c r="I9" s="427"/>
      <c r="J9" s="182"/>
      <c r="K9" s="182"/>
      <c r="L9" s="182"/>
      <c r="M9" s="182"/>
      <c r="N9" s="182"/>
      <c r="P9" s="182"/>
      <c r="Q9" s="184"/>
      <c r="R9" s="195"/>
      <c r="S9" s="184"/>
      <c r="T9" s="182"/>
      <c r="U9" s="182"/>
      <c r="V9" s="182"/>
    </row>
    <row r="10" spans="1:22" ht="19.95" customHeight="1">
      <c r="A10" s="328" t="s">
        <v>565</v>
      </c>
      <c r="B10" s="184">
        <f t="shared" si="0"/>
        <v>6</v>
      </c>
      <c r="C10" s="336" t="s">
        <v>12</v>
      </c>
      <c r="D10" s="182"/>
      <c r="E10" s="343"/>
      <c r="F10" s="343" t="s">
        <v>130</v>
      </c>
      <c r="G10" s="349" t="s">
        <v>789</v>
      </c>
      <c r="H10" s="139"/>
      <c r="I10" s="427"/>
      <c r="J10" s="182"/>
      <c r="K10" s="182"/>
      <c r="L10" s="182"/>
      <c r="M10" s="182"/>
      <c r="N10" s="182"/>
      <c r="P10" s="182"/>
      <c r="Q10" s="184"/>
      <c r="R10" s="195"/>
      <c r="S10" s="184"/>
      <c r="T10" s="139"/>
      <c r="U10" s="182"/>
      <c r="V10" s="182"/>
    </row>
    <row r="11" spans="1:22" ht="19.95" customHeight="1">
      <c r="A11" s="328" t="s">
        <v>565</v>
      </c>
      <c r="B11" s="184">
        <f t="shared" si="0"/>
        <v>7</v>
      </c>
      <c r="C11" s="391" t="s">
        <v>875</v>
      </c>
      <c r="D11" s="182"/>
      <c r="E11" s="342"/>
      <c r="F11" s="342" t="s">
        <v>131</v>
      </c>
      <c r="G11" s="350" t="s">
        <v>790</v>
      </c>
      <c r="H11" s="139" t="s">
        <v>876</v>
      </c>
      <c r="I11" s="427"/>
      <c r="J11" s="182"/>
      <c r="K11" s="182"/>
      <c r="L11" s="182"/>
      <c r="M11" s="182"/>
      <c r="N11" s="182"/>
      <c r="P11" s="182"/>
      <c r="Q11" s="155"/>
      <c r="R11" s="197"/>
      <c r="S11" s="155"/>
      <c r="T11" s="139"/>
      <c r="U11" s="182"/>
      <c r="V11" s="182"/>
    </row>
    <row r="12" spans="1:22" ht="19.95" customHeight="1">
      <c r="A12" s="328" t="s">
        <v>565</v>
      </c>
      <c r="B12" s="184">
        <f t="shared" si="0"/>
        <v>8</v>
      </c>
      <c r="C12" s="182" t="s">
        <v>744</v>
      </c>
      <c r="D12" s="182"/>
      <c r="E12" s="182"/>
      <c r="F12" s="182" t="s">
        <v>130</v>
      </c>
      <c r="G12" s="182" t="s">
        <v>749</v>
      </c>
      <c r="H12" s="182" t="s">
        <v>787</v>
      </c>
      <c r="I12" s="427"/>
      <c r="J12" s="182"/>
      <c r="K12" s="182"/>
      <c r="L12" s="182"/>
      <c r="M12" s="182"/>
      <c r="N12" s="182"/>
      <c r="P12" s="182"/>
      <c r="Q12" s="182"/>
      <c r="R12" s="182"/>
      <c r="S12" s="182"/>
      <c r="T12" s="182"/>
      <c r="U12" s="182"/>
      <c r="V12" s="182"/>
    </row>
    <row r="13" spans="1:22" ht="19.95" customHeight="1">
      <c r="A13" s="328" t="s">
        <v>565</v>
      </c>
      <c r="B13" s="184">
        <f t="shared" si="0"/>
        <v>9</v>
      </c>
      <c r="C13" s="182" t="s">
        <v>13</v>
      </c>
      <c r="D13" s="182"/>
      <c r="E13" s="182"/>
      <c r="F13" s="182" t="s">
        <v>130</v>
      </c>
      <c r="G13" s="182" t="s">
        <v>343</v>
      </c>
      <c r="H13" s="182"/>
      <c r="I13" s="427"/>
      <c r="J13" s="182"/>
      <c r="K13" s="182"/>
      <c r="L13" s="182"/>
      <c r="M13" s="182"/>
      <c r="N13" s="182"/>
      <c r="P13" s="182"/>
      <c r="Q13" s="182"/>
      <c r="R13" s="182"/>
      <c r="S13" s="182"/>
      <c r="T13" s="182"/>
      <c r="U13" s="182"/>
      <c r="V13" s="182"/>
    </row>
    <row r="14" spans="1:22" ht="19.95" customHeight="1">
      <c r="A14" s="328" t="s">
        <v>565</v>
      </c>
      <c r="B14" s="184">
        <f t="shared" si="0"/>
        <v>10</v>
      </c>
      <c r="C14" s="336" t="s">
        <v>115</v>
      </c>
      <c r="E14" s="343"/>
      <c r="F14" s="343" t="s">
        <v>131</v>
      </c>
      <c r="G14" s="343" t="s">
        <v>749</v>
      </c>
      <c r="H14" s="349" t="s">
        <v>791</v>
      </c>
    </row>
    <row r="15" spans="1:22" ht="19.95" customHeight="1">
      <c r="A15" s="328" t="s">
        <v>797</v>
      </c>
      <c r="B15" s="184"/>
      <c r="C15" s="336"/>
    </row>
    <row r="16" spans="1:22" ht="19.95" customHeight="1">
      <c r="A16" s="328" t="s">
        <v>796</v>
      </c>
      <c r="B16" s="277"/>
      <c r="C16" s="277" t="s">
        <v>740</v>
      </c>
      <c r="D16" s="335"/>
      <c r="E16" s="277"/>
      <c r="F16" s="277"/>
      <c r="G16" s="331" t="str">
        <f>HYPERLINK("#'SW'!Q" &amp; H16,"Link")</f>
        <v>Link</v>
      </c>
      <c r="H16" s="277">
        <f>MATCH("SW002",SW!Q:Q,0)</f>
        <v>13</v>
      </c>
      <c r="I16" s="428"/>
      <c r="J16" s="331"/>
      <c r="K16" s="331"/>
      <c r="L16" s="331"/>
      <c r="M16" s="331"/>
      <c r="N16" s="331"/>
      <c r="P16" s="277"/>
      <c r="Q16" s="277"/>
      <c r="R16" s="277"/>
      <c r="S16" s="279"/>
      <c r="T16" s="279"/>
      <c r="U16" s="279"/>
      <c r="V16" s="279"/>
    </row>
    <row r="17" spans="1:22" ht="19.95" customHeight="1">
      <c r="A17" s="328" t="s">
        <v>747</v>
      </c>
      <c r="C17" s="336" t="s">
        <v>728</v>
      </c>
      <c r="I17" s="429"/>
      <c r="J17" s="337"/>
      <c r="K17" s="337"/>
      <c r="L17" s="337"/>
      <c r="M17" s="337"/>
      <c r="N17" s="337"/>
    </row>
    <row r="18" spans="1:22" ht="19.95" customHeight="1">
      <c r="A18" s="328" t="s">
        <v>565</v>
      </c>
      <c r="B18" s="11">
        <f>B17+1</f>
        <v>1</v>
      </c>
      <c r="C18" s="336" t="s">
        <v>745</v>
      </c>
      <c r="E18" s="195"/>
      <c r="F18" s="195"/>
      <c r="G18" s="206"/>
      <c r="H18" s="206"/>
    </row>
    <row r="19" spans="1:22" ht="19.95" customHeight="1">
      <c r="A19" s="328" t="s">
        <v>565</v>
      </c>
      <c r="B19" s="11">
        <f>B18+1</f>
        <v>2</v>
      </c>
      <c r="C19" s="336" t="s">
        <v>746</v>
      </c>
      <c r="E19" s="195"/>
      <c r="F19" s="195"/>
      <c r="G19" s="206"/>
      <c r="H19" s="206"/>
    </row>
    <row r="20" spans="1:22" ht="19.95" customHeight="1">
      <c r="A20" s="328" t="s">
        <v>565</v>
      </c>
      <c r="B20" s="11">
        <f>B19+1</f>
        <v>3</v>
      </c>
      <c r="C20" s="336" t="s">
        <v>743</v>
      </c>
      <c r="E20" s="195"/>
      <c r="F20" s="195"/>
      <c r="G20" s="206"/>
      <c r="H20" s="206"/>
    </row>
    <row r="21" spans="1:22" ht="19.95" customHeight="1">
      <c r="A21" s="328" t="s">
        <v>565</v>
      </c>
      <c r="B21" s="11">
        <f>B20+1</f>
        <v>4</v>
      </c>
      <c r="C21" s="336" t="s">
        <v>742</v>
      </c>
      <c r="E21" s="336"/>
      <c r="F21" s="336"/>
      <c r="G21" s="206"/>
      <c r="H21" s="206"/>
    </row>
    <row r="22" spans="1:22" ht="19.95" customHeight="1">
      <c r="A22" s="328" t="s">
        <v>565</v>
      </c>
      <c r="B22" s="11">
        <f>B21+1</f>
        <v>5</v>
      </c>
      <c r="C22" s="336" t="s">
        <v>743</v>
      </c>
      <c r="E22" s="336"/>
      <c r="F22" s="336"/>
      <c r="G22" s="206"/>
      <c r="H22" s="206"/>
    </row>
    <row r="23" spans="1:22" ht="19.95" customHeight="1">
      <c r="A23" s="328" t="s">
        <v>565</v>
      </c>
      <c r="B23" s="11">
        <f t="shared" ref="B23:B33" si="1">B22+1</f>
        <v>6</v>
      </c>
      <c r="C23" s="336" t="s">
        <v>12</v>
      </c>
      <c r="E23" s="336"/>
      <c r="F23" s="336"/>
      <c r="G23" s="206"/>
      <c r="H23" s="206"/>
    </row>
    <row r="24" spans="1:22" ht="19.95" customHeight="1">
      <c r="A24" s="328" t="s">
        <v>797</v>
      </c>
      <c r="C24" s="206"/>
      <c r="E24" s="206"/>
      <c r="F24" s="206"/>
    </row>
    <row r="25" spans="1:22" ht="19.95" customHeight="1">
      <c r="A25" s="328" t="s">
        <v>796</v>
      </c>
      <c r="B25" s="277"/>
      <c r="C25" s="277" t="s">
        <v>736</v>
      </c>
      <c r="D25" s="277"/>
      <c r="E25" s="277"/>
      <c r="F25" s="277"/>
      <c r="G25" s="331" t="str">
        <f>HYPERLINK("#'SW'!Q" &amp; H25,"Link")</f>
        <v>Link</v>
      </c>
      <c r="H25" s="335">
        <f>MATCH("SW003",SW!Q:Q,0)</f>
        <v>14</v>
      </c>
      <c r="I25" s="426"/>
      <c r="J25" s="277"/>
      <c r="K25" s="277"/>
      <c r="L25" s="277"/>
      <c r="M25" s="277"/>
      <c r="N25" s="277"/>
      <c r="P25" s="277"/>
      <c r="Q25" s="277"/>
      <c r="R25" s="277"/>
      <c r="S25" s="279"/>
      <c r="T25" s="279"/>
      <c r="U25" s="279"/>
      <c r="V25" s="279"/>
    </row>
    <row r="26" spans="1:22" ht="19.95" customHeight="1">
      <c r="A26" s="328" t="s">
        <v>747</v>
      </c>
      <c r="C26" s="338" t="s">
        <v>748</v>
      </c>
      <c r="E26" s="206"/>
      <c r="F26" s="206"/>
    </row>
    <row r="27" spans="1:22">
      <c r="A27" s="328" t="s">
        <v>565</v>
      </c>
      <c r="B27" s="11">
        <f t="shared" si="1"/>
        <v>1</v>
      </c>
      <c r="C27" s="336" t="s">
        <v>745</v>
      </c>
      <c r="E27" s="206"/>
      <c r="F27" s="206"/>
    </row>
    <row r="28" spans="1:22" ht="19.95" customHeight="1">
      <c r="A28" s="328" t="s">
        <v>565</v>
      </c>
      <c r="B28" s="11">
        <f t="shared" si="1"/>
        <v>2</v>
      </c>
      <c r="C28" s="336" t="s">
        <v>746</v>
      </c>
      <c r="E28" s="206"/>
      <c r="F28" s="206"/>
    </row>
    <row r="29" spans="1:22" ht="19.95" customHeight="1">
      <c r="A29" s="328" t="s">
        <v>797</v>
      </c>
    </row>
    <row r="30" spans="1:22" ht="19.95" customHeight="1">
      <c r="A30" s="328" t="s">
        <v>796</v>
      </c>
      <c r="B30" s="277"/>
      <c r="C30" s="277" t="s">
        <v>737</v>
      </c>
      <c r="D30" s="277"/>
      <c r="E30" s="277"/>
      <c r="F30" s="277"/>
      <c r="G30" s="331" t="str">
        <f>HYPERLINK("#'SW'!Q" &amp; H30,"Link")</f>
        <v>Link</v>
      </c>
      <c r="H30" s="335">
        <f>MATCH("SW004",SW!Q:Q,0)</f>
        <v>15</v>
      </c>
      <c r="I30" s="426"/>
      <c r="J30" s="277"/>
      <c r="K30" s="277"/>
      <c r="L30" s="277"/>
      <c r="M30" s="277"/>
      <c r="N30" s="277"/>
      <c r="P30" s="277"/>
      <c r="Q30" s="277"/>
      <c r="R30" s="277"/>
      <c r="S30" s="279"/>
      <c r="T30" s="279"/>
      <c r="U30" s="279"/>
      <c r="V30" s="279"/>
    </row>
    <row r="31" spans="1:22" ht="19.95" customHeight="1">
      <c r="A31" s="328" t="s">
        <v>747</v>
      </c>
      <c r="C31" s="384" t="s">
        <v>874</v>
      </c>
      <c r="E31" s="206"/>
      <c r="F31" s="206"/>
      <c r="G31" s="206"/>
      <c r="H31" s="206"/>
    </row>
    <row r="32" spans="1:22" ht="19.95" customHeight="1">
      <c r="A32" s="328" t="s">
        <v>565</v>
      </c>
      <c r="B32" s="11">
        <f t="shared" si="1"/>
        <v>1</v>
      </c>
      <c r="C32" s="384" t="s">
        <v>866</v>
      </c>
      <c r="E32" s="206"/>
      <c r="F32" s="206"/>
      <c r="G32" s="206"/>
      <c r="H32" s="206"/>
    </row>
    <row r="33" spans="1:22" ht="19.95" customHeight="1">
      <c r="A33" s="328" t="s">
        <v>565</v>
      </c>
      <c r="B33" s="11">
        <f t="shared" si="1"/>
        <v>2</v>
      </c>
      <c r="C33" s="421" t="s">
        <v>910</v>
      </c>
      <c r="E33" s="206" t="s">
        <v>909</v>
      </c>
      <c r="F33" s="206"/>
      <c r="G33" s="206"/>
      <c r="H33" s="206"/>
    </row>
    <row r="34" spans="1:22" ht="19.95" customHeight="1">
      <c r="A34" s="328" t="s">
        <v>565</v>
      </c>
      <c r="B34" s="11">
        <v>3</v>
      </c>
      <c r="C34" s="384" t="s">
        <v>868</v>
      </c>
      <c r="E34" s="206"/>
      <c r="F34" s="206"/>
      <c r="G34" s="206"/>
      <c r="H34" s="206"/>
    </row>
    <row r="35" spans="1:22" ht="19.95" customHeight="1">
      <c r="A35" s="328" t="s">
        <v>565</v>
      </c>
      <c r="B35" s="11">
        <v>4</v>
      </c>
      <c r="C35" s="421" t="s">
        <v>911</v>
      </c>
      <c r="E35" s="206" t="s">
        <v>912</v>
      </c>
      <c r="F35" s="206"/>
      <c r="G35" s="206"/>
      <c r="H35" s="206"/>
    </row>
    <row r="36" spans="1:22" ht="19.95" customHeight="1">
      <c r="A36" s="328" t="s">
        <v>797</v>
      </c>
      <c r="C36" s="206"/>
      <c r="E36" s="206"/>
      <c r="F36" s="206"/>
      <c r="H36" s="206"/>
    </row>
    <row r="37" spans="1:22" ht="19.95" customHeight="1">
      <c r="A37" s="328" t="s">
        <v>796</v>
      </c>
      <c r="B37" s="277"/>
      <c r="C37" s="277" t="s">
        <v>755</v>
      </c>
      <c r="D37" s="277"/>
      <c r="E37" s="277"/>
      <c r="F37" s="277"/>
      <c r="G37" s="331" t="str">
        <f>HYPERLINK("#'SW'!Q" &amp; H37,"zurück")</f>
        <v>zurück</v>
      </c>
      <c r="H37" s="335">
        <f>MATCH("SW005",SW!Q:Q,0)</f>
        <v>51</v>
      </c>
      <c r="I37" s="426"/>
      <c r="J37" s="277"/>
      <c r="K37" s="277"/>
      <c r="L37" s="277"/>
      <c r="M37" s="277"/>
      <c r="N37" s="277"/>
      <c r="P37" s="277"/>
      <c r="Q37" s="277"/>
      <c r="R37" s="277"/>
      <c r="S37" s="279"/>
      <c r="T37" s="279"/>
      <c r="U37" s="279"/>
      <c r="V37" s="279"/>
    </row>
    <row r="38" spans="1:22" ht="19.95" customHeight="1">
      <c r="A38" s="328" t="s">
        <v>747</v>
      </c>
      <c r="C38" s="206" t="s">
        <v>756</v>
      </c>
      <c r="E38" s="206"/>
      <c r="F38" s="206"/>
    </row>
    <row r="39" spans="1:22" ht="19.95" customHeight="1">
      <c r="A39" s="328" t="s">
        <v>565</v>
      </c>
      <c r="B39" s="11">
        <v>36</v>
      </c>
      <c r="C39" s="346" t="s">
        <v>758</v>
      </c>
      <c r="E39" s="206"/>
      <c r="F39" s="206"/>
    </row>
    <row r="40" spans="1:22" ht="19.95" customHeight="1">
      <c r="A40" s="328" t="s">
        <v>565</v>
      </c>
      <c r="B40" s="11">
        <v>36</v>
      </c>
      <c r="C40" s="421" t="s">
        <v>913</v>
      </c>
      <c r="E40" s="206" t="s">
        <v>111</v>
      </c>
      <c r="F40" s="206"/>
    </row>
    <row r="41" spans="1:22" ht="19.95" customHeight="1">
      <c r="A41" s="328" t="s">
        <v>565</v>
      </c>
      <c r="B41" s="11">
        <f t="shared" ref="B41:B52" si="2">B40+1</f>
        <v>37</v>
      </c>
      <c r="C41" s="346" t="s">
        <v>760</v>
      </c>
      <c r="E41" s="206"/>
      <c r="F41" s="206"/>
    </row>
    <row r="42" spans="1:22" ht="19.95" customHeight="1">
      <c r="A42" s="328" t="s">
        <v>565</v>
      </c>
      <c r="B42" s="11">
        <f t="shared" si="2"/>
        <v>38</v>
      </c>
      <c r="C42" s="346" t="s">
        <v>761</v>
      </c>
      <c r="E42" s="206"/>
      <c r="F42" s="206"/>
    </row>
    <row r="43" spans="1:22" ht="19.95" customHeight="1">
      <c r="A43" s="328" t="s">
        <v>565</v>
      </c>
      <c r="B43" s="11">
        <f t="shared" si="2"/>
        <v>39</v>
      </c>
      <c r="C43" s="346" t="s">
        <v>762</v>
      </c>
      <c r="E43" s="206"/>
      <c r="F43" s="206"/>
    </row>
    <row r="44" spans="1:22" ht="19.95" customHeight="1">
      <c r="A44" s="328" t="s">
        <v>565</v>
      </c>
      <c r="B44" s="11">
        <f t="shared" si="2"/>
        <v>40</v>
      </c>
      <c r="C44" s="421" t="s">
        <v>742</v>
      </c>
      <c r="E44" s="206" t="s">
        <v>111</v>
      </c>
      <c r="F44" s="206"/>
    </row>
    <row r="45" spans="1:22" ht="19.95" customHeight="1">
      <c r="A45" s="328" t="s">
        <v>565</v>
      </c>
      <c r="B45" s="11">
        <f t="shared" si="2"/>
        <v>41</v>
      </c>
      <c r="C45" s="421" t="s">
        <v>914</v>
      </c>
      <c r="E45" s="206" t="s">
        <v>111</v>
      </c>
      <c r="F45" s="206"/>
    </row>
    <row r="46" spans="1:22" ht="19.95" customHeight="1">
      <c r="A46" s="328" t="s">
        <v>565</v>
      </c>
      <c r="B46" s="11">
        <f t="shared" si="2"/>
        <v>42</v>
      </c>
      <c r="C46" s="346" t="s">
        <v>763</v>
      </c>
      <c r="E46" s="206"/>
      <c r="F46" s="206"/>
    </row>
    <row r="47" spans="1:22" ht="19.95" customHeight="1">
      <c r="A47" s="328" t="s">
        <v>565</v>
      </c>
      <c r="B47" s="11">
        <f t="shared" si="2"/>
        <v>43</v>
      </c>
      <c r="C47" s="346" t="s">
        <v>764</v>
      </c>
    </row>
    <row r="48" spans="1:22" ht="19.95" customHeight="1">
      <c r="A48" s="328" t="s">
        <v>565</v>
      </c>
      <c r="B48" s="11">
        <f t="shared" si="2"/>
        <v>44</v>
      </c>
      <c r="C48" s="346" t="s">
        <v>765</v>
      </c>
    </row>
    <row r="49" spans="1:22" ht="19.95" customHeight="1">
      <c r="A49" s="328" t="s">
        <v>565</v>
      </c>
      <c r="B49" s="11">
        <f t="shared" si="2"/>
        <v>45</v>
      </c>
      <c r="C49" s="421" t="s">
        <v>917</v>
      </c>
      <c r="E49" s="11" t="s">
        <v>916</v>
      </c>
    </row>
    <row r="50" spans="1:22" ht="19.95" customHeight="1">
      <c r="A50" s="328" t="s">
        <v>565</v>
      </c>
      <c r="B50" s="11">
        <f t="shared" si="2"/>
        <v>46</v>
      </c>
      <c r="C50" s="421" t="s">
        <v>911</v>
      </c>
      <c r="E50" s="11" t="s">
        <v>915</v>
      </c>
    </row>
    <row r="51" spans="1:22" ht="19.95" customHeight="1">
      <c r="A51" s="328" t="s">
        <v>565</v>
      </c>
      <c r="B51" s="11">
        <f t="shared" si="2"/>
        <v>47</v>
      </c>
      <c r="C51" s="346" t="s">
        <v>742</v>
      </c>
    </row>
    <row r="52" spans="1:22" ht="19.95" customHeight="1">
      <c r="A52" s="328" t="s">
        <v>565</v>
      </c>
      <c r="B52" s="11">
        <f t="shared" si="2"/>
        <v>48</v>
      </c>
      <c r="C52" s="346" t="s">
        <v>743</v>
      </c>
    </row>
    <row r="53" spans="1:22" ht="19.95" customHeight="1">
      <c r="A53" s="328" t="s">
        <v>797</v>
      </c>
    </row>
    <row r="54" spans="1:22" ht="19.95" customHeight="1">
      <c r="A54" s="328" t="s">
        <v>796</v>
      </c>
      <c r="B54" s="277"/>
      <c r="C54" s="277" t="s">
        <v>767</v>
      </c>
      <c r="D54" s="277"/>
      <c r="E54" s="277"/>
      <c r="F54" s="277"/>
      <c r="G54" s="331" t="str">
        <f>HYPERLINK("#'SW'!Q" &amp; H54,"zurück")</f>
        <v>zurück</v>
      </c>
      <c r="H54" s="335">
        <f>MATCH("SW006",SW!Q:Q,0)</f>
        <v>52</v>
      </c>
      <c r="I54" s="426"/>
      <c r="J54" s="277"/>
      <c r="K54" s="277"/>
      <c r="L54" s="277"/>
      <c r="M54" s="277"/>
      <c r="N54" s="277"/>
      <c r="P54" s="277"/>
      <c r="Q54" s="277"/>
      <c r="R54" s="277"/>
      <c r="S54" s="279"/>
      <c r="T54" s="279"/>
      <c r="U54" s="279"/>
      <c r="V54" s="279"/>
    </row>
    <row r="55" spans="1:22" ht="19.95" customHeight="1">
      <c r="A55" s="328" t="s">
        <v>747</v>
      </c>
      <c r="C55" s="11" t="s">
        <v>768</v>
      </c>
    </row>
    <row r="56" spans="1:22" ht="19.95" customHeight="1">
      <c r="A56" s="328" t="s">
        <v>565</v>
      </c>
      <c r="B56" s="11">
        <v>23</v>
      </c>
      <c r="C56" s="346" t="s">
        <v>12</v>
      </c>
    </row>
    <row r="57" spans="1:22" ht="19.95" customHeight="1">
      <c r="A57" s="328" t="s">
        <v>565</v>
      </c>
      <c r="B57" s="11">
        <f t="shared" ref="B57:B65" si="3">B56+1</f>
        <v>24</v>
      </c>
      <c r="C57" s="346" t="s">
        <v>750</v>
      </c>
    </row>
    <row r="58" spans="1:22" ht="19.95" customHeight="1">
      <c r="A58" s="328" t="s">
        <v>565</v>
      </c>
      <c r="B58" s="11">
        <f t="shared" si="3"/>
        <v>25</v>
      </c>
      <c r="C58" s="346" t="s">
        <v>761</v>
      </c>
    </row>
    <row r="59" spans="1:22" ht="19.95" customHeight="1">
      <c r="A59" s="328" t="s">
        <v>565</v>
      </c>
      <c r="B59" s="11">
        <f t="shared" si="3"/>
        <v>26</v>
      </c>
      <c r="C59" s="346" t="s">
        <v>770</v>
      </c>
    </row>
    <row r="60" spans="1:22" ht="19.95" customHeight="1">
      <c r="A60" s="328" t="s">
        <v>565</v>
      </c>
      <c r="B60" s="11">
        <f t="shared" si="3"/>
        <v>27</v>
      </c>
      <c r="C60" s="421" t="s">
        <v>742</v>
      </c>
      <c r="E60" s="11" t="s">
        <v>111</v>
      </c>
    </row>
    <row r="61" spans="1:22" ht="19.95" customHeight="1">
      <c r="A61" s="328" t="s">
        <v>565</v>
      </c>
      <c r="B61" s="11">
        <f t="shared" si="3"/>
        <v>28</v>
      </c>
      <c r="C61" s="346" t="s">
        <v>109</v>
      </c>
    </row>
    <row r="62" spans="1:22" ht="19.95" customHeight="1">
      <c r="A62" s="328" t="s">
        <v>565</v>
      </c>
      <c r="B62" s="11">
        <f t="shared" si="3"/>
        <v>29</v>
      </c>
      <c r="C62" s="421" t="s">
        <v>763</v>
      </c>
      <c r="E62" s="11" t="s">
        <v>111</v>
      </c>
    </row>
    <row r="63" spans="1:22" ht="19.95" customHeight="1">
      <c r="A63" s="328" t="s">
        <v>565</v>
      </c>
      <c r="B63" s="11">
        <f t="shared" si="3"/>
        <v>30</v>
      </c>
      <c r="C63" s="346" t="s">
        <v>115</v>
      </c>
    </row>
    <row r="64" spans="1:22" ht="19.95" customHeight="1">
      <c r="A64" s="328" t="s">
        <v>565</v>
      </c>
      <c r="B64" s="11">
        <f t="shared" si="3"/>
        <v>31</v>
      </c>
      <c r="C64" s="346" t="s">
        <v>769</v>
      </c>
    </row>
    <row r="65" spans="1:22" ht="19.95" customHeight="1">
      <c r="A65" s="328" t="s">
        <v>565</v>
      </c>
      <c r="B65" s="11">
        <f t="shared" si="3"/>
        <v>32</v>
      </c>
      <c r="C65" s="346" t="s">
        <v>765</v>
      </c>
    </row>
    <row r="66" spans="1:22" ht="19.95" customHeight="1">
      <c r="A66" s="328" t="s">
        <v>565</v>
      </c>
      <c r="B66" s="11">
        <f>B65+1</f>
        <v>33</v>
      </c>
      <c r="C66" s="346" t="s">
        <v>766</v>
      </c>
      <c r="D66" s="193"/>
      <c r="E66" s="189"/>
      <c r="F66" s="189"/>
      <c r="H66" s="192"/>
      <c r="I66" s="430"/>
      <c r="J66" s="193"/>
      <c r="K66" s="193"/>
      <c r="L66" s="193"/>
      <c r="M66" s="193"/>
      <c r="N66" s="193"/>
      <c r="P66" s="194"/>
    </row>
    <row r="67" spans="1:22" ht="19.95" customHeight="1">
      <c r="A67" s="328" t="s">
        <v>565</v>
      </c>
      <c r="B67" s="11">
        <f>B66+1</f>
        <v>34</v>
      </c>
      <c r="C67" s="346" t="s">
        <v>742</v>
      </c>
      <c r="D67" s="193"/>
      <c r="E67" s="189"/>
      <c r="F67" s="189"/>
      <c r="H67" s="192"/>
      <c r="I67" s="430"/>
      <c r="J67" s="193"/>
      <c r="K67" s="193"/>
      <c r="L67" s="193"/>
      <c r="M67" s="193"/>
      <c r="N67" s="193"/>
      <c r="P67" s="194"/>
    </row>
    <row r="68" spans="1:22" ht="19.95" customHeight="1">
      <c r="A68" s="328" t="s">
        <v>565</v>
      </c>
      <c r="B68" s="11">
        <f>B67+1</f>
        <v>35</v>
      </c>
      <c r="C68" s="346" t="s">
        <v>743</v>
      </c>
      <c r="D68" s="193"/>
      <c r="E68" s="189"/>
      <c r="F68" s="189"/>
      <c r="H68" s="192"/>
      <c r="I68" s="430"/>
      <c r="J68" s="193"/>
      <c r="K68" s="193"/>
      <c r="L68" s="193"/>
      <c r="M68" s="193"/>
      <c r="N68" s="193"/>
      <c r="P68" s="194"/>
    </row>
    <row r="69" spans="1:22" ht="19.95" customHeight="1">
      <c r="A69" s="328" t="s">
        <v>797</v>
      </c>
      <c r="B69" s="189"/>
      <c r="C69" s="189"/>
      <c r="D69" s="193"/>
      <c r="E69" s="189"/>
      <c r="F69" s="189"/>
      <c r="H69" s="192"/>
      <c r="I69" s="430"/>
      <c r="J69" s="193"/>
      <c r="K69" s="193"/>
      <c r="L69" s="193"/>
      <c r="M69" s="193"/>
      <c r="N69" s="193"/>
      <c r="P69" s="194"/>
    </row>
    <row r="70" spans="1:22" ht="19.95" customHeight="1">
      <c r="A70" s="328" t="s">
        <v>796</v>
      </c>
      <c r="B70" s="277"/>
      <c r="C70" s="277" t="s">
        <v>774</v>
      </c>
      <c r="D70" s="277"/>
      <c r="E70" s="277"/>
      <c r="F70" s="277"/>
      <c r="G70" s="331" t="str">
        <f>HYPERLINK("#'SW'!Q" &amp; H70,"zurück")</f>
        <v>zurück</v>
      </c>
      <c r="H70" s="277">
        <f>MATCH("SW007",SW!Q:Q,0)</f>
        <v>53</v>
      </c>
      <c r="I70" s="426"/>
      <c r="J70" s="277"/>
      <c r="K70" s="277"/>
      <c r="L70" s="277"/>
      <c r="M70" s="277"/>
      <c r="N70" s="277"/>
      <c r="P70" s="277"/>
      <c r="Q70" s="277"/>
      <c r="R70" s="277"/>
      <c r="S70" s="279"/>
      <c r="T70" s="279"/>
      <c r="U70" s="279"/>
      <c r="V70" s="279"/>
    </row>
    <row r="71" spans="1:22" ht="19.95" customHeight="1">
      <c r="A71" s="328" t="s">
        <v>747</v>
      </c>
      <c r="B71" s="189"/>
      <c r="C71" s="189" t="s">
        <v>773</v>
      </c>
      <c r="E71" s="189"/>
      <c r="F71" s="189"/>
      <c r="G71" s="193"/>
      <c r="H71" s="193"/>
    </row>
    <row r="72" spans="1:22" ht="19.95" customHeight="1">
      <c r="A72" s="328" t="s">
        <v>565</v>
      </c>
      <c r="B72" s="189">
        <v>19</v>
      </c>
      <c r="C72" s="346" t="s">
        <v>765</v>
      </c>
      <c r="E72" s="189"/>
      <c r="F72" s="189"/>
      <c r="G72" s="193"/>
      <c r="H72" s="193"/>
    </row>
    <row r="73" spans="1:22" ht="19.95" customHeight="1">
      <c r="A73" s="328" t="s">
        <v>565</v>
      </c>
      <c r="B73" s="11">
        <f>B72+1</f>
        <v>20</v>
      </c>
      <c r="C73" s="346" t="s">
        <v>766</v>
      </c>
    </row>
    <row r="74" spans="1:22" ht="19.95" customHeight="1">
      <c r="A74" s="328" t="s">
        <v>565</v>
      </c>
      <c r="B74" s="11">
        <f>B73+1</f>
        <v>21</v>
      </c>
      <c r="C74" s="346" t="s">
        <v>742</v>
      </c>
    </row>
    <row r="75" spans="1:22" ht="19.95" customHeight="1">
      <c r="A75" s="328" t="s">
        <v>565</v>
      </c>
      <c r="B75" s="11">
        <f>B74+1</f>
        <v>22</v>
      </c>
      <c r="C75" s="346" t="s">
        <v>743</v>
      </c>
    </row>
    <row r="76" spans="1:22" ht="19.95" customHeight="1">
      <c r="A76" s="328" t="s">
        <v>797</v>
      </c>
      <c r="B76" s="346"/>
    </row>
    <row r="77" spans="1:22" ht="19.95" customHeight="1">
      <c r="A77" s="328" t="s">
        <v>796</v>
      </c>
      <c r="B77" s="277"/>
      <c r="C77" s="277" t="s">
        <v>775</v>
      </c>
      <c r="D77" s="277"/>
      <c r="E77" s="277"/>
      <c r="F77" s="277"/>
      <c r="G77" s="331" t="str">
        <f>HYPERLINK("#'SW'!Q" &amp; H77,"zurück")</f>
        <v>zurück</v>
      </c>
      <c r="H77" s="277">
        <f>MATCH("SW008",SW!Q:Q,0)</f>
        <v>54</v>
      </c>
      <c r="I77" s="426"/>
      <c r="J77" s="277"/>
      <c r="K77" s="277"/>
      <c r="L77" s="277"/>
      <c r="M77" s="277"/>
      <c r="N77" s="277"/>
      <c r="P77" s="277"/>
      <c r="Q77" s="277"/>
      <c r="R77" s="277"/>
      <c r="S77" s="279"/>
      <c r="T77" s="279"/>
      <c r="U77" s="279"/>
      <c r="V77" s="279"/>
    </row>
    <row r="78" spans="1:22" ht="19.95" customHeight="1">
      <c r="A78" s="328" t="s">
        <v>747</v>
      </c>
      <c r="C78" s="347" t="s">
        <v>776</v>
      </c>
    </row>
    <row r="79" spans="1:22" ht="19.95" customHeight="1">
      <c r="A79" s="328" t="s">
        <v>565</v>
      </c>
      <c r="B79" s="11">
        <v>9</v>
      </c>
      <c r="C79" s="347" t="s">
        <v>743</v>
      </c>
      <c r="E79" s="425"/>
      <c r="F79" s="425" t="s">
        <v>932</v>
      </c>
      <c r="G79" s="425" t="s">
        <v>54</v>
      </c>
      <c r="H79" s="425" t="s">
        <v>927</v>
      </c>
      <c r="I79" s="431" t="s">
        <v>925</v>
      </c>
      <c r="J79" s="425"/>
      <c r="K79" s="425" t="s">
        <v>934</v>
      </c>
      <c r="L79" s="425" t="s">
        <v>54</v>
      </c>
      <c r="M79" s="425" t="s">
        <v>927</v>
      </c>
      <c r="N79" s="425" t="s">
        <v>925</v>
      </c>
    </row>
    <row r="80" spans="1:22" ht="19.95" customHeight="1">
      <c r="A80" s="328" t="s">
        <v>565</v>
      </c>
      <c r="B80" s="11">
        <f>B79+1</f>
        <v>10</v>
      </c>
      <c r="C80" s="347" t="s">
        <v>12</v>
      </c>
      <c r="E80" s="425"/>
      <c r="F80" s="425" t="s">
        <v>934</v>
      </c>
      <c r="G80" s="425" t="s">
        <v>749</v>
      </c>
      <c r="H80" s="425" t="s">
        <v>928</v>
      </c>
      <c r="I80" s="431" t="s">
        <v>925</v>
      </c>
      <c r="J80" s="425"/>
      <c r="K80" s="425" t="s">
        <v>932</v>
      </c>
      <c r="L80" s="425" t="s">
        <v>749</v>
      </c>
      <c r="M80" s="425" t="s">
        <v>928</v>
      </c>
      <c r="N80" s="425" t="s">
        <v>925</v>
      </c>
    </row>
    <row r="81" spans="1:22" ht="19.95" customHeight="1">
      <c r="A81" s="328" t="s">
        <v>565</v>
      </c>
      <c r="B81" s="11">
        <f t="shared" ref="B81:B87" si="4">B80+1</f>
        <v>11</v>
      </c>
      <c r="C81" s="347" t="s">
        <v>750</v>
      </c>
      <c r="E81" s="425"/>
      <c r="F81" s="425" t="s">
        <v>935</v>
      </c>
      <c r="G81" s="425" t="s">
        <v>936</v>
      </c>
      <c r="H81" s="425" t="s">
        <v>929</v>
      </c>
      <c r="I81" s="431" t="s">
        <v>925</v>
      </c>
      <c r="J81" s="425"/>
      <c r="K81" s="425" t="s">
        <v>933</v>
      </c>
      <c r="L81" s="425" t="s">
        <v>936</v>
      </c>
      <c r="M81" s="425" t="s">
        <v>929</v>
      </c>
      <c r="N81" s="425" t="s">
        <v>925</v>
      </c>
    </row>
    <row r="82" spans="1:22" ht="19.95" customHeight="1">
      <c r="A82" s="328" t="s">
        <v>565</v>
      </c>
      <c r="B82" s="11">
        <f t="shared" si="4"/>
        <v>12</v>
      </c>
      <c r="C82" s="424" t="s">
        <v>744</v>
      </c>
      <c r="E82" s="436" t="s">
        <v>961</v>
      </c>
      <c r="F82" s="425" t="s">
        <v>933</v>
      </c>
      <c r="G82" s="425" t="s">
        <v>749</v>
      </c>
      <c r="H82" s="425" t="s">
        <v>930</v>
      </c>
      <c r="I82" s="431" t="s">
        <v>926</v>
      </c>
      <c r="J82" s="425"/>
      <c r="K82" s="425" t="s">
        <v>935</v>
      </c>
      <c r="L82" s="425" t="s">
        <v>749</v>
      </c>
      <c r="M82" s="425" t="s">
        <v>930</v>
      </c>
      <c r="N82" s="425" t="s">
        <v>926</v>
      </c>
    </row>
    <row r="83" spans="1:22" ht="19.95" customHeight="1">
      <c r="A83" s="328" t="s">
        <v>565</v>
      </c>
      <c r="B83" s="11">
        <f t="shared" si="4"/>
        <v>13</v>
      </c>
      <c r="C83" s="387" t="s">
        <v>870</v>
      </c>
      <c r="E83" s="425"/>
      <c r="F83" s="425" t="s">
        <v>952</v>
      </c>
      <c r="G83" s="425" t="s">
        <v>343</v>
      </c>
      <c r="H83" s="425" t="s">
        <v>946</v>
      </c>
      <c r="I83" s="431" t="s">
        <v>956</v>
      </c>
      <c r="J83" s="425"/>
      <c r="K83" s="425" t="s">
        <v>932</v>
      </c>
      <c r="L83" s="425" t="s">
        <v>953</v>
      </c>
      <c r="M83" s="425" t="s">
        <v>946</v>
      </c>
      <c r="N83" s="425" t="s">
        <v>950</v>
      </c>
    </row>
    <row r="84" spans="1:22" ht="19.95" customHeight="1">
      <c r="A84" s="328" t="s">
        <v>565</v>
      </c>
      <c r="B84" s="11">
        <f t="shared" si="4"/>
        <v>14</v>
      </c>
      <c r="C84" s="347" t="s">
        <v>13</v>
      </c>
      <c r="E84" s="436" t="s">
        <v>962</v>
      </c>
      <c r="F84" s="425" t="s">
        <v>934</v>
      </c>
      <c r="G84" s="425" t="s">
        <v>931</v>
      </c>
      <c r="H84" s="425" t="s">
        <v>958</v>
      </c>
      <c r="I84" s="431" t="s">
        <v>945</v>
      </c>
      <c r="J84" s="425"/>
      <c r="K84" s="425" t="s">
        <v>932</v>
      </c>
      <c r="L84" s="425" t="s">
        <v>931</v>
      </c>
      <c r="M84" s="425" t="s">
        <v>949</v>
      </c>
      <c r="N84" s="425" t="s">
        <v>945</v>
      </c>
    </row>
    <row r="85" spans="1:22" ht="19.95" customHeight="1">
      <c r="A85" s="328" t="s">
        <v>565</v>
      </c>
      <c r="B85" s="11">
        <f t="shared" si="4"/>
        <v>15</v>
      </c>
      <c r="C85" s="424" t="s">
        <v>115</v>
      </c>
      <c r="E85" s="425" t="s">
        <v>951</v>
      </c>
      <c r="F85" s="425" t="s">
        <v>932</v>
      </c>
      <c r="G85" s="425" t="s">
        <v>749</v>
      </c>
      <c r="H85" s="425" t="s">
        <v>955</v>
      </c>
      <c r="I85" s="431" t="s">
        <v>950</v>
      </c>
      <c r="J85" s="425"/>
      <c r="K85" s="425" t="s">
        <v>933</v>
      </c>
      <c r="L85" s="425" t="s">
        <v>749</v>
      </c>
      <c r="M85" s="425" t="s">
        <v>954</v>
      </c>
      <c r="N85" s="425" t="s">
        <v>950</v>
      </c>
    </row>
    <row r="86" spans="1:22" ht="19.95" customHeight="1">
      <c r="A86" s="328" t="s">
        <v>565</v>
      </c>
      <c r="B86" s="11">
        <f t="shared" si="4"/>
        <v>16</v>
      </c>
      <c r="C86" s="424" t="s">
        <v>947</v>
      </c>
      <c r="E86" s="425"/>
      <c r="F86" s="425" t="s">
        <v>948</v>
      </c>
      <c r="G86" s="425" t="s">
        <v>54</v>
      </c>
      <c r="H86" s="425" t="s">
        <v>957</v>
      </c>
      <c r="I86" s="425" t="s">
        <v>926</v>
      </c>
      <c r="J86" s="425"/>
      <c r="K86" s="425" t="s">
        <v>934</v>
      </c>
      <c r="L86" s="425" t="s">
        <v>54</v>
      </c>
      <c r="M86" s="425" t="s">
        <v>957</v>
      </c>
      <c r="N86" s="425" t="s">
        <v>926</v>
      </c>
    </row>
    <row r="87" spans="1:22" ht="19.95" customHeight="1">
      <c r="A87" s="328" t="s">
        <v>565</v>
      </c>
      <c r="B87" s="11">
        <f t="shared" si="4"/>
        <v>17</v>
      </c>
      <c r="C87" s="424" t="s">
        <v>947</v>
      </c>
      <c r="E87" s="425"/>
      <c r="F87" s="425" t="s">
        <v>948</v>
      </c>
      <c r="G87" s="425" t="s">
        <v>54</v>
      </c>
      <c r="H87" s="425" t="s">
        <v>957</v>
      </c>
      <c r="I87" s="425" t="s">
        <v>926</v>
      </c>
      <c r="J87" s="425"/>
      <c r="K87" s="425" t="s">
        <v>934</v>
      </c>
      <c r="L87" s="425" t="s">
        <v>54</v>
      </c>
      <c r="M87" s="425" t="s">
        <v>957</v>
      </c>
      <c r="N87" s="425" t="s">
        <v>926</v>
      </c>
    </row>
    <row r="88" spans="1:22" ht="19.95" customHeight="1">
      <c r="A88" s="328" t="s">
        <v>565</v>
      </c>
      <c r="B88" s="11">
        <f>B87+1</f>
        <v>18</v>
      </c>
      <c r="C88" s="347" t="s">
        <v>743</v>
      </c>
      <c r="E88" s="425"/>
      <c r="F88" s="425" t="s">
        <v>948</v>
      </c>
      <c r="G88" s="425" t="s">
        <v>54</v>
      </c>
      <c r="H88" s="425" t="s">
        <v>927</v>
      </c>
      <c r="I88" s="431" t="s">
        <v>925</v>
      </c>
      <c r="J88" s="425"/>
      <c r="K88" s="425" t="s">
        <v>934</v>
      </c>
      <c r="L88" s="425" t="s">
        <v>54</v>
      </c>
      <c r="M88" s="425" t="s">
        <v>927</v>
      </c>
      <c r="N88" s="425" t="s">
        <v>925</v>
      </c>
    </row>
    <row r="89" spans="1:22" ht="19.95" customHeight="1">
      <c r="A89" s="328" t="s">
        <v>797</v>
      </c>
    </row>
    <row r="90" spans="1:22" ht="19.95" customHeight="1">
      <c r="A90" s="328" t="s">
        <v>796</v>
      </c>
      <c r="B90" s="277"/>
      <c r="C90" s="277" t="s">
        <v>779</v>
      </c>
      <c r="D90" s="277"/>
      <c r="E90" s="277"/>
      <c r="F90" s="277"/>
      <c r="G90" s="331" t="str">
        <f>HYPERLINK("#'SW'!Q" &amp; H90,"zurück")</f>
        <v>zurück</v>
      </c>
      <c r="H90" s="277">
        <f>MATCH("SW009",SW!Q:Q,0)</f>
        <v>55</v>
      </c>
      <c r="I90" s="426"/>
      <c r="J90" s="277"/>
      <c r="K90" s="277"/>
      <c r="L90" s="277"/>
      <c r="M90" s="277"/>
      <c r="N90" s="277"/>
      <c r="P90" s="277"/>
      <c r="Q90" s="277"/>
      <c r="R90" s="277"/>
      <c r="S90" s="279"/>
      <c r="T90" s="279"/>
      <c r="U90" s="279"/>
      <c r="V90" s="279"/>
    </row>
    <row r="91" spans="1:22" ht="19.95" customHeight="1">
      <c r="A91" s="328" t="s">
        <v>747</v>
      </c>
      <c r="C91" s="11" t="s">
        <v>780</v>
      </c>
    </row>
    <row r="92" spans="1:22" ht="19.95" customHeight="1">
      <c r="A92" s="328" t="s">
        <v>565</v>
      </c>
      <c r="B92" s="347">
        <v>1</v>
      </c>
      <c r="C92" s="348" t="s">
        <v>781</v>
      </c>
    </row>
    <row r="93" spans="1:22" ht="19.95" customHeight="1">
      <c r="A93" s="328" t="s">
        <v>565</v>
      </c>
      <c r="B93" s="347">
        <f>B92+1</f>
        <v>2</v>
      </c>
      <c r="C93" s="348" t="s">
        <v>782</v>
      </c>
    </row>
    <row r="94" spans="1:22" ht="19.95" customHeight="1">
      <c r="A94" s="328" t="s">
        <v>565</v>
      </c>
      <c r="B94" s="347">
        <f t="shared" ref="B94:B99" si="5">B93+1</f>
        <v>3</v>
      </c>
      <c r="C94" s="348" t="s">
        <v>783</v>
      </c>
    </row>
    <row r="95" spans="1:22" ht="19.95" customHeight="1">
      <c r="A95" s="328" t="s">
        <v>565</v>
      </c>
      <c r="B95" s="347">
        <f t="shared" si="5"/>
        <v>4</v>
      </c>
      <c r="C95" s="348" t="s">
        <v>784</v>
      </c>
    </row>
    <row r="96" spans="1:22" ht="19.95" customHeight="1">
      <c r="A96" s="328" t="s">
        <v>565</v>
      </c>
      <c r="B96" s="347">
        <f t="shared" si="5"/>
        <v>5</v>
      </c>
      <c r="C96" s="348" t="s">
        <v>13</v>
      </c>
    </row>
    <row r="97" spans="1:22" ht="19.95" customHeight="1">
      <c r="A97" s="328" t="s">
        <v>565</v>
      </c>
      <c r="B97" s="347">
        <f t="shared" si="5"/>
        <v>6</v>
      </c>
      <c r="C97" s="348" t="s">
        <v>115</v>
      </c>
    </row>
    <row r="98" spans="1:22" ht="19.95" customHeight="1">
      <c r="A98" s="328" t="s">
        <v>565</v>
      </c>
      <c r="B98" s="347">
        <f t="shared" si="5"/>
        <v>7</v>
      </c>
      <c r="C98" s="348" t="s">
        <v>743</v>
      </c>
    </row>
    <row r="99" spans="1:22" ht="19.95" customHeight="1">
      <c r="A99" s="328" t="s">
        <v>565</v>
      </c>
      <c r="B99" s="347">
        <f t="shared" si="5"/>
        <v>8</v>
      </c>
      <c r="C99" s="348" t="s">
        <v>12</v>
      </c>
    </row>
    <row r="100" spans="1:22" ht="19.95" customHeight="1">
      <c r="A100" s="328" t="s">
        <v>797</v>
      </c>
      <c r="B100" s="347"/>
    </row>
    <row r="101" spans="1:22" ht="19.95" customHeight="1">
      <c r="A101" s="328" t="s">
        <v>796</v>
      </c>
      <c r="B101" s="277"/>
      <c r="C101" s="277" t="s">
        <v>846</v>
      </c>
      <c r="D101" s="277"/>
      <c r="E101" s="277"/>
      <c r="F101" s="277"/>
      <c r="G101" s="331" t="str">
        <f>HYPERLINK("#'QS'!Q" &amp; H101,"Link")</f>
        <v>Link</v>
      </c>
      <c r="H101" s="277">
        <f>MATCH("QS001",QS!Q:Q,0)</f>
        <v>39</v>
      </c>
      <c r="I101" s="426"/>
      <c r="J101" s="277"/>
      <c r="K101" s="277"/>
      <c r="L101" s="277"/>
      <c r="M101" s="277"/>
      <c r="N101" s="277"/>
      <c r="P101" s="277"/>
      <c r="Q101" s="277"/>
      <c r="R101" s="277"/>
      <c r="S101" s="279"/>
      <c r="T101" s="279"/>
      <c r="U101" s="279"/>
      <c r="V101" s="279"/>
    </row>
    <row r="102" spans="1:22" ht="19.95" customHeight="1">
      <c r="A102" s="328" t="s">
        <v>747</v>
      </c>
      <c r="B102" s="347"/>
      <c r="C102" s="11" t="s">
        <v>849</v>
      </c>
    </row>
    <row r="103" spans="1:22" ht="19.95" customHeight="1">
      <c r="A103" s="328" t="s">
        <v>565</v>
      </c>
      <c r="B103" s="11">
        <v>1</v>
      </c>
      <c r="C103" s="376" t="s">
        <v>847</v>
      </c>
      <c r="I103" s="432" t="s">
        <v>850</v>
      </c>
      <c r="J103" s="376"/>
      <c r="K103" s="376"/>
      <c r="L103" s="376"/>
      <c r="M103" s="376"/>
      <c r="N103" s="376"/>
    </row>
    <row r="104" spans="1:22" ht="19.95" customHeight="1">
      <c r="A104" s="328" t="s">
        <v>565</v>
      </c>
      <c r="B104" s="11">
        <v>2</v>
      </c>
      <c r="C104" s="376" t="s">
        <v>851</v>
      </c>
      <c r="H104" s="376" t="s">
        <v>788</v>
      </c>
      <c r="I104" s="432" t="s">
        <v>850</v>
      </c>
      <c r="J104" s="376"/>
      <c r="K104" s="376"/>
      <c r="L104" s="376"/>
      <c r="M104" s="376"/>
      <c r="N104" s="376"/>
    </row>
    <row r="105" spans="1:22" ht="19.95" customHeight="1">
      <c r="A105" s="328" t="s">
        <v>565</v>
      </c>
      <c r="B105" s="11">
        <v>3</v>
      </c>
      <c r="C105" s="376" t="s">
        <v>852</v>
      </c>
      <c r="I105" s="432" t="s">
        <v>850</v>
      </c>
      <c r="J105" s="376"/>
      <c r="K105" s="376"/>
      <c r="L105" s="376"/>
      <c r="M105" s="376"/>
      <c r="N105" s="376"/>
    </row>
    <row r="106" spans="1:22" ht="19.95" customHeight="1">
      <c r="A106" s="328" t="s">
        <v>565</v>
      </c>
      <c r="B106" s="11">
        <v>4</v>
      </c>
      <c r="C106" s="376" t="s">
        <v>853</v>
      </c>
      <c r="I106" s="432" t="s">
        <v>854</v>
      </c>
      <c r="J106" s="376"/>
      <c r="K106" s="376"/>
      <c r="L106" s="376"/>
      <c r="M106" s="376"/>
      <c r="N106" s="376"/>
    </row>
    <row r="107" spans="1:22" ht="19.95" customHeight="1">
      <c r="A107" s="328" t="s">
        <v>797</v>
      </c>
    </row>
    <row r="108" spans="1:22" ht="19.95" customHeight="1">
      <c r="A108" s="328" t="s">
        <v>796</v>
      </c>
      <c r="B108" s="277"/>
      <c r="C108" s="277" t="s">
        <v>855</v>
      </c>
      <c r="D108" s="277"/>
      <c r="E108" s="277"/>
      <c r="F108" s="277"/>
      <c r="G108" s="331" t="str">
        <f>HYPERLINK("#'QS'!Q" &amp; H108,"Link")</f>
        <v>Link</v>
      </c>
      <c r="H108" s="277">
        <f>MATCH("QS002",QS!Q:Q,0)</f>
        <v>40</v>
      </c>
      <c r="I108" s="426"/>
      <c r="J108" s="277"/>
      <c r="K108" s="277"/>
      <c r="L108" s="277"/>
      <c r="M108" s="277"/>
      <c r="N108" s="277"/>
      <c r="P108" s="277"/>
      <c r="Q108" s="277"/>
      <c r="R108" s="277"/>
      <c r="S108" s="279"/>
      <c r="T108" s="279"/>
      <c r="U108" s="279"/>
      <c r="V108" s="279"/>
    </row>
    <row r="109" spans="1:22" ht="19.95" customHeight="1">
      <c r="A109" s="328" t="s">
        <v>747</v>
      </c>
      <c r="C109" s="11" t="s">
        <v>856</v>
      </c>
    </row>
    <row r="110" spans="1:22" ht="19.95" customHeight="1">
      <c r="A110" s="328" t="s">
        <v>565</v>
      </c>
      <c r="B110" s="11">
        <v>5</v>
      </c>
      <c r="C110" s="376" t="s">
        <v>852</v>
      </c>
      <c r="I110" s="432" t="s">
        <v>850</v>
      </c>
      <c r="J110" s="376"/>
      <c r="K110" s="376"/>
      <c r="L110" s="376"/>
      <c r="M110" s="376"/>
      <c r="N110" s="376"/>
    </row>
    <row r="111" spans="1:22" ht="19.95" customHeight="1">
      <c r="A111" s="328" t="s">
        <v>565</v>
      </c>
      <c r="B111" s="11">
        <v>6</v>
      </c>
      <c r="C111" s="376" t="s">
        <v>857</v>
      </c>
      <c r="I111" s="432" t="s">
        <v>854</v>
      </c>
      <c r="J111" s="376"/>
      <c r="K111" s="376"/>
      <c r="L111" s="376"/>
      <c r="M111" s="376"/>
      <c r="N111" s="376"/>
    </row>
    <row r="112" spans="1:22" ht="19.95" customHeight="1">
      <c r="A112" s="328" t="s">
        <v>565</v>
      </c>
      <c r="B112" s="11">
        <v>7</v>
      </c>
      <c r="C112" s="376" t="s">
        <v>762</v>
      </c>
      <c r="I112" s="432" t="s">
        <v>345</v>
      </c>
      <c r="J112" s="376"/>
      <c r="K112" s="376"/>
      <c r="L112" s="376"/>
      <c r="M112" s="376"/>
      <c r="N112" s="376"/>
    </row>
    <row r="113" spans="1:22" ht="19.95" customHeight="1">
      <c r="A113" s="328" t="s">
        <v>565</v>
      </c>
      <c r="B113" s="11">
        <v>8</v>
      </c>
      <c r="C113" s="376" t="s">
        <v>858</v>
      </c>
      <c r="I113" s="432" t="s">
        <v>859</v>
      </c>
      <c r="J113" s="376"/>
      <c r="K113" s="376"/>
      <c r="L113" s="376"/>
      <c r="M113" s="376"/>
      <c r="N113" s="376"/>
    </row>
    <row r="114" spans="1:22" ht="19.95" customHeight="1">
      <c r="A114" s="328" t="s">
        <v>565</v>
      </c>
      <c r="B114" s="11">
        <v>9</v>
      </c>
      <c r="C114" s="376" t="s">
        <v>852</v>
      </c>
      <c r="I114" s="432" t="s">
        <v>859</v>
      </c>
      <c r="J114" s="376"/>
      <c r="K114" s="376"/>
      <c r="L114" s="376"/>
      <c r="M114" s="376"/>
      <c r="N114" s="376"/>
    </row>
    <row r="115" spans="1:22" ht="19.95" customHeight="1">
      <c r="A115" s="328" t="s">
        <v>797</v>
      </c>
      <c r="I115" s="432" t="s">
        <v>859</v>
      </c>
      <c r="J115" s="376"/>
      <c r="K115" s="376"/>
      <c r="L115" s="376"/>
      <c r="M115" s="376"/>
      <c r="N115" s="376"/>
    </row>
    <row r="116" spans="1:22" ht="19.95" customHeight="1">
      <c r="A116" s="328" t="s">
        <v>796</v>
      </c>
      <c r="C116" s="414" t="s">
        <v>896</v>
      </c>
      <c r="G116" s="337" t="str">
        <f>HYPERLINK("#'TG'!Q" &amp; H116,"Link")</f>
        <v>Link</v>
      </c>
      <c r="H116" s="11">
        <f>MATCH("TG001",TG!Q:Q,0)</f>
        <v>22</v>
      </c>
    </row>
    <row r="117" spans="1:22" ht="19.95" customHeight="1">
      <c r="A117" s="328" t="s">
        <v>747</v>
      </c>
      <c r="C117" s="11" t="s">
        <v>723</v>
      </c>
    </row>
    <row r="118" spans="1:22" ht="19.95" customHeight="1">
      <c r="A118" s="328" t="s">
        <v>565</v>
      </c>
      <c r="C118" s="414" t="s">
        <v>897</v>
      </c>
      <c r="E118" s="414"/>
      <c r="F118" s="414" t="s">
        <v>898</v>
      </c>
      <c r="G118" s="414" t="s">
        <v>54</v>
      </c>
      <c r="H118" s="414" t="s">
        <v>899</v>
      </c>
    </row>
    <row r="119" spans="1:22" ht="19.95" customHeight="1">
      <c r="A119" s="328" t="s">
        <v>565</v>
      </c>
      <c r="C119" s="414" t="s">
        <v>903</v>
      </c>
      <c r="E119" s="414"/>
      <c r="F119" s="414" t="s">
        <v>130</v>
      </c>
    </row>
    <row r="120" spans="1:22" ht="19.95" customHeight="1">
      <c r="A120" s="328" t="s">
        <v>565</v>
      </c>
      <c r="C120" s="414" t="s">
        <v>900</v>
      </c>
    </row>
    <row r="121" spans="1:22" ht="19.95" customHeight="1">
      <c r="A121" s="328" t="s">
        <v>565</v>
      </c>
      <c r="C121" s="414" t="s">
        <v>901</v>
      </c>
    </row>
    <row r="122" spans="1:22" ht="19.95" customHeight="1">
      <c r="A122" s="328" t="s">
        <v>797</v>
      </c>
    </row>
    <row r="123" spans="1:22" ht="19.95" customHeight="1">
      <c r="A123" s="328" t="s">
        <v>796</v>
      </c>
      <c r="B123" s="277"/>
      <c r="C123" s="277" t="s">
        <v>567</v>
      </c>
      <c r="D123" s="277"/>
      <c r="E123" s="331"/>
      <c r="F123" s="331" t="str">
        <f>HYPERLINK("#'CC'!Q" &amp; G123,"zurück")</f>
        <v>zurück</v>
      </c>
      <c r="G123" s="331">
        <f>MATCH("CC001",CC!Q:Q,0)</f>
        <v>3</v>
      </c>
      <c r="H123" s="277">
        <f>MATCH("QS002",QS!Q:Q,0)</f>
        <v>40</v>
      </c>
      <c r="I123" s="426"/>
      <c r="J123" s="277"/>
      <c r="K123" s="277"/>
      <c r="L123" s="277"/>
      <c r="M123" s="277"/>
      <c r="N123" s="277"/>
      <c r="P123" s="277"/>
      <c r="Q123" s="277"/>
      <c r="R123" s="277"/>
      <c r="S123" s="279"/>
      <c r="T123" s="279"/>
      <c r="U123" s="279"/>
      <c r="V123" s="279"/>
    </row>
    <row r="124" spans="1:22" ht="19.95" customHeight="1">
      <c r="A124" s="328" t="s">
        <v>747</v>
      </c>
      <c r="C124" s="11" t="s">
        <v>66</v>
      </c>
    </row>
    <row r="125" spans="1:22" ht="19.95" customHeight="1">
      <c r="A125" s="328" t="s">
        <v>565</v>
      </c>
      <c r="C125" s="414" t="s">
        <v>897</v>
      </c>
      <c r="D125" s="423" t="s">
        <v>919</v>
      </c>
      <c r="E125" s="423"/>
      <c r="F125" s="423" t="s">
        <v>130</v>
      </c>
      <c r="G125" s="414" t="s">
        <v>54</v>
      </c>
      <c r="H125" s="414" t="s">
        <v>899</v>
      </c>
      <c r="I125" s="9">
        <v>1</v>
      </c>
    </row>
    <row r="126" spans="1:22" ht="19.95" customHeight="1">
      <c r="A126" s="328" t="s">
        <v>565</v>
      </c>
      <c r="C126" s="414" t="s">
        <v>897</v>
      </c>
      <c r="D126" s="423" t="s">
        <v>920</v>
      </c>
      <c r="E126" s="423"/>
      <c r="F126" s="423" t="s">
        <v>131</v>
      </c>
      <c r="G126" s="423" t="s">
        <v>51</v>
      </c>
      <c r="H126" s="414" t="s">
        <v>899</v>
      </c>
      <c r="I126" s="9">
        <v>2</v>
      </c>
    </row>
    <row r="127" spans="1:22" ht="19.95" customHeight="1">
      <c r="A127" s="328" t="s">
        <v>565</v>
      </c>
      <c r="C127" s="414" t="s">
        <v>897</v>
      </c>
      <c r="D127" s="423" t="s">
        <v>921</v>
      </c>
      <c r="E127" s="423"/>
      <c r="F127" s="423" t="s">
        <v>130</v>
      </c>
      <c r="G127" s="423" t="s">
        <v>53</v>
      </c>
      <c r="H127" s="414" t="s">
        <v>899</v>
      </c>
      <c r="I127" s="9">
        <v>3</v>
      </c>
    </row>
    <row r="128" spans="1:22" ht="19.95" customHeight="1">
      <c r="A128" s="328" t="s">
        <v>565</v>
      </c>
      <c r="C128" s="414" t="s">
        <v>897</v>
      </c>
      <c r="D128" s="423" t="s">
        <v>922</v>
      </c>
      <c r="E128" s="423"/>
      <c r="F128" s="423" t="s">
        <v>131</v>
      </c>
      <c r="G128" s="423" t="s">
        <v>924</v>
      </c>
      <c r="H128" s="414" t="s">
        <v>899</v>
      </c>
      <c r="I128" s="9">
        <v>4</v>
      </c>
    </row>
    <row r="129" spans="1:9" ht="19.95" customHeight="1">
      <c r="A129" s="328" t="s">
        <v>565</v>
      </c>
      <c r="C129" s="414" t="s">
        <v>897</v>
      </c>
      <c r="D129" s="423" t="s">
        <v>923</v>
      </c>
      <c r="E129" s="423"/>
      <c r="F129" s="423" t="s">
        <v>130</v>
      </c>
      <c r="G129" s="414" t="s">
        <v>54</v>
      </c>
      <c r="H129" s="414" t="s">
        <v>899</v>
      </c>
      <c r="I129" s="9">
        <v>5</v>
      </c>
    </row>
    <row r="130" spans="1:9" ht="19.95" customHeight="1">
      <c r="A130" s="328" t="s">
        <v>797</v>
      </c>
    </row>
    <row r="131" spans="1:9" ht="19.95" customHeight="1">
      <c r="A131" s="328" t="s">
        <v>100</v>
      </c>
    </row>
    <row r="132" spans="1:9" ht="19.95" customHeight="1">
      <c r="A132" s="328" t="s">
        <v>100</v>
      </c>
    </row>
    <row r="133" spans="1:9" ht="19.95" customHeight="1">
      <c r="A133" s="328" t="s">
        <v>100</v>
      </c>
    </row>
    <row r="134" spans="1:9" ht="19.95" customHeight="1">
      <c r="A134" s="328" t="s">
        <v>100</v>
      </c>
    </row>
    <row r="135" spans="1:9" ht="19.95" customHeight="1">
      <c r="A135" s="328" t="s">
        <v>100</v>
      </c>
    </row>
    <row r="136" spans="1:9" ht="19.95" customHeight="1">
      <c r="A136" s="328" t="s">
        <v>100</v>
      </c>
    </row>
    <row r="137" spans="1:9" ht="19.95" customHeight="1">
      <c r="A137" s="328" t="s">
        <v>100</v>
      </c>
    </row>
    <row r="138" spans="1:9" ht="19.95" customHeight="1">
      <c r="A138" s="328" t="s">
        <v>100</v>
      </c>
    </row>
    <row r="139" spans="1:9" ht="19.95" customHeight="1">
      <c r="A139" s="328" t="s">
        <v>100</v>
      </c>
    </row>
    <row r="140" spans="1:9" ht="19.95" customHeight="1">
      <c r="A140" s="328" t="s">
        <v>100</v>
      </c>
    </row>
    <row r="141" spans="1:9" ht="19.95" customHeight="1">
      <c r="A141" s="328" t="s">
        <v>100</v>
      </c>
    </row>
    <row r="142" spans="1:9" ht="19.95" customHeight="1">
      <c r="A142" s="328" t="s">
        <v>100</v>
      </c>
    </row>
    <row r="143" spans="1:9" ht="19.95" customHeight="1">
      <c r="A143" s="328" t="s">
        <v>100</v>
      </c>
    </row>
    <row r="144" spans="1:9" ht="19.95" customHeight="1">
      <c r="A144" s="328" t="s">
        <v>100</v>
      </c>
    </row>
    <row r="145" spans="1:1" ht="19.95" customHeight="1">
      <c r="A145" s="328" t="s">
        <v>100</v>
      </c>
    </row>
    <row r="146" spans="1:1" ht="19.95" customHeight="1">
      <c r="A146" s="328" t="s">
        <v>100</v>
      </c>
    </row>
    <row r="147" spans="1:1" ht="19.95" customHeight="1">
      <c r="A147" s="328" t="s">
        <v>100</v>
      </c>
    </row>
    <row r="148" spans="1:1" ht="19.95" customHeight="1">
      <c r="A148" s="328" t="s">
        <v>100</v>
      </c>
    </row>
    <row r="149" spans="1:1" ht="19.95" customHeight="1">
      <c r="A149" s="328" t="s">
        <v>100</v>
      </c>
    </row>
    <row r="150" spans="1:1" ht="19.95" customHeight="1">
      <c r="A150" s="328" t="s">
        <v>100</v>
      </c>
    </row>
    <row r="151" spans="1:1" ht="19.95" customHeight="1">
      <c r="A151" s="328" t="s">
        <v>100</v>
      </c>
    </row>
    <row r="152" spans="1:1" ht="19.95" customHeight="1">
      <c r="A152" s="328" t="s">
        <v>100</v>
      </c>
    </row>
    <row r="153" spans="1:1" ht="19.95" customHeight="1">
      <c r="A153" s="328" t="s">
        <v>100</v>
      </c>
    </row>
    <row r="154" spans="1:1" ht="19.95" customHeight="1">
      <c r="A154" s="328" t="s">
        <v>100</v>
      </c>
    </row>
    <row r="155" spans="1:1" ht="19.95" customHeight="1">
      <c r="A155" s="328" t="s">
        <v>100</v>
      </c>
    </row>
    <row r="156" spans="1:1" ht="19.95" customHeight="1">
      <c r="A156" s="328" t="s">
        <v>100</v>
      </c>
    </row>
    <row r="157" spans="1:1" ht="19.95" customHeight="1">
      <c r="A157" s="328" t="s">
        <v>100</v>
      </c>
    </row>
    <row r="158" spans="1:1" ht="19.95" customHeight="1">
      <c r="A158" s="328" t="s">
        <v>100</v>
      </c>
    </row>
    <row r="159" spans="1:1" ht="19.95" customHeight="1">
      <c r="A159" s="328" t="s">
        <v>100</v>
      </c>
    </row>
    <row r="160" spans="1:1" ht="19.95" customHeight="1">
      <c r="A160" s="328" t="s">
        <v>100</v>
      </c>
    </row>
    <row r="161" spans="1:1" ht="19.95" customHeight="1">
      <c r="A161" s="328" t="s">
        <v>100</v>
      </c>
    </row>
    <row r="162" spans="1:1" ht="19.95" customHeight="1">
      <c r="A162" s="328" t="s">
        <v>100</v>
      </c>
    </row>
    <row r="163" spans="1:1" ht="19.95" customHeight="1">
      <c r="A163" s="328" t="s">
        <v>100</v>
      </c>
    </row>
    <row r="164" spans="1:1" ht="19.95" customHeight="1">
      <c r="A164" s="328" t="s">
        <v>100</v>
      </c>
    </row>
    <row r="165" spans="1:1" ht="19.95" customHeight="1">
      <c r="A165" s="328" t="s">
        <v>100</v>
      </c>
    </row>
    <row r="166" spans="1:1" ht="19.95" customHeight="1">
      <c r="A166" s="328" t="s">
        <v>100</v>
      </c>
    </row>
    <row r="167" spans="1:1" ht="19.95" customHeight="1">
      <c r="A167" s="328" t="s">
        <v>100</v>
      </c>
    </row>
    <row r="168" spans="1:1" ht="19.95" customHeight="1">
      <c r="A168" s="328" t="s">
        <v>100</v>
      </c>
    </row>
    <row r="169" spans="1:1" ht="19.95" customHeight="1">
      <c r="A169" s="328" t="s">
        <v>100</v>
      </c>
    </row>
    <row r="170" spans="1:1" ht="19.95" customHeight="1">
      <c r="A170" s="328" t="s">
        <v>100</v>
      </c>
    </row>
    <row r="171" spans="1:1" ht="19.95" customHeight="1">
      <c r="A171" s="328" t="s">
        <v>100</v>
      </c>
    </row>
    <row r="172" spans="1:1" ht="19.95" customHeight="1">
      <c r="A172" s="328" t="s">
        <v>100</v>
      </c>
    </row>
    <row r="173" spans="1:1" ht="19.95" customHeight="1">
      <c r="A173" s="328" t="s">
        <v>100</v>
      </c>
    </row>
    <row r="174" spans="1:1" ht="19.95" customHeight="1">
      <c r="A174" s="328" t="s">
        <v>100</v>
      </c>
    </row>
    <row r="175" spans="1:1" ht="19.95" customHeight="1">
      <c r="A175" s="328" t="s">
        <v>100</v>
      </c>
    </row>
    <row r="176" spans="1:1" ht="19.95" customHeight="1">
      <c r="A176" s="328" t="s">
        <v>100</v>
      </c>
    </row>
    <row r="177" spans="1:1" ht="19.95" customHeight="1">
      <c r="A177" s="328" t="s">
        <v>100</v>
      </c>
    </row>
    <row r="178" spans="1:1" ht="19.95" customHeight="1">
      <c r="A178" s="328" t="s">
        <v>100</v>
      </c>
    </row>
    <row r="179" spans="1:1" ht="19.95" customHeight="1">
      <c r="A179" s="328" t="s">
        <v>100</v>
      </c>
    </row>
    <row r="180" spans="1:1" ht="19.95" customHeight="1">
      <c r="A180" s="328" t="s">
        <v>100</v>
      </c>
    </row>
    <row r="181" spans="1:1" ht="19.95" customHeight="1">
      <c r="A181" s="328" t="s">
        <v>100</v>
      </c>
    </row>
    <row r="182" spans="1:1" ht="19.95" customHeight="1">
      <c r="A182" s="328" t="s">
        <v>100</v>
      </c>
    </row>
    <row r="183" spans="1:1" ht="19.95" customHeight="1">
      <c r="A183" s="328" t="s">
        <v>100</v>
      </c>
    </row>
    <row r="184" spans="1:1" ht="19.95" customHeight="1">
      <c r="A184" s="328" t="s">
        <v>100</v>
      </c>
    </row>
    <row r="185" spans="1:1" ht="19.95" customHeight="1">
      <c r="A185" s="328" t="s">
        <v>100</v>
      </c>
    </row>
    <row r="186" spans="1:1" ht="19.95" customHeight="1">
      <c r="A186" s="328" t="s">
        <v>100</v>
      </c>
    </row>
    <row r="187" spans="1:1" ht="19.95" customHeight="1">
      <c r="A187" s="328" t="s">
        <v>100</v>
      </c>
    </row>
    <row r="188" spans="1:1" ht="19.95" customHeight="1">
      <c r="A188" s="328" t="s">
        <v>100</v>
      </c>
    </row>
    <row r="189" spans="1:1" ht="19.95" customHeight="1">
      <c r="A189" s="328" t="s">
        <v>100</v>
      </c>
    </row>
    <row r="190" spans="1:1" ht="19.95" customHeight="1">
      <c r="A190" s="328" t="s">
        <v>100</v>
      </c>
    </row>
    <row r="191" spans="1:1" ht="19.95" customHeight="1">
      <c r="A191" s="328" t="s">
        <v>100</v>
      </c>
    </row>
    <row r="192" spans="1:1" ht="19.95" customHeight="1">
      <c r="A192" s="328" t="s">
        <v>100</v>
      </c>
    </row>
    <row r="193" spans="1:1" ht="19.95" customHeight="1">
      <c r="A193" s="328" t="s">
        <v>100</v>
      </c>
    </row>
    <row r="194" spans="1:1" ht="19.95" customHeight="1">
      <c r="A194" s="328" t="s">
        <v>100</v>
      </c>
    </row>
    <row r="195" spans="1:1" ht="19.95" customHeight="1">
      <c r="A195" s="328" t="s">
        <v>100</v>
      </c>
    </row>
    <row r="196" spans="1:1" ht="19.95" customHeight="1">
      <c r="A196" s="328" t="s">
        <v>100</v>
      </c>
    </row>
    <row r="197" spans="1:1" ht="19.95" customHeight="1">
      <c r="A197" s="328" t="s">
        <v>100</v>
      </c>
    </row>
    <row r="198" spans="1:1" ht="19.95" customHeight="1">
      <c r="A198" s="328" t="s">
        <v>100</v>
      </c>
    </row>
    <row r="199" spans="1:1" ht="19.95" customHeight="1">
      <c r="A199" s="328" t="s">
        <v>100</v>
      </c>
    </row>
    <row r="200" spans="1:1" ht="19.95" customHeight="1">
      <c r="A200" s="328" t="s">
        <v>100</v>
      </c>
    </row>
    <row r="201" spans="1:1" ht="19.95" customHeight="1">
      <c r="A201" s="328" t="s">
        <v>100</v>
      </c>
    </row>
    <row r="202" spans="1:1" ht="19.95" customHeight="1">
      <c r="A202" s="328" t="s">
        <v>100</v>
      </c>
    </row>
    <row r="203" spans="1:1" ht="19.95" customHeight="1">
      <c r="A203" s="328" t="s">
        <v>100</v>
      </c>
    </row>
    <row r="204" spans="1:1" ht="19.95" customHeight="1">
      <c r="A204" s="328" t="s">
        <v>100</v>
      </c>
    </row>
    <row r="205" spans="1:1" ht="19.95" customHeight="1">
      <c r="A205" s="328" t="s">
        <v>100</v>
      </c>
    </row>
    <row r="206" spans="1:1" ht="19.95" customHeight="1">
      <c r="A206" s="328" t="s">
        <v>100</v>
      </c>
    </row>
    <row r="207" spans="1:1" ht="19.95" customHeight="1">
      <c r="A207" s="328" t="s">
        <v>100</v>
      </c>
    </row>
    <row r="208" spans="1:1" ht="19.95" customHeight="1">
      <c r="A208" s="328" t="s">
        <v>100</v>
      </c>
    </row>
    <row r="209" spans="1:1" ht="19.95" customHeight="1">
      <c r="A209" s="328" t="s">
        <v>100</v>
      </c>
    </row>
    <row r="210" spans="1:1" ht="19.95" customHeight="1">
      <c r="A210" s="328" t="s">
        <v>100</v>
      </c>
    </row>
    <row r="211" spans="1:1" ht="19.95" customHeight="1">
      <c r="A211" s="328" t="s">
        <v>100</v>
      </c>
    </row>
    <row r="212" spans="1:1" ht="19.95" customHeight="1">
      <c r="A212" s="328" t="s">
        <v>100</v>
      </c>
    </row>
    <row r="213" spans="1:1" ht="19.95" customHeight="1">
      <c r="A213" s="328" t="s">
        <v>100</v>
      </c>
    </row>
    <row r="214" spans="1:1" ht="19.95" customHeight="1">
      <c r="A214" s="328" t="s">
        <v>100</v>
      </c>
    </row>
    <row r="215" spans="1:1" ht="19.95" customHeight="1">
      <c r="A215" s="328" t="s">
        <v>100</v>
      </c>
    </row>
    <row r="216" spans="1:1" ht="19.95" customHeight="1">
      <c r="A216" s="328" t="s">
        <v>100</v>
      </c>
    </row>
    <row r="217" spans="1:1" ht="19.95" customHeight="1">
      <c r="A217" s="328" t="s">
        <v>100</v>
      </c>
    </row>
    <row r="218" spans="1:1" ht="19.95" customHeight="1">
      <c r="A218" s="328" t="s">
        <v>100</v>
      </c>
    </row>
    <row r="219" spans="1:1" ht="19.95" customHeight="1">
      <c r="A219" s="328" t="s">
        <v>100</v>
      </c>
    </row>
    <row r="220" spans="1:1" ht="19.95" customHeight="1">
      <c r="A220" s="328" t="s">
        <v>100</v>
      </c>
    </row>
    <row r="221" spans="1:1" ht="19.95" customHeight="1">
      <c r="A221" s="328" t="s">
        <v>100</v>
      </c>
    </row>
    <row r="222" spans="1:1" ht="19.95" customHeight="1">
      <c r="A222" s="328" t="s">
        <v>100</v>
      </c>
    </row>
    <row r="223" spans="1:1" ht="19.95" customHeight="1">
      <c r="A223" s="328" t="s">
        <v>100</v>
      </c>
    </row>
    <row r="224" spans="1:1" ht="19.95" customHeight="1">
      <c r="A224" s="328" t="s">
        <v>100</v>
      </c>
    </row>
    <row r="225" spans="1:1" ht="19.95" customHeight="1">
      <c r="A225" s="328" t="s">
        <v>100</v>
      </c>
    </row>
    <row r="226" spans="1:1" ht="19.95" customHeight="1">
      <c r="A226" s="328" t="s">
        <v>100</v>
      </c>
    </row>
    <row r="227" spans="1:1" ht="19.95" customHeight="1">
      <c r="A227" s="328" t="s">
        <v>100</v>
      </c>
    </row>
    <row r="228" spans="1:1" ht="19.95" customHeight="1">
      <c r="A228" s="328" t="s">
        <v>100</v>
      </c>
    </row>
    <row r="229" spans="1:1" ht="19.95" customHeight="1">
      <c r="A229" s="328" t="s">
        <v>100</v>
      </c>
    </row>
    <row r="230" spans="1:1" ht="19.95" customHeight="1">
      <c r="A230" s="328" t="s">
        <v>100</v>
      </c>
    </row>
    <row r="231" spans="1:1" ht="19.95" customHeight="1">
      <c r="A231" s="328" t="s">
        <v>100</v>
      </c>
    </row>
    <row r="232" spans="1:1" ht="19.95" customHeight="1">
      <c r="A232" s="328" t="s">
        <v>100</v>
      </c>
    </row>
    <row r="233" spans="1:1" ht="19.95" customHeight="1">
      <c r="A233" s="328" t="s">
        <v>100</v>
      </c>
    </row>
    <row r="234" spans="1:1" ht="19.95" customHeight="1">
      <c r="A234" s="328" t="s">
        <v>100</v>
      </c>
    </row>
    <row r="235" spans="1:1" ht="19.95" customHeight="1">
      <c r="A235" s="328" t="s">
        <v>100</v>
      </c>
    </row>
    <row r="236" spans="1:1" ht="19.95" customHeight="1">
      <c r="A236" s="328" t="s">
        <v>100</v>
      </c>
    </row>
    <row r="237" spans="1:1" ht="19.95" customHeight="1">
      <c r="A237" s="328" t="s">
        <v>100</v>
      </c>
    </row>
    <row r="238" spans="1:1" ht="19.95" customHeight="1">
      <c r="A238" s="328" t="s">
        <v>100</v>
      </c>
    </row>
    <row r="239" spans="1:1" ht="19.95" customHeight="1">
      <c r="A239" s="328" t="s">
        <v>100</v>
      </c>
    </row>
    <row r="240" spans="1:1" ht="19.95" customHeight="1">
      <c r="A240" s="328" t="s">
        <v>100</v>
      </c>
    </row>
    <row r="241" spans="1:1" ht="19.95" customHeight="1">
      <c r="A241" s="328" t="s">
        <v>100</v>
      </c>
    </row>
    <row r="242" spans="1:1" ht="19.95" customHeight="1">
      <c r="A242" s="328" t="s">
        <v>100</v>
      </c>
    </row>
    <row r="243" spans="1:1" ht="19.95" customHeight="1">
      <c r="A243" s="328" t="s">
        <v>100</v>
      </c>
    </row>
    <row r="244" spans="1:1" ht="19.95" customHeight="1">
      <c r="A244" s="328" t="s">
        <v>100</v>
      </c>
    </row>
    <row r="245" spans="1:1" ht="19.95" customHeight="1">
      <c r="A245" s="328" t="s">
        <v>100</v>
      </c>
    </row>
    <row r="246" spans="1:1" ht="19.95" customHeight="1">
      <c r="A246" s="328" t="s">
        <v>100</v>
      </c>
    </row>
    <row r="247" spans="1:1" ht="19.95" customHeight="1">
      <c r="A247" s="328" t="s">
        <v>100</v>
      </c>
    </row>
    <row r="248" spans="1:1" ht="19.95" customHeight="1">
      <c r="A248" s="328" t="s">
        <v>100</v>
      </c>
    </row>
    <row r="249" spans="1:1" ht="19.95" customHeight="1">
      <c r="A249" s="328" t="s">
        <v>100</v>
      </c>
    </row>
    <row r="250" spans="1:1" ht="19.95" customHeight="1">
      <c r="A250" s="328" t="s">
        <v>100</v>
      </c>
    </row>
    <row r="251" spans="1:1" ht="19.95" customHeight="1">
      <c r="A251" s="328" t="s">
        <v>100</v>
      </c>
    </row>
    <row r="252" spans="1:1" ht="19.95" customHeight="1">
      <c r="A252" s="328" t="s">
        <v>100</v>
      </c>
    </row>
    <row r="253" spans="1:1" ht="19.95" customHeight="1">
      <c r="A253" s="328" t="s">
        <v>100</v>
      </c>
    </row>
    <row r="254" spans="1:1" ht="19.95" customHeight="1">
      <c r="A254" s="328" t="s">
        <v>100</v>
      </c>
    </row>
    <row r="255" spans="1:1" ht="19.95" customHeight="1">
      <c r="A255" s="328" t="s">
        <v>100</v>
      </c>
    </row>
    <row r="256" spans="1:1" ht="19.95" customHeight="1">
      <c r="A256" s="328" t="s">
        <v>100</v>
      </c>
    </row>
    <row r="257" spans="1:1" ht="19.95" customHeight="1">
      <c r="A257" s="328" t="s">
        <v>100</v>
      </c>
    </row>
    <row r="258" spans="1:1" ht="19.95" customHeight="1">
      <c r="A258" s="328" t="s">
        <v>100</v>
      </c>
    </row>
    <row r="259" spans="1:1" ht="19.95" customHeight="1">
      <c r="A259" s="328" t="s">
        <v>100</v>
      </c>
    </row>
    <row r="260" spans="1:1" ht="19.95" customHeight="1">
      <c r="A260" s="328" t="s">
        <v>100</v>
      </c>
    </row>
    <row r="261" spans="1:1" ht="19.95" customHeight="1">
      <c r="A261" s="328" t="s">
        <v>100</v>
      </c>
    </row>
    <row r="262" spans="1:1" ht="19.95" customHeight="1">
      <c r="A262" s="328" t="s">
        <v>100</v>
      </c>
    </row>
    <row r="263" spans="1:1" ht="19.95" customHeight="1">
      <c r="A263" s="328" t="s">
        <v>100</v>
      </c>
    </row>
    <row r="264" spans="1:1" ht="19.95" customHeight="1">
      <c r="A264" s="328" t="s">
        <v>100</v>
      </c>
    </row>
    <row r="265" spans="1:1" ht="19.95" customHeight="1">
      <c r="A265" s="328" t="s">
        <v>100</v>
      </c>
    </row>
    <row r="266" spans="1:1" ht="19.95" customHeight="1">
      <c r="A266" s="328" t="s">
        <v>100</v>
      </c>
    </row>
    <row r="267" spans="1:1" ht="19.95" customHeight="1">
      <c r="A267" s="328" t="s">
        <v>100</v>
      </c>
    </row>
    <row r="268" spans="1:1" ht="19.95" customHeight="1">
      <c r="A268" s="328" t="s">
        <v>100</v>
      </c>
    </row>
    <row r="269" spans="1:1" ht="19.95" customHeight="1">
      <c r="A269" s="328" t="s">
        <v>100</v>
      </c>
    </row>
    <row r="270" spans="1:1" ht="19.95" customHeight="1">
      <c r="A270" s="328" t="s">
        <v>100</v>
      </c>
    </row>
    <row r="271" spans="1:1" ht="19.95" customHeight="1">
      <c r="A271" s="328" t="s">
        <v>100</v>
      </c>
    </row>
    <row r="272" spans="1:1" ht="19.95" customHeight="1">
      <c r="A272" s="328" t="s">
        <v>100</v>
      </c>
    </row>
    <row r="273" spans="1:1" ht="19.95" customHeight="1">
      <c r="A273" s="328" t="s">
        <v>100</v>
      </c>
    </row>
    <row r="274" spans="1:1" ht="19.95" customHeight="1">
      <c r="A274" s="328" t="s">
        <v>100</v>
      </c>
    </row>
    <row r="275" spans="1:1" ht="19.95" customHeight="1">
      <c r="A275" s="328" t="s">
        <v>100</v>
      </c>
    </row>
    <row r="276" spans="1:1" ht="19.95" customHeight="1">
      <c r="A276" s="328" t="s">
        <v>100</v>
      </c>
    </row>
    <row r="277" spans="1:1" ht="19.95" customHeight="1">
      <c r="A277" s="328" t="s">
        <v>100</v>
      </c>
    </row>
    <row r="278" spans="1:1" ht="19.95" customHeight="1">
      <c r="A278" s="328" t="s">
        <v>100</v>
      </c>
    </row>
    <row r="279" spans="1:1" ht="19.95" customHeight="1">
      <c r="A279" s="328" t="s">
        <v>100</v>
      </c>
    </row>
    <row r="280" spans="1:1" ht="19.95" customHeight="1">
      <c r="A280" s="328" t="s">
        <v>100</v>
      </c>
    </row>
    <row r="281" spans="1:1" ht="19.95" customHeight="1">
      <c r="A281" s="328" t="s">
        <v>100</v>
      </c>
    </row>
    <row r="282" spans="1:1" ht="19.95" customHeight="1">
      <c r="A282" s="328" t="s">
        <v>100</v>
      </c>
    </row>
    <row r="283" spans="1:1" ht="19.95" customHeight="1">
      <c r="A283" s="328" t="s">
        <v>100</v>
      </c>
    </row>
    <row r="284" spans="1:1" ht="19.95" customHeight="1">
      <c r="A284" s="328" t="s">
        <v>100</v>
      </c>
    </row>
    <row r="285" spans="1:1" ht="19.95" customHeight="1">
      <c r="A285" s="328" t="s">
        <v>100</v>
      </c>
    </row>
    <row r="286" spans="1:1" ht="19.95" customHeight="1">
      <c r="A286" s="328" t="s">
        <v>100</v>
      </c>
    </row>
    <row r="287" spans="1:1" ht="19.95" customHeight="1">
      <c r="A287" s="328" t="s">
        <v>100</v>
      </c>
    </row>
    <row r="288" spans="1:1" ht="19.95" customHeight="1">
      <c r="A288" s="328" t="s">
        <v>100</v>
      </c>
    </row>
    <row r="289" spans="1:1" ht="19.95" customHeight="1">
      <c r="A289" s="328" t="s">
        <v>100</v>
      </c>
    </row>
    <row r="290" spans="1:1" ht="19.95" customHeight="1">
      <c r="A290" s="328" t="s">
        <v>100</v>
      </c>
    </row>
    <row r="291" spans="1:1" ht="19.95" customHeight="1">
      <c r="A291" s="328" t="s">
        <v>100</v>
      </c>
    </row>
    <row r="292" spans="1:1" ht="19.95" customHeight="1">
      <c r="A292" s="328" t="s">
        <v>100</v>
      </c>
    </row>
    <row r="293" spans="1:1" ht="19.95" customHeight="1">
      <c r="A293" s="328" t="s">
        <v>100</v>
      </c>
    </row>
    <row r="294" spans="1:1" ht="19.95" customHeight="1">
      <c r="A294" s="328" t="s">
        <v>100</v>
      </c>
    </row>
    <row r="295" spans="1:1" ht="19.95" customHeight="1">
      <c r="A295" s="328" t="s">
        <v>100</v>
      </c>
    </row>
    <row r="296" spans="1:1" ht="19.95" customHeight="1">
      <c r="A296" s="328" t="s">
        <v>100</v>
      </c>
    </row>
    <row r="297" spans="1:1" ht="19.95" customHeight="1">
      <c r="A297" s="328" t="s">
        <v>100</v>
      </c>
    </row>
    <row r="298" spans="1:1" ht="19.95" customHeight="1">
      <c r="A298" s="328" t="s">
        <v>100</v>
      </c>
    </row>
    <row r="299" spans="1:1" ht="19.95" customHeight="1">
      <c r="A299" s="328" t="s">
        <v>100</v>
      </c>
    </row>
    <row r="300" spans="1:1" ht="19.95" customHeight="1">
      <c r="A300" s="328" t="s">
        <v>100</v>
      </c>
    </row>
    <row r="301" spans="1:1" ht="19.95" customHeight="1">
      <c r="A301" s="328" t="s">
        <v>100</v>
      </c>
    </row>
    <row r="302" spans="1:1" ht="19.95" customHeight="1">
      <c r="A302" s="328" t="s">
        <v>100</v>
      </c>
    </row>
    <row r="303" spans="1:1" ht="19.95" customHeight="1">
      <c r="A303" s="328" t="s">
        <v>100</v>
      </c>
    </row>
    <row r="304" spans="1:1" ht="19.95" customHeight="1">
      <c r="A304" s="328" t="s">
        <v>100</v>
      </c>
    </row>
    <row r="305" spans="1:1" ht="19.95" customHeight="1">
      <c r="A305" s="328" t="s">
        <v>100</v>
      </c>
    </row>
    <row r="306" spans="1:1" ht="19.95" customHeight="1">
      <c r="A306" s="328" t="s">
        <v>100</v>
      </c>
    </row>
    <row r="307" spans="1:1" ht="19.95" customHeight="1">
      <c r="A307" s="328" t="s">
        <v>100</v>
      </c>
    </row>
    <row r="308" spans="1:1" ht="19.95" customHeight="1">
      <c r="A308" s="328" t="s">
        <v>100</v>
      </c>
    </row>
    <row r="309" spans="1:1" ht="19.95" customHeight="1">
      <c r="A309" s="328" t="s">
        <v>100</v>
      </c>
    </row>
    <row r="310" spans="1:1" ht="19.95" customHeight="1">
      <c r="A310" s="328" t="s">
        <v>100</v>
      </c>
    </row>
    <row r="311" spans="1:1" ht="19.95" customHeight="1">
      <c r="A311" s="328" t="s">
        <v>100</v>
      </c>
    </row>
    <row r="312" spans="1:1" ht="19.95" customHeight="1">
      <c r="A312" s="328" t="s">
        <v>100</v>
      </c>
    </row>
    <row r="313" spans="1:1" ht="19.95" customHeight="1">
      <c r="A313" s="328" t="s">
        <v>100</v>
      </c>
    </row>
    <row r="314" spans="1:1" ht="19.95" customHeight="1">
      <c r="A314" s="328" t="s">
        <v>100</v>
      </c>
    </row>
    <row r="315" spans="1:1" ht="19.95" customHeight="1">
      <c r="A315" s="328" t="s">
        <v>100</v>
      </c>
    </row>
    <row r="316" spans="1:1" ht="19.95" customHeight="1">
      <c r="A316" s="328" t="s">
        <v>100</v>
      </c>
    </row>
    <row r="317" spans="1:1" ht="19.95" customHeight="1">
      <c r="A317" s="328" t="s">
        <v>100</v>
      </c>
    </row>
    <row r="318" spans="1:1" ht="19.95" customHeight="1">
      <c r="A318" s="328" t="s">
        <v>100</v>
      </c>
    </row>
    <row r="319" spans="1:1" ht="19.95" customHeight="1">
      <c r="A319" s="328" t="s">
        <v>100</v>
      </c>
    </row>
    <row r="320" spans="1:1" ht="19.95" customHeight="1">
      <c r="A320" s="328" t="s">
        <v>100</v>
      </c>
    </row>
    <row r="321" spans="1:1" ht="19.95" customHeight="1">
      <c r="A321" s="328" t="s">
        <v>100</v>
      </c>
    </row>
    <row r="322" spans="1:1" ht="19.95" customHeight="1">
      <c r="A322" s="328" t="s">
        <v>100</v>
      </c>
    </row>
    <row r="323" spans="1:1" ht="19.95" customHeight="1">
      <c r="A323" s="328" t="s">
        <v>100</v>
      </c>
    </row>
    <row r="324" spans="1:1" ht="19.95" customHeight="1">
      <c r="A324" s="328" t="s">
        <v>100</v>
      </c>
    </row>
    <row r="325" spans="1:1" ht="19.95" customHeight="1">
      <c r="A325" s="328" t="s">
        <v>100</v>
      </c>
    </row>
    <row r="326" spans="1:1" ht="19.95" customHeight="1">
      <c r="A326" s="328" t="s">
        <v>100</v>
      </c>
    </row>
    <row r="327" spans="1:1" ht="19.95" customHeight="1">
      <c r="A327" s="328" t="s">
        <v>100</v>
      </c>
    </row>
    <row r="328" spans="1:1" ht="19.95" customHeight="1">
      <c r="A328" s="328" t="s">
        <v>100</v>
      </c>
    </row>
    <row r="329" spans="1:1" ht="19.95" customHeight="1">
      <c r="A329" s="328" t="s">
        <v>100</v>
      </c>
    </row>
    <row r="330" spans="1:1" ht="19.95" customHeight="1">
      <c r="A330" s="328" t="s">
        <v>100</v>
      </c>
    </row>
    <row r="331" spans="1:1" ht="19.95" customHeight="1">
      <c r="A331" s="328" t="s">
        <v>100</v>
      </c>
    </row>
    <row r="332" spans="1:1" ht="19.95" customHeight="1">
      <c r="A332" s="328" t="s">
        <v>100</v>
      </c>
    </row>
    <row r="333" spans="1:1" ht="19.95" customHeight="1">
      <c r="A333" s="328" t="s">
        <v>100</v>
      </c>
    </row>
    <row r="334" spans="1:1" ht="19.95" customHeight="1">
      <c r="A334" s="328" t="s">
        <v>100</v>
      </c>
    </row>
    <row r="335" spans="1:1" ht="19.95" customHeight="1">
      <c r="A335" s="328" t="s">
        <v>100</v>
      </c>
    </row>
    <row r="336" spans="1:1" ht="19.95" customHeight="1">
      <c r="A336" s="328" t="s">
        <v>100</v>
      </c>
    </row>
    <row r="337" spans="1:1" ht="19.95" customHeight="1">
      <c r="A337" s="328" t="s">
        <v>100</v>
      </c>
    </row>
    <row r="338" spans="1:1" ht="19.95" customHeight="1">
      <c r="A338" s="328" t="s">
        <v>100</v>
      </c>
    </row>
    <row r="339" spans="1:1" ht="19.95" customHeight="1">
      <c r="A339" s="328" t="s">
        <v>100</v>
      </c>
    </row>
    <row r="340" spans="1:1" ht="19.95" customHeight="1">
      <c r="A340" s="328" t="s">
        <v>100</v>
      </c>
    </row>
    <row r="341" spans="1:1" ht="19.95" customHeight="1">
      <c r="A341" s="328" t="s">
        <v>100</v>
      </c>
    </row>
    <row r="342" spans="1:1" ht="19.95" customHeight="1">
      <c r="A342" s="328" t="s">
        <v>100</v>
      </c>
    </row>
    <row r="343" spans="1:1" ht="19.95" customHeight="1">
      <c r="A343" s="328" t="s">
        <v>100</v>
      </c>
    </row>
    <row r="344" spans="1:1" ht="19.95" customHeight="1">
      <c r="A344" s="328" t="s">
        <v>100</v>
      </c>
    </row>
    <row r="345" spans="1:1" ht="19.95" customHeight="1">
      <c r="A345" s="328" t="s">
        <v>100</v>
      </c>
    </row>
    <row r="346" spans="1:1" ht="19.95" customHeight="1">
      <c r="A346" s="328" t="s">
        <v>100</v>
      </c>
    </row>
    <row r="347" spans="1:1" ht="19.95" customHeight="1">
      <c r="A347" s="328" t="s">
        <v>100</v>
      </c>
    </row>
    <row r="348" spans="1:1" ht="19.95" customHeight="1">
      <c r="A348" s="328" t="s">
        <v>100</v>
      </c>
    </row>
    <row r="349" spans="1:1" ht="19.95" customHeight="1">
      <c r="A349" s="328" t="s">
        <v>100</v>
      </c>
    </row>
    <row r="350" spans="1:1" ht="19.95" customHeight="1">
      <c r="A350" s="328" t="s">
        <v>100</v>
      </c>
    </row>
    <row r="351" spans="1:1" ht="19.95" customHeight="1">
      <c r="A351" s="328" t="s">
        <v>100</v>
      </c>
    </row>
    <row r="352" spans="1:1" ht="19.95" customHeight="1">
      <c r="A352" s="328" t="s">
        <v>100</v>
      </c>
    </row>
    <row r="353" spans="1:1" ht="19.95" customHeight="1">
      <c r="A353" s="328" t="s">
        <v>100</v>
      </c>
    </row>
    <row r="354" spans="1:1" ht="19.95" customHeight="1">
      <c r="A354" s="328" t="s">
        <v>100</v>
      </c>
    </row>
    <row r="355" spans="1:1" ht="19.95" customHeight="1">
      <c r="A355" s="328" t="s">
        <v>100</v>
      </c>
    </row>
    <row r="356" spans="1:1" ht="19.95" customHeight="1">
      <c r="A356" s="328" t="s">
        <v>100</v>
      </c>
    </row>
    <row r="357" spans="1:1" ht="19.95" customHeight="1">
      <c r="A357" s="328" t="s">
        <v>100</v>
      </c>
    </row>
    <row r="358" spans="1:1" ht="19.95" customHeight="1">
      <c r="A358" s="328" t="s">
        <v>100</v>
      </c>
    </row>
    <row r="359" spans="1:1" ht="19.95" customHeight="1">
      <c r="A359" s="328" t="s">
        <v>100</v>
      </c>
    </row>
    <row r="360" spans="1:1" ht="19.95" customHeight="1">
      <c r="A360" s="328" t="s">
        <v>100</v>
      </c>
    </row>
    <row r="361" spans="1:1" ht="19.95" customHeight="1">
      <c r="A361" s="328" t="s">
        <v>100</v>
      </c>
    </row>
    <row r="362" spans="1:1" ht="19.95" customHeight="1">
      <c r="A362" s="328" t="s">
        <v>100</v>
      </c>
    </row>
    <row r="363" spans="1:1" ht="19.95" customHeight="1">
      <c r="A363" s="328" t="s">
        <v>100</v>
      </c>
    </row>
    <row r="364" spans="1:1" ht="19.95" customHeight="1">
      <c r="A364" s="328" t="s">
        <v>100</v>
      </c>
    </row>
    <row r="365" spans="1:1" ht="19.95" customHeight="1">
      <c r="A365" s="328" t="s">
        <v>100</v>
      </c>
    </row>
    <row r="366" spans="1:1" ht="19.95" customHeight="1">
      <c r="A366" s="328" t="s">
        <v>100</v>
      </c>
    </row>
    <row r="367" spans="1:1" ht="19.95" customHeight="1">
      <c r="A367" s="328" t="s">
        <v>100</v>
      </c>
    </row>
    <row r="368" spans="1:1" ht="19.95" customHeight="1">
      <c r="A368" s="328" t="s">
        <v>100</v>
      </c>
    </row>
    <row r="369" spans="1:1" ht="19.95" customHeight="1">
      <c r="A369" s="328" t="s">
        <v>100</v>
      </c>
    </row>
    <row r="370" spans="1:1" ht="19.95" customHeight="1">
      <c r="A370" s="328" t="s">
        <v>100</v>
      </c>
    </row>
    <row r="371" spans="1:1" ht="19.95" customHeight="1">
      <c r="A371" s="328" t="s">
        <v>100</v>
      </c>
    </row>
    <row r="372" spans="1:1" ht="19.95" customHeight="1">
      <c r="A372" s="328" t="s">
        <v>100</v>
      </c>
    </row>
    <row r="373" spans="1:1" ht="19.95" customHeight="1">
      <c r="A373" s="328" t="s">
        <v>100</v>
      </c>
    </row>
    <row r="374" spans="1:1" ht="19.95" customHeight="1">
      <c r="A374" s="328" t="s">
        <v>100</v>
      </c>
    </row>
    <row r="375" spans="1:1" ht="19.95" customHeight="1">
      <c r="A375" s="328" t="s">
        <v>100</v>
      </c>
    </row>
    <row r="376" spans="1:1" ht="19.95" customHeight="1">
      <c r="A376" s="328" t="s">
        <v>100</v>
      </c>
    </row>
    <row r="377" spans="1:1" ht="19.95" customHeight="1">
      <c r="A377" s="328" t="s">
        <v>100</v>
      </c>
    </row>
    <row r="378" spans="1:1" ht="19.95" customHeight="1">
      <c r="A378" s="328" t="s">
        <v>100</v>
      </c>
    </row>
    <row r="379" spans="1:1" ht="19.95" customHeight="1">
      <c r="A379" s="328" t="s">
        <v>100</v>
      </c>
    </row>
    <row r="380" spans="1:1" ht="19.95" customHeight="1">
      <c r="A380" s="328" t="s">
        <v>100</v>
      </c>
    </row>
    <row r="381" spans="1:1" ht="19.95" customHeight="1">
      <c r="A381" s="328" t="s">
        <v>100</v>
      </c>
    </row>
    <row r="382" spans="1:1" ht="19.95" customHeight="1">
      <c r="A382" s="328" t="s">
        <v>100</v>
      </c>
    </row>
    <row r="383" spans="1:1" ht="19.95" customHeight="1">
      <c r="A383" s="328" t="s">
        <v>100</v>
      </c>
    </row>
    <row r="384" spans="1:1" ht="19.95" customHeight="1">
      <c r="A384" s="328" t="s">
        <v>100</v>
      </c>
    </row>
    <row r="385" spans="1:1" ht="19.95" customHeight="1">
      <c r="A385" s="328" t="s">
        <v>100</v>
      </c>
    </row>
    <row r="386" spans="1:1" ht="19.95" customHeight="1">
      <c r="A386" s="328" t="s">
        <v>100</v>
      </c>
    </row>
    <row r="387" spans="1:1" ht="19.95" customHeight="1">
      <c r="A387" s="328" t="s">
        <v>100</v>
      </c>
    </row>
    <row r="388" spans="1:1" ht="19.95" customHeight="1">
      <c r="A388" s="328" t="s">
        <v>100</v>
      </c>
    </row>
    <row r="389" spans="1:1" ht="19.95" customHeight="1">
      <c r="A389" s="328" t="s">
        <v>100</v>
      </c>
    </row>
    <row r="390" spans="1:1" ht="19.95" customHeight="1">
      <c r="A390" s="328" t="s">
        <v>100</v>
      </c>
    </row>
    <row r="391" spans="1:1" ht="19.95" customHeight="1">
      <c r="A391" s="328" t="s">
        <v>100</v>
      </c>
    </row>
    <row r="392" spans="1:1" ht="19.95" customHeight="1">
      <c r="A392" s="328" t="s">
        <v>100</v>
      </c>
    </row>
    <row r="393" spans="1:1" ht="19.95" customHeight="1">
      <c r="A393" s="328" t="s">
        <v>100</v>
      </c>
    </row>
    <row r="394" spans="1:1" ht="19.95" customHeight="1">
      <c r="A394" s="328" t="s">
        <v>100</v>
      </c>
    </row>
    <row r="395" spans="1:1" ht="19.95" customHeight="1">
      <c r="A395" s="328" t="s">
        <v>100</v>
      </c>
    </row>
    <row r="396" spans="1:1" ht="19.95" customHeight="1">
      <c r="A396" s="328" t="s">
        <v>100</v>
      </c>
    </row>
    <row r="397" spans="1:1" ht="19.95" customHeight="1">
      <c r="A397" s="328" t="s">
        <v>100</v>
      </c>
    </row>
    <row r="398" spans="1:1" ht="19.95" customHeight="1">
      <c r="A398" s="328" t="s">
        <v>100</v>
      </c>
    </row>
    <row r="399" spans="1:1" ht="19.95" customHeight="1">
      <c r="A399" s="328" t="s">
        <v>100</v>
      </c>
    </row>
    <row r="400" spans="1:1" ht="19.95" customHeight="1">
      <c r="A400" s="328" t="s">
        <v>100</v>
      </c>
    </row>
    <row r="401" spans="1:1" ht="19.95" customHeight="1">
      <c r="A401" s="328" t="s">
        <v>100</v>
      </c>
    </row>
    <row r="402" spans="1:1" ht="19.95" customHeight="1">
      <c r="A402" s="328" t="s">
        <v>100</v>
      </c>
    </row>
    <row r="403" spans="1:1" ht="19.95" customHeight="1">
      <c r="A403" s="328" t="s">
        <v>100</v>
      </c>
    </row>
    <row r="404" spans="1:1" ht="19.95" customHeight="1">
      <c r="A404" s="328" t="s">
        <v>100</v>
      </c>
    </row>
    <row r="405" spans="1:1" ht="19.95" customHeight="1">
      <c r="A405" s="328" t="s">
        <v>100</v>
      </c>
    </row>
    <row r="406" spans="1:1" ht="19.95" customHeight="1">
      <c r="A406" s="328" t="s">
        <v>100</v>
      </c>
    </row>
    <row r="407" spans="1:1" ht="19.95" customHeight="1">
      <c r="A407" s="328" t="s">
        <v>100</v>
      </c>
    </row>
    <row r="408" spans="1:1" ht="19.95" customHeight="1">
      <c r="A408" s="328" t="s">
        <v>100</v>
      </c>
    </row>
    <row r="409" spans="1:1" ht="19.95" customHeight="1">
      <c r="A409" s="328" t="s">
        <v>100</v>
      </c>
    </row>
    <row r="410" spans="1:1" ht="19.95" customHeight="1">
      <c r="A410" s="328" t="s">
        <v>100</v>
      </c>
    </row>
    <row r="411" spans="1:1" ht="19.95" customHeight="1">
      <c r="A411" s="328" t="s">
        <v>100</v>
      </c>
    </row>
    <row r="412" spans="1:1" ht="19.95" customHeight="1">
      <c r="A412" s="328" t="s">
        <v>100</v>
      </c>
    </row>
    <row r="413" spans="1:1" ht="19.95" customHeight="1">
      <c r="A413" s="328" t="s">
        <v>100</v>
      </c>
    </row>
    <row r="414" spans="1:1" ht="19.95" customHeight="1">
      <c r="A414" s="328" t="s">
        <v>100</v>
      </c>
    </row>
    <row r="415" spans="1:1" ht="19.95" customHeight="1">
      <c r="A415" s="328" t="s">
        <v>100</v>
      </c>
    </row>
    <row r="416" spans="1:1" ht="19.95" customHeight="1">
      <c r="A416" s="328" t="s">
        <v>100</v>
      </c>
    </row>
    <row r="417" spans="1:1" ht="19.95" customHeight="1">
      <c r="A417" s="328" t="s">
        <v>100</v>
      </c>
    </row>
    <row r="418" spans="1:1" ht="19.95" customHeight="1">
      <c r="A418" s="328" t="s">
        <v>100</v>
      </c>
    </row>
    <row r="419" spans="1:1" ht="19.95" customHeight="1">
      <c r="A419" s="328" t="s">
        <v>100</v>
      </c>
    </row>
    <row r="420" spans="1:1" ht="19.95" customHeight="1">
      <c r="A420" s="328" t="s">
        <v>100</v>
      </c>
    </row>
    <row r="421" spans="1:1" ht="19.95" customHeight="1">
      <c r="A421" s="328" t="s">
        <v>100</v>
      </c>
    </row>
    <row r="422" spans="1:1" ht="19.95" customHeight="1">
      <c r="A422" s="328" t="s">
        <v>100</v>
      </c>
    </row>
    <row r="423" spans="1:1" ht="19.95" customHeight="1">
      <c r="A423" s="328" t="s">
        <v>100</v>
      </c>
    </row>
    <row r="424" spans="1:1" ht="19.95" customHeight="1">
      <c r="A424" s="328" t="s">
        <v>100</v>
      </c>
    </row>
    <row r="425" spans="1:1" ht="19.95" customHeight="1">
      <c r="A425" s="328" t="s">
        <v>100</v>
      </c>
    </row>
    <row r="426" spans="1:1" ht="19.95" customHeight="1">
      <c r="A426" s="328" t="s">
        <v>100</v>
      </c>
    </row>
    <row r="427" spans="1:1" ht="19.95" customHeight="1">
      <c r="A427" s="328" t="s">
        <v>100</v>
      </c>
    </row>
    <row r="428" spans="1:1" ht="19.95" customHeight="1">
      <c r="A428" s="328" t="s">
        <v>100</v>
      </c>
    </row>
    <row r="429" spans="1:1" ht="19.95" customHeight="1">
      <c r="A429" s="328" t="s">
        <v>100</v>
      </c>
    </row>
    <row r="430" spans="1:1" ht="19.95" customHeight="1">
      <c r="A430" s="328" t="s">
        <v>100</v>
      </c>
    </row>
    <row r="431" spans="1:1" ht="19.95" customHeight="1">
      <c r="A431" s="328" t="s">
        <v>100</v>
      </c>
    </row>
    <row r="432" spans="1:1" ht="19.95" customHeight="1">
      <c r="A432" s="328" t="s">
        <v>100</v>
      </c>
    </row>
    <row r="433" spans="1:1" ht="19.95" customHeight="1">
      <c r="A433" s="328" t="s">
        <v>100</v>
      </c>
    </row>
    <row r="434" spans="1:1" ht="19.95" customHeight="1">
      <c r="A434" s="328" t="s">
        <v>100</v>
      </c>
    </row>
    <row r="435" spans="1:1" ht="19.95" customHeight="1">
      <c r="A435" s="328" t="s">
        <v>100</v>
      </c>
    </row>
    <row r="436" spans="1:1" ht="19.95" customHeight="1">
      <c r="A436" s="328" t="s">
        <v>100</v>
      </c>
    </row>
    <row r="437" spans="1:1" ht="19.95" customHeight="1">
      <c r="A437" s="328" t="s">
        <v>100</v>
      </c>
    </row>
    <row r="438" spans="1:1" ht="19.95" customHeight="1">
      <c r="A438" s="328" t="s">
        <v>100</v>
      </c>
    </row>
    <row r="439" spans="1:1" ht="19.95" customHeight="1">
      <c r="A439" s="328" t="s">
        <v>100</v>
      </c>
    </row>
    <row r="440" spans="1:1" ht="19.95" customHeight="1">
      <c r="A440" s="328" t="s">
        <v>100</v>
      </c>
    </row>
    <row r="441" spans="1:1" ht="19.95" customHeight="1">
      <c r="A441" s="328" t="s">
        <v>100</v>
      </c>
    </row>
    <row r="442" spans="1:1" ht="19.95" customHeight="1">
      <c r="A442" s="328" t="s">
        <v>100</v>
      </c>
    </row>
    <row r="443" spans="1:1" ht="19.95" customHeight="1">
      <c r="A443" s="328" t="s">
        <v>100</v>
      </c>
    </row>
    <row r="444" spans="1:1" ht="19.95" customHeight="1"/>
    <row r="445" spans="1:1" ht="19.95" customHeight="1"/>
    <row r="446" spans="1:1" ht="19.95" customHeight="1"/>
    <row r="447" spans="1:1" ht="19.95" customHeight="1"/>
  </sheetData>
  <phoneticPr fontId="87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"/>
  <dimension ref="A1:Y27"/>
  <sheetViews>
    <sheetView zoomScaleNormal="100" workbookViewId="0">
      <selection activeCell="S7" sqref="S7"/>
    </sheetView>
  </sheetViews>
  <sheetFormatPr baseColWidth="10" defaultColWidth="11.6640625" defaultRowHeight="22.95" customHeight="1"/>
  <cols>
    <col min="1" max="1" width="16.44140625" style="51" bestFit="1" customWidth="1"/>
    <col min="2" max="2" width="10" style="7" bestFit="1" customWidth="1"/>
    <col min="3" max="4" width="6.6640625" style="50" customWidth="1"/>
    <col min="5" max="7" width="6.6640625" style="4" customWidth="1"/>
    <col min="8" max="11" width="8.6640625" style="4" customWidth="1"/>
    <col min="12" max="12" width="11.6640625" style="4"/>
    <col min="13" max="17" width="11.6640625" style="39"/>
    <col min="18" max="18" width="8.88671875" style="39" customWidth="1"/>
    <col min="19" max="21" width="11.6640625" style="39"/>
    <col min="22" max="22" width="9.5546875" style="39" customWidth="1"/>
    <col min="23" max="23" width="14.44140625" style="39" customWidth="1"/>
    <col min="24" max="16384" width="11.6640625" style="39"/>
  </cols>
  <sheetData>
    <row r="1" spans="1:25" s="40" customFormat="1" ht="22.95" customHeight="1">
      <c r="A1" s="494">
        <f>COUNTIF(D$4:Q$17,"X")</f>
        <v>35</v>
      </c>
      <c r="B1" s="490" t="s">
        <v>132</v>
      </c>
      <c r="C1" s="491"/>
      <c r="D1" s="74" t="s">
        <v>107</v>
      </c>
      <c r="E1" s="75" t="s">
        <v>108</v>
      </c>
      <c r="F1" s="75" t="s">
        <v>120</v>
      </c>
      <c r="G1" s="75" t="s">
        <v>121</v>
      </c>
      <c r="H1" s="75" t="s">
        <v>124</v>
      </c>
      <c r="I1" s="75" t="s">
        <v>124</v>
      </c>
      <c r="J1" s="75" t="s">
        <v>124</v>
      </c>
      <c r="K1" s="75" t="s">
        <v>124</v>
      </c>
      <c r="L1" s="75" t="s">
        <v>114</v>
      </c>
      <c r="M1" s="75" t="s">
        <v>114</v>
      </c>
      <c r="N1" s="75" t="s">
        <v>12</v>
      </c>
      <c r="O1" s="75" t="s">
        <v>12</v>
      </c>
      <c r="P1" s="75" t="s">
        <v>13</v>
      </c>
      <c r="Q1" s="75" t="s">
        <v>115</v>
      </c>
      <c r="R1" s="40" t="s">
        <v>115</v>
      </c>
      <c r="S1" s="40" t="s">
        <v>116</v>
      </c>
      <c r="T1" s="40" t="s">
        <v>116</v>
      </c>
      <c r="U1" s="40" t="s">
        <v>109</v>
      </c>
      <c r="V1" s="40" t="s">
        <v>43</v>
      </c>
      <c r="W1" s="40" t="s">
        <v>118</v>
      </c>
    </row>
    <row r="2" spans="1:25" s="38" customFormat="1" ht="22.95" customHeight="1">
      <c r="A2" s="495"/>
      <c r="B2" s="67"/>
      <c r="C2" s="66"/>
      <c r="D2" s="75" t="s">
        <v>117</v>
      </c>
      <c r="E2" s="75" t="s">
        <v>117</v>
      </c>
      <c r="F2" s="75" t="s">
        <v>117</v>
      </c>
      <c r="G2" s="75" t="s">
        <v>117</v>
      </c>
      <c r="H2" s="75" t="s">
        <v>123</v>
      </c>
      <c r="I2" s="75" t="s">
        <v>125</v>
      </c>
      <c r="J2" s="75" t="s">
        <v>126</v>
      </c>
      <c r="K2" s="75" t="s">
        <v>127</v>
      </c>
      <c r="L2" s="75" t="s">
        <v>110</v>
      </c>
      <c r="M2" s="75" t="s">
        <v>111</v>
      </c>
      <c r="N2" s="75" t="s">
        <v>110</v>
      </c>
      <c r="O2" s="75" t="s">
        <v>111</v>
      </c>
      <c r="P2" s="75" t="s">
        <v>129</v>
      </c>
      <c r="Q2" s="75" t="s">
        <v>112</v>
      </c>
      <c r="R2" s="38" t="s">
        <v>113</v>
      </c>
      <c r="S2" s="38" t="s">
        <v>110</v>
      </c>
      <c r="T2" s="38" t="s">
        <v>111</v>
      </c>
    </row>
    <row r="3" spans="1:25" s="38" customFormat="1" ht="22.95" customHeight="1">
      <c r="A3" s="492" t="s">
        <v>128</v>
      </c>
      <c r="B3" s="493"/>
      <c r="C3" s="68"/>
      <c r="D3" s="68" t="s">
        <v>130</v>
      </c>
      <c r="E3" s="69" t="s">
        <v>131</v>
      </c>
      <c r="F3" s="65" t="s">
        <v>131</v>
      </c>
      <c r="G3" s="69" t="s">
        <v>130</v>
      </c>
      <c r="H3" s="69" t="s">
        <v>130</v>
      </c>
      <c r="I3" s="69" t="s">
        <v>130</v>
      </c>
      <c r="J3" s="69" t="s">
        <v>131</v>
      </c>
      <c r="K3" s="65" t="s">
        <v>130</v>
      </c>
      <c r="L3" s="69" t="s">
        <v>131</v>
      </c>
      <c r="M3" s="69" t="s">
        <v>131</v>
      </c>
      <c r="N3" s="69" t="s">
        <v>131</v>
      </c>
      <c r="O3" s="69" t="s">
        <v>131</v>
      </c>
      <c r="P3" s="69" t="s">
        <v>131</v>
      </c>
      <c r="Q3" s="69" t="s">
        <v>131</v>
      </c>
    </row>
    <row r="4" spans="1:25" s="45" customFormat="1" ht="22.95" customHeight="1">
      <c r="A4" s="70" t="str" cm="1">
        <f t="array" ref="A4">INDEX($1:$1, ROW())</f>
        <v>RD1</v>
      </c>
      <c r="B4" s="71" t="str" cm="1">
        <f t="array" ref="B4">INDEX($2:$2, ROW())</f>
        <v/>
      </c>
      <c r="C4" s="68" t="s">
        <v>131</v>
      </c>
      <c r="D4" s="46"/>
      <c r="E4" s="44"/>
      <c r="F4" s="56" t="s">
        <v>122</v>
      </c>
      <c r="G4" s="44"/>
      <c r="H4" s="44"/>
      <c r="I4" s="44"/>
      <c r="J4" s="62" t="s">
        <v>70</v>
      </c>
      <c r="K4" s="63" t="s">
        <v>122</v>
      </c>
      <c r="L4" s="44" t="s">
        <v>70</v>
      </c>
      <c r="M4" s="44" t="s">
        <v>70</v>
      </c>
      <c r="N4" s="59" t="s">
        <v>70</v>
      </c>
      <c r="O4" s="44"/>
      <c r="P4" s="44"/>
      <c r="Q4" s="44"/>
      <c r="R4" s="57"/>
      <c r="S4" s="57"/>
      <c r="T4" s="57"/>
      <c r="U4" s="57"/>
      <c r="V4" s="57"/>
      <c r="W4" s="52"/>
      <c r="X4" s="52"/>
      <c r="Y4" s="52"/>
    </row>
    <row r="5" spans="1:25" ht="22.95" customHeight="1">
      <c r="A5" s="70" t="str" cm="1">
        <f t="array" ref="A5">INDEX($1:$1, ROW())</f>
        <v>RD2</v>
      </c>
      <c r="B5" s="71" t="str" cm="1">
        <f t="array" ref="B5">INDEX($2:$2, ROW())</f>
        <v/>
      </c>
      <c r="C5" s="68" t="s">
        <v>130</v>
      </c>
      <c r="D5" s="47" t="s">
        <v>70</v>
      </c>
      <c r="E5" s="43"/>
      <c r="F5" s="43"/>
      <c r="G5" s="43"/>
      <c r="H5" s="63" t="s">
        <v>122</v>
      </c>
      <c r="I5" s="64" t="s">
        <v>70</v>
      </c>
      <c r="J5" s="43"/>
      <c r="K5" s="43"/>
      <c r="L5" s="43"/>
      <c r="M5" s="43"/>
      <c r="N5" s="43"/>
      <c r="O5" s="43"/>
      <c r="P5" s="43"/>
      <c r="Q5" s="43"/>
      <c r="R5" s="41"/>
      <c r="S5" s="41"/>
      <c r="T5" s="41"/>
      <c r="U5" s="41"/>
      <c r="V5" s="41"/>
      <c r="W5" s="42"/>
      <c r="X5" s="42"/>
      <c r="Y5" s="42"/>
    </row>
    <row r="6" spans="1:25" ht="22.95" customHeight="1">
      <c r="A6" s="70" t="str" cm="1">
        <f t="array" ref="A6">INDEX($1:$1, ROW())</f>
        <v>LD1</v>
      </c>
      <c r="B6" s="71" t="str" cm="1">
        <f t="array" ref="B6">INDEX($2:$2, ROW())</f>
        <v/>
      </c>
      <c r="C6" s="68" t="s">
        <v>131</v>
      </c>
      <c r="D6" s="56" t="s">
        <v>122</v>
      </c>
      <c r="E6" s="43"/>
      <c r="F6" s="43"/>
      <c r="G6" s="43"/>
      <c r="H6" s="64" t="s">
        <v>70</v>
      </c>
      <c r="I6" s="63" t="s">
        <v>122</v>
      </c>
      <c r="J6" s="43"/>
      <c r="K6" s="43"/>
      <c r="L6" s="43"/>
      <c r="M6" s="43"/>
      <c r="N6" s="43"/>
      <c r="O6" s="43"/>
      <c r="P6" s="43"/>
      <c r="Q6" s="43"/>
      <c r="R6" s="41"/>
      <c r="T6" s="41"/>
      <c r="U6" s="41"/>
      <c r="V6" s="41"/>
      <c r="W6" s="42"/>
      <c r="X6" s="42"/>
      <c r="Y6" s="42"/>
    </row>
    <row r="7" spans="1:25" ht="22.95" customHeight="1">
      <c r="A7" s="70" t="str" cm="1">
        <f t="array" ref="A7">INDEX($1:$1, ROW())</f>
        <v>LD2</v>
      </c>
      <c r="B7" s="71" t="str" cm="1">
        <f t="array" ref="B7">INDEX($2:$2, ROW())</f>
        <v/>
      </c>
      <c r="C7" s="68" t="s">
        <v>130</v>
      </c>
      <c r="D7" s="47"/>
      <c r="E7" s="43"/>
      <c r="F7" s="43" t="s">
        <v>70</v>
      </c>
      <c r="G7" s="43"/>
      <c r="H7" s="43"/>
      <c r="I7" s="43"/>
      <c r="J7" s="63" t="s">
        <v>122</v>
      </c>
      <c r="K7" s="64" t="s">
        <v>70</v>
      </c>
      <c r="L7" s="43"/>
      <c r="M7" s="43"/>
      <c r="N7" s="43" t="s">
        <v>70</v>
      </c>
      <c r="O7" s="43"/>
      <c r="P7" s="43"/>
      <c r="Q7" s="43"/>
      <c r="R7" s="41"/>
      <c r="S7" s="41"/>
      <c r="T7" s="41"/>
      <c r="U7" s="41"/>
      <c r="V7" s="41"/>
      <c r="W7" s="42"/>
      <c r="X7" s="42"/>
      <c r="Y7" s="42"/>
    </row>
    <row r="8" spans="1:25" ht="22.95" customHeight="1">
      <c r="A8" s="70" t="str" cm="1">
        <f t="array" ref="A8">INDEX($1:$1, ROW())</f>
        <v>Übgg</v>
      </c>
      <c r="B8" s="71" t="str" cm="1">
        <f t="array" ref="B8">INDEX($2:$2, ROW())</f>
        <v>re vor</v>
      </c>
      <c r="C8" s="68" t="s">
        <v>131</v>
      </c>
      <c r="D8" s="47"/>
      <c r="E8" s="43" t="s">
        <v>70</v>
      </c>
      <c r="F8" s="56" t="s">
        <v>122</v>
      </c>
      <c r="G8" s="43"/>
      <c r="H8" s="43"/>
      <c r="I8" s="43"/>
      <c r="J8" s="60" t="s">
        <v>70</v>
      </c>
      <c r="K8" s="61" t="s">
        <v>122</v>
      </c>
      <c r="L8" s="43"/>
      <c r="M8" s="43"/>
      <c r="N8" s="56" t="s">
        <v>122</v>
      </c>
      <c r="O8" s="43"/>
      <c r="P8" s="43"/>
      <c r="Q8" s="43"/>
      <c r="R8" s="41"/>
      <c r="S8" s="41"/>
      <c r="T8" s="41"/>
      <c r="U8" s="41"/>
      <c r="V8" s="41"/>
      <c r="W8" s="42"/>
      <c r="X8" s="42"/>
      <c r="Y8" s="42"/>
    </row>
    <row r="9" spans="1:25" ht="22.95" customHeight="1">
      <c r="A9" s="70" t="str" cm="1">
        <f t="array" ref="A9">INDEX($1:$1, ROW())</f>
        <v>Übgg</v>
      </c>
      <c r="B9" s="71" t="str" cm="1">
        <f t="array" ref="B9">INDEX($2:$2, ROW())</f>
        <v>re rü</v>
      </c>
      <c r="C9" s="68" t="s">
        <v>131</v>
      </c>
      <c r="D9" s="47"/>
      <c r="E9" s="56" t="s">
        <v>122</v>
      </c>
      <c r="F9" s="43" t="s">
        <v>70</v>
      </c>
      <c r="G9" s="58"/>
      <c r="H9" s="43"/>
      <c r="I9" s="43"/>
      <c r="J9" s="61" t="s">
        <v>122</v>
      </c>
      <c r="K9" s="60" t="s">
        <v>70</v>
      </c>
      <c r="L9" s="43"/>
      <c r="M9" s="43"/>
      <c r="N9" s="43" t="s">
        <v>70</v>
      </c>
      <c r="O9" s="43"/>
      <c r="P9" s="43"/>
      <c r="Q9" s="43"/>
      <c r="R9" s="41"/>
      <c r="S9" s="41"/>
      <c r="T9" s="41"/>
      <c r="U9" s="41"/>
      <c r="V9" s="41"/>
      <c r="W9" s="42"/>
      <c r="X9" s="42"/>
      <c r="Y9" s="42"/>
    </row>
    <row r="10" spans="1:25" ht="22.95" customHeight="1">
      <c r="A10" s="70" t="str" cm="1">
        <f t="array" ref="A10">INDEX($1:$1, ROW())</f>
        <v>Übgg</v>
      </c>
      <c r="B10" s="71" t="str" cm="1">
        <f t="array" ref="B10">INDEX($2:$2, ROW())</f>
        <v>li vor</v>
      </c>
      <c r="C10" s="68" t="s">
        <v>130</v>
      </c>
      <c r="D10" s="56" t="s">
        <v>122</v>
      </c>
      <c r="E10" s="43"/>
      <c r="F10" s="43"/>
      <c r="G10" s="43" t="s">
        <v>70</v>
      </c>
      <c r="H10" s="60" t="s">
        <v>70</v>
      </c>
      <c r="I10" s="60" t="s">
        <v>70</v>
      </c>
      <c r="J10" s="43"/>
      <c r="K10" s="43"/>
      <c r="L10" s="43"/>
      <c r="M10" s="43"/>
      <c r="N10" s="43"/>
      <c r="O10" s="43"/>
      <c r="P10" s="43"/>
      <c r="Q10" s="43"/>
      <c r="R10" s="41"/>
      <c r="S10" s="41"/>
      <c r="T10" s="41"/>
      <c r="U10" s="41"/>
      <c r="V10" s="41"/>
      <c r="W10" s="42"/>
      <c r="X10" s="42"/>
      <c r="Y10" s="42"/>
    </row>
    <row r="11" spans="1:25" ht="22.95" customHeight="1">
      <c r="A11" s="70" t="str" cm="1">
        <f t="array" ref="A11">INDEX($1:$1, ROW())</f>
        <v>Übgg</v>
      </c>
      <c r="B11" s="71" t="str" cm="1">
        <f t="array" ref="B11">INDEX($2:$2, ROW())</f>
        <v>li rü</v>
      </c>
      <c r="C11" s="68" t="s">
        <v>130</v>
      </c>
      <c r="D11" s="47" t="s">
        <v>70</v>
      </c>
      <c r="E11" s="43"/>
      <c r="F11" s="43"/>
      <c r="G11" s="58" t="s">
        <v>122</v>
      </c>
      <c r="H11" s="60" t="s">
        <v>70</v>
      </c>
      <c r="I11" s="60" t="s">
        <v>70</v>
      </c>
      <c r="J11" s="43"/>
      <c r="K11" s="43"/>
      <c r="L11" s="43"/>
      <c r="M11" s="43"/>
      <c r="N11" s="43"/>
      <c r="O11" s="43"/>
      <c r="P11" s="43"/>
      <c r="Q11" s="43"/>
      <c r="R11" s="41"/>
      <c r="S11" s="41"/>
      <c r="T11" s="41"/>
      <c r="U11" s="41"/>
      <c r="V11" s="41"/>
      <c r="W11" s="42"/>
      <c r="X11" s="42"/>
      <c r="Y11" s="42"/>
    </row>
    <row r="12" spans="1:25" ht="22.95" customHeight="1">
      <c r="A12" s="70" t="str" cm="1">
        <f t="array" ref="A12">INDEX($1:$1, ROW())</f>
        <v>außenstl We</v>
      </c>
      <c r="B12" s="71" t="str" cm="1">
        <f t="array" ref="B12">INDEX($2:$2, ROW())</f>
        <v>geschl</v>
      </c>
      <c r="C12" s="68" t="s">
        <v>130</v>
      </c>
      <c r="D12" s="47" t="s">
        <v>70</v>
      </c>
      <c r="E12" s="43"/>
      <c r="F12" s="43"/>
      <c r="G12" s="43"/>
      <c r="H12" s="43"/>
      <c r="I12" s="43"/>
      <c r="J12" s="43"/>
      <c r="K12" s="43" t="s">
        <v>70</v>
      </c>
      <c r="L12" s="43"/>
      <c r="M12" s="43"/>
      <c r="N12" s="43"/>
      <c r="O12" s="43"/>
      <c r="P12" s="43"/>
      <c r="Q12" s="43"/>
      <c r="R12" s="41"/>
      <c r="S12" s="41"/>
      <c r="T12" s="41"/>
      <c r="U12" s="41"/>
      <c r="V12" s="41"/>
      <c r="W12" s="42"/>
      <c r="X12" s="42"/>
      <c r="Y12" s="42"/>
    </row>
    <row r="13" spans="1:25" ht="22.95" customHeight="1">
      <c r="A13" s="70" t="str" cm="1">
        <f t="array" ref="A13">INDEX($1:$1, ROW())</f>
        <v>außenstl We</v>
      </c>
      <c r="B13" s="71" t="str" cm="1">
        <f t="array" ref="B13">INDEX($2:$2, ROW())</f>
        <v>in PP</v>
      </c>
      <c r="C13" s="68" t="s">
        <v>130</v>
      </c>
      <c r="D13" s="47" t="s">
        <v>70</v>
      </c>
      <c r="E13" s="43"/>
      <c r="F13" s="43"/>
      <c r="G13" s="43"/>
      <c r="H13" s="43"/>
      <c r="I13" s="43"/>
      <c r="J13" s="43"/>
      <c r="K13" s="43" t="s">
        <v>70</v>
      </c>
      <c r="L13" s="43"/>
      <c r="M13" s="43"/>
      <c r="N13" s="43"/>
      <c r="O13" s="43"/>
      <c r="P13" s="43"/>
      <c r="Q13" s="43"/>
      <c r="R13" s="41"/>
      <c r="S13" s="41"/>
      <c r="T13" s="41"/>
      <c r="U13" s="41"/>
      <c r="V13" s="41"/>
      <c r="W13" s="42"/>
      <c r="X13" s="42"/>
      <c r="Y13" s="42"/>
    </row>
    <row r="14" spans="1:25" ht="22.95" customHeight="1">
      <c r="A14" s="70" t="str" cm="1">
        <f t="array" ref="A14">INDEX($1:$1, ROW())</f>
        <v>Kreisel</v>
      </c>
      <c r="B14" s="71" t="str" cm="1">
        <f t="array" ref="B14">INDEX($2:$2, ROW())</f>
        <v>geschl</v>
      </c>
      <c r="C14" s="68" t="s">
        <v>130</v>
      </c>
      <c r="D14" s="47" t="s">
        <v>70</v>
      </c>
      <c r="E14" s="43"/>
      <c r="F14" s="43"/>
      <c r="G14" s="43"/>
      <c r="H14" s="43"/>
      <c r="I14" s="43" t="s">
        <v>70</v>
      </c>
      <c r="J14" s="43"/>
      <c r="K14" s="43"/>
      <c r="L14" s="43"/>
      <c r="M14" s="43"/>
      <c r="N14" s="43"/>
      <c r="O14" s="43"/>
      <c r="P14" s="43"/>
      <c r="Q14" s="43"/>
      <c r="R14" s="41"/>
      <c r="S14" s="41"/>
      <c r="T14" s="41"/>
      <c r="U14" s="41"/>
      <c r="V14" s="41"/>
      <c r="W14" s="42"/>
      <c r="X14" s="42"/>
      <c r="Y14" s="42"/>
    </row>
    <row r="15" spans="1:25" ht="22.95" customHeight="1">
      <c r="A15" s="70" t="str" cm="1">
        <f t="array" ref="A15">INDEX($1:$1, ROW())</f>
        <v>Kreisel</v>
      </c>
      <c r="B15" s="71" t="str" cm="1">
        <f t="array" ref="B15">INDEX($2:$2, ROW())</f>
        <v>in PP</v>
      </c>
      <c r="C15" s="68" t="s">
        <v>130</v>
      </c>
      <c r="D15" s="47" t="s">
        <v>70</v>
      </c>
      <c r="E15" s="43"/>
      <c r="F15" s="43"/>
      <c r="G15" s="43"/>
      <c r="H15" s="43"/>
      <c r="I15" s="43" t="s">
        <v>70</v>
      </c>
      <c r="J15" s="43"/>
      <c r="K15" s="43"/>
      <c r="L15" s="43"/>
      <c r="M15" s="43"/>
      <c r="N15" s="43"/>
      <c r="O15" s="43"/>
      <c r="P15" s="43"/>
      <c r="Q15" s="43"/>
      <c r="R15" s="41"/>
      <c r="S15" s="41"/>
      <c r="T15" s="41"/>
      <c r="U15" s="41"/>
      <c r="V15" s="41"/>
      <c r="W15" s="42"/>
      <c r="X15" s="42"/>
      <c r="Y15" s="42"/>
    </row>
    <row r="16" spans="1:25" ht="22.95" customHeight="1">
      <c r="A16" s="70" t="str" cm="1">
        <f t="array" ref="A16">INDEX($1:$1, ROW())</f>
        <v>Wischer</v>
      </c>
      <c r="B16" s="71" t="str" cm="1">
        <f t="array" ref="B16">INDEX($2:$2, ROW())</f>
        <v>(PP)</v>
      </c>
      <c r="C16" s="68" t="s">
        <v>130</v>
      </c>
      <c r="D16" s="47"/>
      <c r="E16" s="43"/>
      <c r="F16" s="43"/>
      <c r="G16" s="43" t="s">
        <v>70</v>
      </c>
      <c r="H16" s="43" t="s">
        <v>70</v>
      </c>
      <c r="I16" s="43"/>
      <c r="J16" s="43"/>
      <c r="K16" s="43"/>
      <c r="L16" s="43"/>
      <c r="M16" s="43"/>
      <c r="N16" s="43"/>
      <c r="O16" s="43"/>
      <c r="P16" s="43"/>
      <c r="Q16" s="43"/>
      <c r="R16" s="41"/>
      <c r="S16" s="41"/>
      <c r="T16" s="41"/>
      <c r="U16" s="41"/>
      <c r="V16" s="41"/>
      <c r="W16" s="42"/>
      <c r="X16" s="42"/>
      <c r="Y16" s="42"/>
    </row>
    <row r="17" spans="1:25" ht="22.95" customHeight="1">
      <c r="A17" s="72" t="str" cm="1">
        <f t="array" ref="A17">INDEX($1:$1, ROW())</f>
        <v>Chassé</v>
      </c>
      <c r="B17" s="73" t="str" cm="1">
        <f t="array" ref="B17">INDEX($2:$2, ROW())</f>
        <v>n links</v>
      </c>
      <c r="C17" s="68" t="s">
        <v>131</v>
      </c>
      <c r="D17" s="47"/>
      <c r="E17" s="43"/>
      <c r="F17" s="43" t="s">
        <v>70</v>
      </c>
      <c r="G17" s="43"/>
      <c r="H17" s="43"/>
      <c r="I17" s="43"/>
      <c r="J17" s="43"/>
      <c r="K17" s="43"/>
      <c r="L17" s="43"/>
      <c r="M17" s="43" t="s">
        <v>70</v>
      </c>
      <c r="N17" s="43"/>
      <c r="O17" s="43" t="s">
        <v>70</v>
      </c>
      <c r="P17" s="43" t="s">
        <v>70</v>
      </c>
      <c r="Q17" s="43"/>
      <c r="R17" s="41"/>
      <c r="S17" s="41"/>
      <c r="T17" s="41"/>
      <c r="U17" s="41"/>
      <c r="V17" s="41"/>
      <c r="W17" s="42"/>
      <c r="X17" s="42"/>
      <c r="Y17" s="42"/>
    </row>
    <row r="18" spans="1:25" ht="22.95" customHeight="1">
      <c r="A18" s="51" t="str" cm="1">
        <f t="array" ref="A18">INDEX($1:$1, ROW())</f>
        <v>Chassé</v>
      </c>
      <c r="B18" s="55" t="str" cm="1">
        <f t="array" ref="B18">INDEX($2:$2, ROW())</f>
        <v>n rechts</v>
      </c>
      <c r="C18" s="49"/>
      <c r="D18" s="48" t="s">
        <v>70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2"/>
      <c r="X18" s="42"/>
      <c r="Y18" s="42"/>
    </row>
    <row r="19" spans="1:25" ht="22.95" customHeight="1">
      <c r="A19" s="51" t="str" cm="1">
        <f t="array" ref="A19">INDEX($1:$1, ROW())</f>
        <v>Impetus</v>
      </c>
      <c r="B19" s="55" t="str" cm="1">
        <f t="array" ref="B19">INDEX($2:$2, ROW())</f>
        <v>geschl</v>
      </c>
      <c r="C19" s="49"/>
      <c r="D19" s="48" t="s">
        <v>70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2"/>
      <c r="X19" s="42"/>
      <c r="Y19" s="42"/>
    </row>
    <row r="20" spans="1:25" ht="22.95" customHeight="1">
      <c r="A20" s="51" t="str" cm="1">
        <f t="array" ref="A20">INDEX($1:$1, ROW())</f>
        <v>Impetus</v>
      </c>
      <c r="B20" s="55" t="str" cm="1">
        <f t="array" ref="B20">INDEX($2:$2, ROW())</f>
        <v>in PP</v>
      </c>
      <c r="C20" s="49"/>
      <c r="D20" s="48" t="s">
        <v>70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2"/>
      <c r="X20" s="42"/>
      <c r="Y20" s="42"/>
    </row>
    <row r="21" spans="1:25" ht="22.95" customHeight="1">
      <c r="A21" s="51" t="str" cm="1">
        <f t="array" ref="A21">INDEX($1:$1, ROW())</f>
        <v>Flugschritt</v>
      </c>
      <c r="B21" s="55" cm="1">
        <f t="array" ref="B21">INDEX($2:$2, ROW())</f>
        <v>0</v>
      </c>
      <c r="C21" s="49"/>
      <c r="D21" s="48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2"/>
      <c r="X21" s="42"/>
      <c r="Y21" s="42"/>
    </row>
    <row r="22" spans="1:25" ht="22.95" customHeight="1">
      <c r="A22" s="51" t="str" cm="1">
        <f t="array" ref="A22">INDEX($1:$1, ROW())</f>
        <v>Flechte</v>
      </c>
      <c r="B22" s="55" cm="1">
        <f t="array" ref="B22">INDEX($2:$2, ROW())</f>
        <v>0</v>
      </c>
      <c r="C22" s="49"/>
      <c r="D22" s="48"/>
      <c r="E22" s="41"/>
      <c r="F22" s="41"/>
      <c r="G22" s="41"/>
      <c r="H22" s="41"/>
      <c r="I22" s="41"/>
      <c r="J22" s="41"/>
      <c r="K22" s="41"/>
      <c r="L22" s="41"/>
      <c r="M22" s="41" t="s">
        <v>70</v>
      </c>
      <c r="N22" s="41"/>
      <c r="O22" s="41" t="s">
        <v>70</v>
      </c>
      <c r="P22" s="41"/>
      <c r="Q22" s="41"/>
      <c r="R22" s="41"/>
      <c r="S22" s="41"/>
      <c r="T22" s="41"/>
      <c r="U22" s="41"/>
      <c r="V22" s="41"/>
      <c r="W22" s="42"/>
      <c r="X22" s="42"/>
      <c r="Y22" s="42"/>
    </row>
    <row r="23" spans="1:25" ht="22.95" customHeight="1">
      <c r="A23" s="51" t="str" cm="1">
        <f t="array" ref="A23">INDEX($1:$1, ROW())</f>
        <v>Zögerwechsel</v>
      </c>
      <c r="B23" s="55" cm="1">
        <f t="array" ref="B23">INDEX($2:$2, ROW())</f>
        <v>0</v>
      </c>
      <c r="C23" s="49"/>
      <c r="D23" s="48" t="s">
        <v>70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2"/>
      <c r="X23" s="42"/>
      <c r="Y23" s="42"/>
    </row>
    <row r="24" spans="1:25" ht="22.95" customHeight="1">
      <c r="A24" s="51" cm="1">
        <f t="array" ref="A24">INDEX($1:$1, ROW())</f>
        <v>0</v>
      </c>
      <c r="B24" s="55" cm="1">
        <f t="array" ref="B24">INDEX($2:$2, ROW())</f>
        <v>0</v>
      </c>
      <c r="C24" s="49"/>
      <c r="D24" s="48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2"/>
      <c r="X24" s="42"/>
      <c r="Y24" s="42"/>
    </row>
    <row r="25" spans="1:25" ht="22.95" customHeight="1">
      <c r="A25" s="51" cm="1">
        <f t="array" ref="A25">INDEX($1:$1, ROW())</f>
        <v>0</v>
      </c>
      <c r="B25" s="55"/>
      <c r="C25" s="49"/>
    </row>
    <row r="27" spans="1:25" ht="22.95" customHeight="1">
      <c r="A27" s="54" t="s">
        <v>122</v>
      </c>
      <c r="B27" s="53" t="s">
        <v>119</v>
      </c>
    </row>
  </sheetData>
  <mergeCells count="3">
    <mergeCell ref="B1:C1"/>
    <mergeCell ref="A3:B3"/>
    <mergeCell ref="A1:A2"/>
  </mergeCells>
  <pageMargins left="0.70866141732283472" right="0.31496062992125984" top="0.74803149606299213" bottom="0.74803149606299213" header="0.31496062992125984" footer="0.31496062992125984"/>
  <pageSetup paperSize="9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/>
  <dimension ref="A1:D16"/>
  <sheetViews>
    <sheetView workbookViewId="0">
      <selection activeCell="A3" sqref="A3"/>
    </sheetView>
  </sheetViews>
  <sheetFormatPr baseColWidth="10" defaultColWidth="11.44140625" defaultRowHeight="17.399999999999999"/>
  <cols>
    <col min="1" max="1" width="26.5546875" style="3" customWidth="1"/>
    <col min="2" max="3" width="32.6640625" style="3" customWidth="1"/>
    <col min="4" max="4" width="29.5546875" style="3" customWidth="1"/>
    <col min="5" max="16384" width="11.44140625" style="3"/>
  </cols>
  <sheetData>
    <row r="1" spans="1:4" ht="30" customHeight="1">
      <c r="B1" s="496" t="s">
        <v>58</v>
      </c>
      <c r="C1" s="496"/>
    </row>
    <row r="2" spans="1:4" ht="45" customHeight="1">
      <c r="A2" s="3" t="s">
        <v>65</v>
      </c>
      <c r="B2" s="496" t="s">
        <v>59</v>
      </c>
      <c r="C2" s="496"/>
      <c r="D2" s="3" t="s">
        <v>63</v>
      </c>
    </row>
    <row r="3" spans="1:4" ht="30" customHeight="1">
      <c r="A3" s="3" t="s">
        <v>60</v>
      </c>
      <c r="D3" s="3" t="s">
        <v>61</v>
      </c>
    </row>
    <row r="4" spans="1:4" ht="30" customHeight="1"/>
    <row r="5" spans="1:4" ht="30" customHeight="1"/>
    <row r="6" spans="1:4" ht="30" customHeight="1"/>
    <row r="7" spans="1:4" ht="30" customHeight="1"/>
    <row r="8" spans="1:4" ht="30" customHeight="1">
      <c r="A8" s="3" t="s">
        <v>55</v>
      </c>
      <c r="D8" s="3" t="s">
        <v>57</v>
      </c>
    </row>
    <row r="9" spans="1:4" ht="30" customHeight="1">
      <c r="A9" s="3" t="s">
        <v>56</v>
      </c>
      <c r="D9" s="3" t="s">
        <v>49</v>
      </c>
    </row>
    <row r="10" spans="1:4" ht="30" customHeight="1"/>
    <row r="11" spans="1:4" ht="30" customHeight="1"/>
    <row r="12" spans="1:4" ht="30" customHeight="1"/>
    <row r="13" spans="1:4" ht="30" customHeight="1"/>
    <row r="14" spans="1:4" ht="30" customHeight="1">
      <c r="A14" s="3" t="s">
        <v>64</v>
      </c>
      <c r="D14" s="3" t="s">
        <v>50</v>
      </c>
    </row>
    <row r="15" spans="1:4" ht="30" customHeight="1">
      <c r="A15" s="3" t="s">
        <v>54</v>
      </c>
      <c r="B15" s="496" t="s">
        <v>52</v>
      </c>
      <c r="C15" s="496"/>
      <c r="D15" s="3" t="s">
        <v>51</v>
      </c>
    </row>
    <row r="16" spans="1:4" ht="30" customHeight="1">
      <c r="B16" s="496" t="s">
        <v>53</v>
      </c>
      <c r="C16" s="496"/>
    </row>
  </sheetData>
  <mergeCells count="4">
    <mergeCell ref="B15:C15"/>
    <mergeCell ref="B1:C1"/>
    <mergeCell ref="B16:C16"/>
    <mergeCell ref="B2:C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364D-4147-4A3D-B5B4-4B77CD1EE481}">
  <sheetPr codeName="Tabelle20"/>
  <dimension ref="A1:AC9"/>
  <sheetViews>
    <sheetView workbookViewId="0">
      <selection activeCell="A5" sqref="A5"/>
    </sheetView>
  </sheetViews>
  <sheetFormatPr baseColWidth="10" defaultColWidth="5.6640625" defaultRowHeight="14.4"/>
  <cols>
    <col min="1" max="1" width="8.5546875" customWidth="1"/>
    <col min="12" max="12" width="5.6640625" customWidth="1"/>
  </cols>
  <sheetData>
    <row r="1" spans="1:29" s="11" customFormat="1" ht="88.2" customHeight="1">
      <c r="A1" s="20" t="s">
        <v>94</v>
      </c>
      <c r="B1" s="229" t="s">
        <v>106</v>
      </c>
      <c r="C1" s="229" t="s">
        <v>133</v>
      </c>
      <c r="D1" s="229" t="s">
        <v>134</v>
      </c>
      <c r="E1" s="229" t="s">
        <v>220</v>
      </c>
      <c r="F1" s="229" t="s">
        <v>135</v>
      </c>
      <c r="G1" s="229" t="s">
        <v>143</v>
      </c>
      <c r="H1" s="229" t="s">
        <v>191</v>
      </c>
      <c r="I1" s="229" t="s">
        <v>231</v>
      </c>
      <c r="J1" s="229" t="s">
        <v>219</v>
      </c>
      <c r="K1" s="229" t="s">
        <v>382</v>
      </c>
      <c r="L1" s="474" t="s">
        <v>68</v>
      </c>
      <c r="M1" s="229" t="s">
        <v>69</v>
      </c>
      <c r="N1" s="229" t="s">
        <v>14</v>
      </c>
      <c r="O1" s="229" t="s">
        <v>95</v>
      </c>
      <c r="P1" s="442"/>
      <c r="S1" s="16"/>
    </row>
    <row r="2" spans="1:29" s="11" customFormat="1" ht="25.2" customHeight="1"/>
    <row r="3" spans="1:29" s="11" customFormat="1" ht="25.2" customHeight="1">
      <c r="A3" s="254" t="s">
        <v>97</v>
      </c>
      <c r="B3" s="497" t="s">
        <v>679</v>
      </c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S3" s="16"/>
      <c r="T3" s="478" t="s">
        <v>1059</v>
      </c>
      <c r="U3" s="479"/>
      <c r="V3" s="479"/>
      <c r="W3" s="479"/>
      <c r="X3" s="479"/>
      <c r="Y3" s="479"/>
      <c r="Z3" s="479"/>
      <c r="AA3" s="479"/>
      <c r="AB3" s="479"/>
      <c r="AC3" s="479"/>
    </row>
    <row r="4" spans="1:29" s="11" customFormat="1" ht="25.2" customHeight="1">
      <c r="A4" s="480" t="s">
        <v>633</v>
      </c>
      <c r="B4" s="237" t="s">
        <v>117</v>
      </c>
      <c r="C4" s="234" t="s">
        <v>70</v>
      </c>
      <c r="D4" s="234" t="s">
        <v>70</v>
      </c>
      <c r="E4" s="237" t="s">
        <v>117</v>
      </c>
      <c r="F4" s="237" t="s">
        <v>117</v>
      </c>
      <c r="G4" s="237" t="s">
        <v>117</v>
      </c>
      <c r="H4" s="237" t="s">
        <v>117</v>
      </c>
      <c r="I4" s="237" t="s">
        <v>117</v>
      </c>
      <c r="J4" s="237" t="s">
        <v>117</v>
      </c>
      <c r="K4" s="237" t="s">
        <v>117</v>
      </c>
      <c r="L4" s="236"/>
      <c r="M4" s="234"/>
      <c r="N4" s="241"/>
      <c r="O4" s="241"/>
      <c r="P4" s="158" t="s">
        <v>1070</v>
      </c>
      <c r="S4" s="16"/>
    </row>
    <row r="5" spans="1:29" s="11" customFormat="1" ht="25.2" customHeight="1">
      <c r="A5" s="476" t="s">
        <v>97</v>
      </c>
      <c r="B5" s="237" t="s">
        <v>70</v>
      </c>
      <c r="C5" s="237" t="s">
        <v>70</v>
      </c>
      <c r="D5" s="237" t="s">
        <v>70</v>
      </c>
      <c r="E5" s="237" t="s">
        <v>70</v>
      </c>
      <c r="F5" s="237" t="s">
        <v>70</v>
      </c>
      <c r="G5" s="237" t="s">
        <v>70</v>
      </c>
      <c r="H5" s="237" t="s">
        <v>70</v>
      </c>
      <c r="I5" s="237" t="s">
        <v>70</v>
      </c>
      <c r="J5" s="237" t="s">
        <v>70</v>
      </c>
      <c r="K5" s="237" t="s">
        <v>70</v>
      </c>
      <c r="L5" s="235"/>
      <c r="M5" s="234"/>
      <c r="N5" s="241"/>
      <c r="O5" s="241"/>
      <c r="P5" s="158" t="s">
        <v>1070</v>
      </c>
      <c r="S5" s="16"/>
      <c r="T5" s="477" t="s">
        <v>1057</v>
      </c>
    </row>
    <row r="6" spans="1:29" s="11" customFormat="1" ht="25.2" customHeight="1">
      <c r="T6" s="477" t="s">
        <v>1058</v>
      </c>
    </row>
    <row r="7" spans="1:29" s="11" customFormat="1" ht="25.2" customHeight="1">
      <c r="A7" s="254" t="s">
        <v>97</v>
      </c>
      <c r="B7" s="499" t="s">
        <v>978</v>
      </c>
      <c r="C7" s="500"/>
      <c r="D7" s="500"/>
      <c r="E7" s="500"/>
      <c r="F7" s="500"/>
      <c r="G7" s="500"/>
      <c r="H7" s="500"/>
      <c r="I7" s="500"/>
      <c r="J7" s="500"/>
      <c r="K7" s="500"/>
      <c r="L7" s="500"/>
      <c r="M7" s="500"/>
      <c r="N7" s="500"/>
      <c r="O7" s="500"/>
      <c r="S7" s="16"/>
    </row>
    <row r="8" spans="1:29" ht="25.2" customHeight="1">
      <c r="A8" s="480" t="s">
        <v>1072</v>
      </c>
      <c r="B8" s="237" t="s">
        <v>117</v>
      </c>
      <c r="C8" s="234" t="s">
        <v>70</v>
      </c>
      <c r="D8" s="234" t="s">
        <v>70</v>
      </c>
      <c r="E8" s="237" t="s">
        <v>117</v>
      </c>
      <c r="F8" s="237" t="s">
        <v>117</v>
      </c>
      <c r="G8" s="237" t="s">
        <v>117</v>
      </c>
      <c r="H8" s="237" t="s">
        <v>117</v>
      </c>
      <c r="I8" s="237" t="s">
        <v>117</v>
      </c>
      <c r="J8" s="237" t="s">
        <v>117</v>
      </c>
      <c r="K8" s="237" t="s">
        <v>117</v>
      </c>
      <c r="L8" s="475" t="s">
        <v>632</v>
      </c>
      <c r="M8" s="234"/>
      <c r="N8" s="241"/>
      <c r="O8" s="241"/>
      <c r="P8" s="158" t="s">
        <v>1071</v>
      </c>
    </row>
    <row r="9" spans="1:29" ht="25.2" customHeight="1">
      <c r="A9" s="476" t="s">
        <v>97</v>
      </c>
      <c r="B9" s="237" t="s">
        <v>70</v>
      </c>
      <c r="C9" s="234" t="s">
        <v>70</v>
      </c>
      <c r="D9" s="234" t="s">
        <v>70</v>
      </c>
      <c r="E9" s="237" t="s">
        <v>70</v>
      </c>
      <c r="F9" s="237" t="s">
        <v>70</v>
      </c>
      <c r="G9" s="237" t="s">
        <v>70</v>
      </c>
      <c r="H9" s="237" t="s">
        <v>70</v>
      </c>
      <c r="I9" s="237" t="s">
        <v>70</v>
      </c>
      <c r="J9" s="237" t="s">
        <v>70</v>
      </c>
      <c r="K9" s="237" t="s">
        <v>70</v>
      </c>
      <c r="L9" s="235"/>
      <c r="M9" s="234"/>
      <c r="N9" s="241"/>
      <c r="O9" s="241"/>
      <c r="P9" s="158" t="s">
        <v>1070</v>
      </c>
    </row>
  </sheetData>
  <mergeCells count="2">
    <mergeCell ref="B3:O3"/>
    <mergeCell ref="B7:O7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25</vt:i4>
      </vt:variant>
      <vt:variant>
        <vt:lpstr>Benannte Bereiche</vt:lpstr>
      </vt:variant>
      <vt:variant>
        <vt:i4>2</vt:i4>
      </vt:variant>
    </vt:vector>
  </HeadingPairs>
  <TitlesOfParts>
    <vt:vector size="27" baseType="lpstr">
      <vt:lpstr>LI</vt:lpstr>
      <vt:lpstr>pdf</vt:lpstr>
      <vt:lpstr>Tabelle1</vt:lpstr>
      <vt:lpstr>Folgen</vt:lpstr>
      <vt:lpstr>pdf_</vt:lpstr>
      <vt:lpstr>CC</vt:lpstr>
      <vt:lpstr>JI</vt:lpstr>
      <vt:lpstr>RB</vt:lpstr>
      <vt:lpstr>SB</vt:lpstr>
      <vt:lpstr>DF</vt:lpstr>
      <vt:lpstr>QS</vt:lpstr>
      <vt:lpstr>SF</vt:lpstr>
      <vt:lpstr>SW</vt:lpstr>
      <vt:lpstr>TG</vt:lpstr>
      <vt:lpstr>VW</vt:lpstr>
      <vt:lpstr>AS</vt:lpstr>
      <vt:lpstr>SS</vt:lpstr>
      <vt:lpstr>LAT</vt:lpstr>
      <vt:lpstr>STD</vt:lpstr>
      <vt:lpstr>ALL</vt:lpstr>
      <vt:lpstr>CCF</vt:lpstr>
      <vt:lpstr>STD_F</vt:lpstr>
      <vt:lpstr>SW PreFol</vt:lpstr>
      <vt:lpstr>Raumrichtungen</vt:lpstr>
      <vt:lpstr>def</vt:lpstr>
      <vt:lpstr>Folgen!Druckbereich</vt:lpstr>
      <vt:lpstr>LI!Druckbereich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</dc:creator>
  <cp:lastModifiedBy>Volker</cp:lastModifiedBy>
  <cp:lastPrinted>2026-08-04T14:43:23Z</cp:lastPrinted>
  <dcterms:created xsi:type="dcterms:W3CDTF">2015-06-05T18:19:34Z</dcterms:created>
  <dcterms:modified xsi:type="dcterms:W3CDTF">2026-08-05T06:43:27Z</dcterms:modified>
</cp:coreProperties>
</file>