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Volker\Documents\Tanzen\Archiv\"/>
    </mc:Choice>
  </mc:AlternateContent>
  <xr:revisionPtr revIDLastSave="0" documentId="13_ncr:1_{274BD39A-678B-4EFB-B38F-8C24E9661F4E}" xr6:coauthVersionLast="47" xr6:coauthVersionMax="47" xr10:uidLastSave="{00000000-0000-0000-0000-000000000000}"/>
  <bookViews>
    <workbookView xWindow="-108" yWindow="-108" windowWidth="23256" windowHeight="12456" tabRatio="815" activeTab="9" xr2:uid="{00000000-000D-0000-FFFF-FFFF00000000}"/>
  </bookViews>
  <sheets>
    <sheet name="pdf" sheetId="37" r:id="rId1"/>
    <sheet name="pdf_" sheetId="38" r:id="rId2"/>
    <sheet name="CC" sheetId="17" r:id="rId3"/>
    <sheet name="JI" sheetId="18" r:id="rId4"/>
    <sheet name="RB" sheetId="16" r:id="rId5"/>
    <sheet name="SB" sheetId="19" r:id="rId6"/>
    <sheet name="DF" sheetId="15" r:id="rId7"/>
    <sheet name="QS" sheetId="12" r:id="rId8"/>
    <sheet name="SF" sheetId="21" r:id="rId9"/>
    <sheet name="SW" sheetId="11" r:id="rId10"/>
    <sheet name="AS" sheetId="29" r:id="rId11"/>
    <sheet name="TG" sheetId="13" r:id="rId12"/>
    <sheet name="VW" sheetId="14" r:id="rId13"/>
    <sheet name="SS" sheetId="24" r:id="rId14"/>
    <sheet name="LAT" sheetId="26" r:id="rId15"/>
    <sheet name="STD" sheetId="27" r:id="rId16"/>
    <sheet name="ALL" sheetId="28" r:id="rId17"/>
    <sheet name="CCF" sheetId="20" r:id="rId18"/>
    <sheet name="STD_F" sheetId="39" r:id="rId19"/>
    <sheet name="SW PreFol" sheetId="8" r:id="rId20"/>
    <sheet name="Raumrichtungen" sheetId="9" r:id="rId21"/>
    <sheet name="def" sheetId="31" r:id="rId2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S11" i="11" l="1"/>
  <c r="R11" i="11" s="1"/>
  <c r="B19" i="39"/>
  <c r="B20" i="39" s="1"/>
  <c r="B21" i="39" s="1"/>
  <c r="B22" i="39" s="1"/>
  <c r="B23" i="39" s="1"/>
  <c r="B24" i="39" s="1"/>
  <c r="B25" i="39" s="1"/>
  <c r="B26" i="39" s="1"/>
  <c r="B27" i="39" s="1"/>
  <c r="B28" i="39" s="1"/>
  <c r="B29" i="39" s="1"/>
  <c r="B30" i="39" s="1"/>
  <c r="B31" i="39" s="1"/>
  <c r="B32" i="39" s="1"/>
  <c r="B33" i="39" s="1"/>
  <c r="B34" i="39" s="1"/>
  <c r="B35" i="39" s="1"/>
  <c r="B36" i="39" s="1"/>
  <c r="B37" i="39" s="1"/>
  <c r="J17" i="39"/>
  <c r="G17" i="39" s="1"/>
  <c r="E17" i="39"/>
  <c r="J3" i="39"/>
  <c r="G3" i="39" s="1"/>
  <c r="E3" i="39"/>
  <c r="B19" i="20"/>
  <c r="B20" i="20" s="1"/>
  <c r="B21" i="20" s="1"/>
  <c r="B22" i="20" s="1"/>
  <c r="B23" i="20" s="1"/>
  <c r="B24" i="20" s="1"/>
  <c r="B25" i="20" s="1"/>
  <c r="B26" i="20" s="1"/>
  <c r="B27" i="20" s="1"/>
  <c r="B28" i="20" s="1"/>
  <c r="B29" i="20" s="1"/>
  <c r="B30" i="20" s="1"/>
  <c r="B31" i="20" s="1"/>
  <c r="B32" i="20" s="1"/>
  <c r="B33" i="20" s="1"/>
  <c r="B34" i="20" s="1"/>
  <c r="B35" i="20" s="1"/>
  <c r="B36" i="20" s="1"/>
  <c r="B37" i="20" s="1"/>
  <c r="E17" i="20"/>
  <c r="J17" i="20"/>
  <c r="G17" i="20" s="1"/>
  <c r="S22" i="17"/>
  <c r="R22" i="17" s="1"/>
  <c r="S17" i="17"/>
  <c r="S18" i="17"/>
  <c r="R18" i="17" s="1"/>
  <c r="S19" i="17"/>
  <c r="R19" i="17" s="1"/>
  <c r="S21" i="17"/>
  <c r="R21" i="17" s="1"/>
  <c r="S23" i="17"/>
  <c r="R23" i="17" s="1"/>
  <c r="S24" i="17"/>
  <c r="S25" i="17"/>
  <c r="S26" i="17"/>
  <c r="S27" i="17"/>
  <c r="S28" i="17"/>
  <c r="S29" i="17"/>
  <c r="S30" i="17"/>
  <c r="S31" i="17"/>
  <c r="S32" i="17"/>
  <c r="S33" i="17"/>
  <c r="S20" i="17"/>
  <c r="R20" i="17" s="1"/>
  <c r="E3" i="20"/>
  <c r="A1" i="8"/>
  <c r="A23" i="8" a="1"/>
  <c r="A23" i="8" s="1"/>
  <c r="A24" i="8" a="1"/>
  <c r="A24" i="8" s="1"/>
  <c r="A25" i="8" a="1"/>
  <c r="A25" i="8" s="1"/>
  <c r="B5" i="8" a="1"/>
  <c r="B5" i="8" s="1"/>
  <c r="B6" i="8" a="1"/>
  <c r="B6" i="8" s="1"/>
  <c r="B7" i="8" a="1"/>
  <c r="B7" i="8" s="1"/>
  <c r="B8" i="8" a="1"/>
  <c r="B8" i="8" s="1"/>
  <c r="B9" i="8" a="1"/>
  <c r="B9" i="8" s="1"/>
  <c r="B10" i="8" a="1"/>
  <c r="B10" i="8" s="1"/>
  <c r="B11" i="8" a="1"/>
  <c r="B11" i="8" s="1"/>
  <c r="B12" i="8" a="1"/>
  <c r="B12" i="8" s="1"/>
  <c r="B13" i="8" a="1"/>
  <c r="B13" i="8" s="1"/>
  <c r="B14" i="8" a="1"/>
  <c r="B14" i="8" s="1"/>
  <c r="B15" i="8" a="1"/>
  <c r="B15" i="8" s="1"/>
  <c r="B16" i="8" a="1"/>
  <c r="B16" i="8" s="1"/>
  <c r="B17" i="8" a="1"/>
  <c r="B17" i="8" s="1"/>
  <c r="B18" i="8" a="1"/>
  <c r="B18" i="8" s="1"/>
  <c r="B19" i="8" a="1"/>
  <c r="B19" i="8" s="1"/>
  <c r="B20" i="8" a="1"/>
  <c r="B20" i="8" s="1"/>
  <c r="B21" i="8" a="1"/>
  <c r="B21" i="8" s="1"/>
  <c r="B22" i="8" a="1"/>
  <c r="B22" i="8" s="1"/>
  <c r="B23" i="8" a="1"/>
  <c r="B23" i="8" s="1"/>
  <c r="B24" i="8" a="1"/>
  <c r="B24" i="8" s="1"/>
  <c r="B4" i="8" a="1"/>
  <c r="B4" i="8" s="1"/>
  <c r="A18" i="8" a="1"/>
  <c r="A18" i="8" s="1"/>
  <c r="A19" i="8" a="1"/>
  <c r="A19" i="8" s="1"/>
  <c r="A20" i="8" a="1"/>
  <c r="A20" i="8" s="1"/>
  <c r="A21" i="8" a="1"/>
  <c r="A21" i="8" s="1"/>
  <c r="A22" i="8" a="1"/>
  <c r="A22" i="8" s="1"/>
  <c r="A5" i="8" a="1"/>
  <c r="A5" i="8" s="1"/>
  <c r="A6" i="8" a="1"/>
  <c r="A6" i="8" s="1"/>
  <c r="A7" i="8" a="1"/>
  <c r="A7" i="8" s="1"/>
  <c r="A8" i="8" a="1"/>
  <c r="A8" i="8" s="1"/>
  <c r="A9" i="8" a="1"/>
  <c r="A9" i="8" s="1"/>
  <c r="A10" i="8" a="1"/>
  <c r="A10" i="8" s="1"/>
  <c r="A11" i="8" a="1"/>
  <c r="A11" i="8" s="1"/>
  <c r="A12" i="8" a="1"/>
  <c r="A12" i="8" s="1"/>
  <c r="A13" i="8" a="1"/>
  <c r="A13" i="8" s="1"/>
  <c r="A14" i="8" a="1"/>
  <c r="A14" i="8" s="1"/>
  <c r="A15" i="8" a="1"/>
  <c r="A15" i="8" s="1"/>
  <c r="A16" i="8" a="1"/>
  <c r="A16" i="8" s="1"/>
  <c r="A17" i="8" a="1"/>
  <c r="A17" i="8" s="1"/>
  <c r="A4" i="8" a="1"/>
  <c r="A4" i="8" s="1"/>
  <c r="J3" i="20" l="1"/>
  <c r="G3" i="20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<sst xmlns="http://schemas.openxmlformats.org/spreadsheetml/2006/main" count="3652" uniqueCount="792">
  <si>
    <t>Grundschritt</t>
  </si>
  <si>
    <t>He goes She goes</t>
  </si>
  <si>
    <t>(offene) Linksdrehung</t>
  </si>
  <si>
    <t xml:space="preserve">Link </t>
  </si>
  <si>
    <t>Rechtskreisel / natural spin turn</t>
  </si>
  <si>
    <t>Platzwechsel</t>
  </si>
  <si>
    <t>Musik, ab Minute 4:20</t>
  </si>
  <si>
    <t>Hand to Hand</t>
  </si>
  <si>
    <t>New York, Damensolo</t>
  </si>
  <si>
    <t>Egils</t>
  </si>
  <si>
    <t>Grundschritt mit Lockstep</t>
  </si>
  <si>
    <t>New York</t>
  </si>
  <si>
    <t>Kreisel</t>
  </si>
  <si>
    <t>Wischer</t>
  </si>
  <si>
    <t>Link</t>
  </si>
  <si>
    <t>Sweet Heart mit Walks</t>
  </si>
  <si>
    <t>Künkel</t>
  </si>
  <si>
    <t>Linksdrehung</t>
  </si>
  <si>
    <t>Rechts- und Linksdrehung</t>
  </si>
  <si>
    <t>Rechtsdrehung</t>
  </si>
  <si>
    <t>Rückwärts-Lockstep / Back Lock</t>
  </si>
  <si>
    <t>Fünferschritt</t>
  </si>
  <si>
    <t>Damensolo (underarm turn)</t>
  </si>
  <si>
    <t>in Planung</t>
  </si>
  <si>
    <t>Rechtsdrehung / natural turn</t>
  </si>
  <si>
    <t>Grundschritt, Kreisel, Lockstep</t>
  </si>
  <si>
    <t>Flirt / Hip bump</t>
  </si>
  <si>
    <t>Hier auch gute Erklärung zur weiteren Ausführung der Drehung</t>
  </si>
  <si>
    <t>einfach, mit wenig drehen</t>
  </si>
  <si>
    <t>gute Haltung, gut gedreht</t>
  </si>
  <si>
    <t>mit alternativem Grundschritt</t>
  </si>
  <si>
    <t>alle Grundlagenschritte</t>
  </si>
  <si>
    <t>Lockstep</t>
  </si>
  <si>
    <t>Außenseitlicher Wechsel / outside change</t>
  </si>
  <si>
    <t>bis Minute 1:40 mit anderem Ausgang</t>
  </si>
  <si>
    <t>(Damen-)schal</t>
  </si>
  <si>
    <t>Rückenschieber</t>
  </si>
  <si>
    <t>Rücken an Rücken aus der Brezel heraus</t>
  </si>
  <si>
    <t>Rope spinning / Lasso</t>
  </si>
  <si>
    <t>Box + Rechtsdrehung</t>
  </si>
  <si>
    <t>Bauchstreichler</t>
  </si>
  <si>
    <t>Damensolo</t>
  </si>
  <si>
    <t>Promenadenlink</t>
  </si>
  <si>
    <t>Drehung</t>
  </si>
  <si>
    <t>Flechte</t>
  </si>
  <si>
    <t>Box + Linksdrehung</t>
  </si>
  <si>
    <t>Rechtsdr - Übergang - Linksdr - Übgang</t>
  </si>
  <si>
    <t>Box=Übg-vor; Übg-rück</t>
  </si>
  <si>
    <t>Alternative, wenn Seite zu kurz:
bis AußStlWe, dann in PP
Chassee,
Rd an neuer Wand</t>
  </si>
  <si>
    <t>Folge 1</t>
  </si>
  <si>
    <t>GS, Damensolo
3xNY
Spotturn, GS
3 x H2H
Spotturn, GS</t>
  </si>
  <si>
    <t xml:space="preserve">C </t>
  </si>
  <si>
    <t>diagonal center</t>
  </si>
  <si>
    <t>DC</t>
  </si>
  <si>
    <t>Line of Dance</t>
  </si>
  <si>
    <t>LOD</t>
  </si>
  <si>
    <t>DW</t>
  </si>
  <si>
    <t>wall</t>
  </si>
  <si>
    <t xml:space="preserve">W </t>
  </si>
  <si>
    <t>center</t>
  </si>
  <si>
    <t>opposite Line of Dance</t>
  </si>
  <si>
    <t>oppLOD</t>
  </si>
  <si>
    <t>ODW</t>
  </si>
  <si>
    <t>ODC</t>
  </si>
  <si>
    <t>GS = viertel Rd + Chassé</t>
  </si>
  <si>
    <t>opposite diagonal center</t>
  </si>
  <si>
    <t>diagonal wall</t>
  </si>
  <si>
    <t>opposite diagonal wall</t>
  </si>
  <si>
    <t>Grundschritt (GS)</t>
  </si>
  <si>
    <t>Mooch</t>
  </si>
  <si>
    <t>Figur</t>
  </si>
  <si>
    <t>Kommentar</t>
  </si>
  <si>
    <t>x</t>
  </si>
  <si>
    <t>GS</t>
  </si>
  <si>
    <t>ChaChaCha nach rechts</t>
  </si>
  <si>
    <t>Spotturn oder NY oder GS</t>
  </si>
  <si>
    <t>Gegenüberstellung; ChaChaCha nach rechts</t>
  </si>
  <si>
    <t>https://www.youtube.com/watch?v=xNx16-QIJ_A</t>
  </si>
  <si>
    <t>https://youtu.be/750KiwjZSZw</t>
  </si>
  <si>
    <t>https://youtu.be/zganR8RkE4U</t>
  </si>
  <si>
    <t>https://youtu.be/EjAnf6eaAzs</t>
  </si>
  <si>
    <t>https://www.youtube.com/watch?v=qkdWREcdFnE</t>
  </si>
  <si>
    <t>c</t>
  </si>
  <si>
    <t>3 x NY</t>
  </si>
  <si>
    <t>Spotturn, GS</t>
  </si>
  <si>
    <t>3 x H2H</t>
  </si>
  <si>
    <t>GS, Damensolo</t>
  </si>
  <si>
    <t xml:space="preserve">GS bis Herr CCC nach links </t>
  </si>
  <si>
    <t>3 x Lockstep vor</t>
  </si>
  <si>
    <t>Wiege</t>
  </si>
  <si>
    <t>3 x Lockstep rück</t>
  </si>
  <si>
    <t>Eisenbahn</t>
  </si>
  <si>
    <t>Kleine Basic</t>
  </si>
  <si>
    <t>Kleiner Lockstep</t>
  </si>
  <si>
    <t>öffnen nach rechts, Lockstep</t>
  </si>
  <si>
    <t>geht auch nach links</t>
  </si>
  <si>
    <t>Admin</t>
  </si>
  <si>
    <t>Link comment</t>
  </si>
  <si>
    <t>lc1</t>
  </si>
  <si>
    <t>lc2</t>
  </si>
  <si>
    <t>com</t>
  </si>
  <si>
    <t>link</t>
  </si>
  <si>
    <t>def</t>
  </si>
  <si>
    <t>end</t>
  </si>
  <si>
    <t>start</t>
  </si>
  <si>
    <t>https://www.youtube.com/watch?v=w_2fA-27u0I&amp;list=PLxIl8YU658TtNKd9gmr8eenJjky8nE8yf</t>
  </si>
  <si>
    <t>https://www.google.com/search?client=firefox-b-d&amp;sca_esv=486c0866b8b04e5b&amp;cs=1&amp;sxsrf=AE3TifPtjptDcqbJhkrx11SFeUII7-5jPg:1762796628536&amp;q=cha+cha+cha+grundschritt+ohne+partner&amp;sa=X&amp;ved=2ahUKEwi75-iWkeiQAxVpUEEAHWOtHwYQpboHKAB6BAgDEAI&amp;biw=1920&amp;bih=947&amp;dpr=1#fpstate=ive&amp;vld=cid:b55a173d,vid:xNx16-QIJ_A,st:0</t>
  </si>
  <si>
    <t>https://www.google.com/search?client=firefox-b-d&amp;sca_esv=486c0866b8b04e5b&amp;cs=1&amp;sxsrf=AE3TifPtjptDcqbJhkrx11SFeUII7-5jPg:1762796628536&amp;q=cha+cha+cha+grundschritt+ohne+partner&amp;sa=X&amp;ved=2ahUKEwi75-iWkeiQAxVpUEEAHWOtHwYQpboHKAB6BAgDEAI&amp;biw=1920&amp;bih=947&amp;dpr=1#fpstate=ive&amp;vld=cid:b55a173d,vid:xNx16-QIJ_A,st:3</t>
  </si>
  <si>
    <t>Handtuch mit Box</t>
  </si>
  <si>
    <t>Alles</t>
  </si>
  <si>
    <t>RD1</t>
  </si>
  <si>
    <t>RD2</t>
  </si>
  <si>
    <t>Flugschritt</t>
  </si>
  <si>
    <t>geschl</t>
  </si>
  <si>
    <t>in PP</t>
  </si>
  <si>
    <t>n links</t>
  </si>
  <si>
    <t>n rechts</t>
  </si>
  <si>
    <t>außenstl We</t>
  </si>
  <si>
    <t>Chassé</t>
  </si>
  <si>
    <t>Impetus</t>
  </si>
  <si>
    <t/>
  </si>
  <si>
    <t>Zögerwechsel</t>
  </si>
  <si>
    <t>gegen die Tanzrichtung</t>
  </si>
  <si>
    <t>LD1</t>
  </si>
  <si>
    <t>LD2</t>
  </si>
  <si>
    <t>↑</t>
  </si>
  <si>
    <t>re vor</t>
  </si>
  <si>
    <t>Übgg</t>
  </si>
  <si>
    <t>re rü</t>
  </si>
  <si>
    <t>li vor</t>
  </si>
  <si>
    <t>li rü</t>
  </si>
  <si>
    <t>follow</t>
  </si>
  <si>
    <t>(PP)</t>
  </si>
  <si>
    <t>L</t>
  </si>
  <si>
    <t>R</t>
  </si>
  <si>
    <t>precede</t>
  </si>
  <si>
    <t>Gruppe 1</t>
  </si>
  <si>
    <t>Gruppe 2</t>
  </si>
  <si>
    <t>Gruppe 4</t>
  </si>
  <si>
    <t>12-12-12</t>
  </si>
  <si>
    <t>Kommentar zum SF</t>
  </si>
  <si>
    <t>Wischer und Chassé-Li</t>
  </si>
  <si>
    <t>Rd1+2 &lt;Ecke&gt; Rd1+2</t>
  </si>
  <si>
    <t>Rd1, Übg-LR-rw, Ld2; Übg-RL</t>
  </si>
  <si>
    <t>Rechtsdrehung auf einer geraden Linie</t>
  </si>
  <si>
    <t>https://youtu.be/uaxLFh0acRs</t>
  </si>
  <si>
    <t>Hans</t>
  </si>
  <si>
    <t>Backe-Backe-Kuchen</t>
  </si>
  <si>
    <t>https://www.youtube.com/watch?v=pnOwx5yvvpc</t>
  </si>
  <si>
    <t>https://www.youtube.com/watch?v=ePpWGq3DEVs</t>
  </si>
  <si>
    <t>https://www.youtube.com/watch?v=_PqZGqr9Yq4</t>
  </si>
  <si>
    <t>https://www.youtube.com/watch?v=tX-KTlJmwvw</t>
  </si>
  <si>
    <t>https://www.youtube.com/watch?v=driRiyoLYlE</t>
  </si>
  <si>
    <t>https://www.youtube.com/watch?v=TqsohTiEXi4</t>
  </si>
  <si>
    <t>https://www.youtube.com/watch?v=e-Vbt-jY-Gk</t>
  </si>
  <si>
    <t>https://www.youtube.com/shorts/szDZu6EjBAM</t>
  </si>
  <si>
    <t>https://www.youtube.com/watch?v=AHz_DogC-o0</t>
  </si>
  <si>
    <t>https://www.youtube.com/watch?v=EaJdUD7AbNw</t>
  </si>
  <si>
    <t>https://www.youtube.com/watch?v=7qb6TcsEUng</t>
  </si>
  <si>
    <t>https://www.youtube.com/watch?v=wXYSPdTK9Eg</t>
  </si>
  <si>
    <t>https://www.youtube.com/watch?v=gjfJ_4Zsvn8</t>
  </si>
  <si>
    <t>https://www.youtube.com/watch?v=ny_M7Knj-Gk</t>
  </si>
  <si>
    <t>https://www.youtube.com/watch?v=OybRrYvA1qw</t>
  </si>
  <si>
    <t>https://youtu.be/fR5DSLVLjRg</t>
  </si>
  <si>
    <t>https://www.youtube.com/watch?v=4c_QrBTuiSc</t>
  </si>
  <si>
    <t>https://www.youtube.com/watch?v=hyv8-p6GAd0</t>
  </si>
  <si>
    <t>https://www.youtube.com/watch?v=9QnDJIGy3TY</t>
  </si>
  <si>
    <t>https://www.youtube.com/watch?v=iI78Izgx98w</t>
  </si>
  <si>
    <t>https://www.youtube.com/watch?v=iHAdTYyLV0A</t>
  </si>
  <si>
    <t>https://www.youtube.com/watch?v=gL_TI9z1ENY</t>
  </si>
  <si>
    <t>https://www.youtube.com/watch?v=3qGrNlCZkmQ</t>
  </si>
  <si>
    <t>https://www.youtube.com/watch?v=UfrYPVu9ez0</t>
  </si>
  <si>
    <t>https://www.youtube.com/watch?v=OiMRm3qTPcg</t>
  </si>
  <si>
    <t>https://youtu.be/SFZnF86v0Lg</t>
  </si>
  <si>
    <t>https://www.youtube.com/watch?v=76Ej_yILcAI</t>
  </si>
  <si>
    <t>https://www.youtube.com/watch?v=R7KchmqEyOw</t>
  </si>
  <si>
    <t>https://www.youtube.com/watch?v=XJCntxh9fpc%20%20%20%20%20%20%20ab%20Minute%202:08</t>
  </si>
  <si>
    <t>https://www.youtube.com/watch?v=iVIoZhapxfs</t>
  </si>
  <si>
    <t>https://www.youtube.com/watch?v=QA2GeuRZmqg</t>
  </si>
  <si>
    <t>https://www.youtube.com/watch?v=Tw7zJY0_MMM</t>
  </si>
  <si>
    <t>https://youtu.be/3wcxbZjdGGA</t>
  </si>
  <si>
    <t>https://www.youtube.com/watch?v=fH__CSFSjKQ</t>
  </si>
  <si>
    <t>https://www.youtube.com/watch?v=NDenZ1rH6GU</t>
  </si>
  <si>
    <t>Hiptwist-Ronde Hiptwist-Chassé</t>
  </si>
  <si>
    <t>CC Hans_20171116_215825</t>
  </si>
  <si>
    <t>CrabWalks 2015</t>
  </si>
  <si>
    <t>RB Hans Advanced SlidingDoor 18-04-12</t>
  </si>
  <si>
    <t>RB Hans  2014-09</t>
  </si>
  <si>
    <t>von hinten</t>
  </si>
  <si>
    <t>von vorne</t>
  </si>
  <si>
    <t>von links</t>
  </si>
  <si>
    <t>Three Trees</t>
  </si>
  <si>
    <t>RB Hans 2015  08 24</t>
  </si>
  <si>
    <t>RB Hans 2015 03 05</t>
  </si>
  <si>
    <t>RB Hans Advanced Hiptwist</t>
  </si>
  <si>
    <t>Rust</t>
  </si>
  <si>
    <t>CC Rust25 Latin Feeling HNietsche</t>
  </si>
  <si>
    <t>CC Rust25 Technik ADTV</t>
  </si>
  <si>
    <t>JI Rust25 Technik RKieling</t>
  </si>
  <si>
    <t>RB Rust25 ADTV</t>
  </si>
  <si>
    <t>RB Rust25 Latin Feeling HNietsche</t>
  </si>
  <si>
    <t>SB Rust25 Latin Feeling HNietsche I</t>
  </si>
  <si>
    <t>SB Rust25 Latin Feeling HNietsche II</t>
  </si>
  <si>
    <t xml:space="preserve">SB Rust25 RKieling </t>
  </si>
  <si>
    <t xml:space="preserve">DF Rust25 </t>
  </si>
  <si>
    <t>SF Rust25 ADTV</t>
  </si>
  <si>
    <t>SF Rust25 RKieling Dame-Herr</t>
  </si>
  <si>
    <t>SF Rust25 RKieling II</t>
  </si>
  <si>
    <t>SF Rust25 RKieling</t>
  </si>
  <si>
    <t>SF Rust25 Technik Intro</t>
  </si>
  <si>
    <t>SF Rust25 Technik</t>
  </si>
  <si>
    <t xml:space="preserve">SW Rust25 MHull </t>
  </si>
  <si>
    <t>TG Rust25 ADTV</t>
  </si>
  <si>
    <t>TG Rust25 AKiefer</t>
  </si>
  <si>
    <t>Seven Up</t>
  </si>
  <si>
    <t>https://www.youtube.com/watch?v=NyBPjhCQnT4</t>
  </si>
  <si>
    <t>mit 2 Gehschritten davor</t>
  </si>
  <si>
    <t>https://www.youtube.com/watch?v=263-pZwIiBg</t>
  </si>
  <si>
    <t>Dame und Herr solo</t>
  </si>
  <si>
    <t>Hand- und Platzwechsel, auch in Verbindung mit Flirt</t>
  </si>
  <si>
    <t>https://www.youtube.com/watch?v=BM0_wkT5nMo</t>
  </si>
  <si>
    <t>Herrentor (entspr. DF He Goes, Bauchstreichler, Damendrehung (entspr. DF She Goes)</t>
  </si>
  <si>
    <t>https://www.youtube.com/watch?v=JZfHG73Zkp0</t>
  </si>
  <si>
    <t>Sonst</t>
  </si>
  <si>
    <t>Yael</t>
  </si>
  <si>
    <t>noch mal filmen</t>
  </si>
  <si>
    <t>Criss Cross</t>
  </si>
  <si>
    <t>https://www.youtube.com/watch?v=HvvXFLg2jSw</t>
  </si>
  <si>
    <t xml:space="preserve">Puppenspieler </t>
  </si>
  <si>
    <t>https://www.youtube.com/watch?v=QEcSJ8OIBgA</t>
  </si>
  <si>
    <t>https://www.youtube.com/watch?v=7GeJh3x8P38</t>
  </si>
  <si>
    <t>Flicks into Break</t>
  </si>
  <si>
    <t>MM</t>
  </si>
  <si>
    <t>https://www.youtube.com/watch?v=hnDHf9W3DqU</t>
  </si>
  <si>
    <t>Schattenwischer</t>
  </si>
  <si>
    <t>Rust26</t>
  </si>
  <si>
    <t>CC L1 Technik Rust26 MHull.mp4</t>
  </si>
  <si>
    <t>DF L1-2 A Rust26</t>
  </si>
  <si>
    <t>Doppeltes Lottchen</t>
  </si>
  <si>
    <t>QS L1-2 Technik Rust25 RKieling</t>
  </si>
  <si>
    <t>SB L1-2 A Rust26 FSlemties</t>
  </si>
  <si>
    <t>SB L1-2 B Rust26 FSlemties</t>
  </si>
  <si>
    <t>SB L1-2 Technik Rust26 MHull</t>
  </si>
  <si>
    <t>SB L2 Rust26 MHull</t>
  </si>
  <si>
    <t>SF L1 A Rust26 MHull</t>
  </si>
  <si>
    <t>SF L1 B Rust26 MHull</t>
  </si>
  <si>
    <t>SF L1 C Rust26 MHull</t>
  </si>
  <si>
    <t>SS L1 A Rust26 RFasiello</t>
  </si>
  <si>
    <t>SS L1 B Rust26 RFasiello</t>
  </si>
  <si>
    <t>SS L1-2 Rust26 ADTV</t>
  </si>
  <si>
    <t>SW L2 A Rust26 ADTV</t>
  </si>
  <si>
    <t>SW L2 B Rust26 ADTV</t>
  </si>
  <si>
    <t>SW-AS Demo L4 Rust26</t>
  </si>
  <si>
    <t>SW-AS L2 Rust26</t>
  </si>
  <si>
    <t>American Smooth</t>
  </si>
  <si>
    <t>TG 5Step Rust25 EnglMan</t>
  </si>
  <si>
    <t>TG L1-2 A Rust26 RFrieling.mp4</t>
  </si>
  <si>
    <t>TG L1-2 B Rust25 RFrieling Notitz</t>
  </si>
  <si>
    <t>TG L1-2 B Rust25 Frieling</t>
  </si>
  <si>
    <t>WW L1-2 Pendelfiguren Rust26 ADTV</t>
  </si>
  <si>
    <t>WW L2-3 Rust26 RFrieling.mp4</t>
  </si>
  <si>
    <t>RB Rust25 RFrieling</t>
  </si>
  <si>
    <t>RB L1 A Technik Rust26 RFrieling</t>
  </si>
  <si>
    <t>RB L1 B Technik Rust26 RFrieling</t>
  </si>
  <si>
    <t>SF L1-2 Rust26 RFrieling</t>
  </si>
  <si>
    <t>SF L1-1 Rust26 RFrieling Notitz</t>
  </si>
  <si>
    <t>https://www.youtube.com/watch?v=iHJFWeEASJw</t>
  </si>
  <si>
    <t>Box</t>
  </si>
  <si>
    <t>CC HaHa 2015 04.mp4</t>
  </si>
  <si>
    <t>CC Rust25 Latin Feeling HNietsche.mp4</t>
  </si>
  <si>
    <t>CC Rust25 RKieling.mp4</t>
  </si>
  <si>
    <t>CC Rust25 Technik ADTV.mp4</t>
  </si>
  <si>
    <t>JI Rust25 Technik RKieling.mp4</t>
  </si>
  <si>
    <t>JI Hans 1 2015 04.mp4</t>
  </si>
  <si>
    <t>JI Ya Box.mp4</t>
  </si>
  <si>
    <t>RB Hans  2014-09.mp4</t>
  </si>
  <si>
    <t>RB Hans 3 Trees vh.wmv</t>
  </si>
  <si>
    <t>RB Hans 3 Trees vv.mp4</t>
  </si>
  <si>
    <t>RB Hans 3 Trees vl.mp4</t>
  </si>
  <si>
    <t>RB Hans 2015  08 24.mp4</t>
  </si>
  <si>
    <t>RB Hans 2015 03 05.mp4</t>
  </si>
  <si>
    <t>RB Hans Advanced Hiptwist.mp4</t>
  </si>
  <si>
    <t>RB Hans Advanced SlidingDoor.mp4</t>
  </si>
  <si>
    <t>RB Rust25 ADTV.mp4</t>
  </si>
  <si>
    <t>RB Rust25 Latin Feeling HNietsche.mp4</t>
  </si>
  <si>
    <t>CC L1 A Technik Rust26 RFrieling</t>
  </si>
  <si>
    <t>CC L1 A Technik Rust26 RFrieling.mp4</t>
  </si>
  <si>
    <t>JI Hans 2 2015 05.mp4</t>
  </si>
  <si>
    <t>RB Rust25 RFrieling.mp4</t>
  </si>
  <si>
    <t>RB L1 B Technik Rust26 RFrieling.mp4</t>
  </si>
  <si>
    <t>RB L1 A Technik Rust26 RFrieling.mp4</t>
  </si>
  <si>
    <t>SB Rust25 Latin Feeling HNietsche I.mp4</t>
  </si>
  <si>
    <t>SB Rust25 Latin Feeling HNietsche II.mp4</t>
  </si>
  <si>
    <t>SB Rust25 RKieling .mp4</t>
  </si>
  <si>
    <t>SB Schattenpromenaden.mp4</t>
  </si>
  <si>
    <t>SB Ya Criss Cross.mp4</t>
  </si>
  <si>
    <t>SB L1-2 A Rust26 FSlemties.mp4</t>
  </si>
  <si>
    <t>SB L1-2 B Rust26 FSlemties.mp4</t>
  </si>
  <si>
    <t>SB L2 Rust26 MHull.mp4</t>
  </si>
  <si>
    <t>SB L1-2 Technik Rust26 MHull.mp4</t>
  </si>
  <si>
    <t>DF Rust25 .mp4</t>
  </si>
  <si>
    <t>DF L1-2 A Rust26.mp4</t>
  </si>
  <si>
    <t>ok</t>
  </si>
  <si>
    <t>https://www.youtube.com/watch?v=eTDljBlYSDw</t>
  </si>
  <si>
    <t>QS Ya Doppeltes Lottchen Teil 1.mp4</t>
  </si>
  <si>
    <t>QS L1-2 Technik Rust25 RKieling.mp4</t>
  </si>
  <si>
    <t>SF Rust25 ADTV.mp4</t>
  </si>
  <si>
    <t>SF Rust25 RKieling Dame-Herr.mp4</t>
  </si>
  <si>
    <t>SF Rust25 RKieling II.mp4</t>
  </si>
  <si>
    <t>SF Rust25 RKieling.mp4</t>
  </si>
  <si>
    <t>SF Rust25 Technik Intro.mp4</t>
  </si>
  <si>
    <t>SF Rust25 Technik.mp4</t>
  </si>
  <si>
    <t>SF L1 A Rust26 MHull.mp4</t>
  </si>
  <si>
    <t>SF L1 B Rust26 MHull.mp4</t>
  </si>
  <si>
    <t>SF L1 C Rust26 MHull.mp4</t>
  </si>
  <si>
    <t>SF L1-2 Rust26 RFrieling.mp4</t>
  </si>
  <si>
    <t>SF L1-1 Rust26 RFrieling Notitz.jpg</t>
  </si>
  <si>
    <t>SW Rust25 MHull .mp4</t>
  </si>
  <si>
    <t>SW L2 A Rust26 ADTV.mp4</t>
  </si>
  <si>
    <t>SW L2 B Rust26 ADTV.mp4</t>
  </si>
  <si>
    <t>TG Rust25 ADTV.mp4</t>
  </si>
  <si>
    <t>TG Rust25 AKiefer.mp4</t>
  </si>
  <si>
    <t>TG 5Step Rust25 EnglMan.mp4</t>
  </si>
  <si>
    <t>TG L1-2 B Rust26 Frieling.mp4</t>
  </si>
  <si>
    <t>TG L1-2 B Rust26 RFrieling Notitz.jpg</t>
  </si>
  <si>
    <t>WW L1-2 Pendelfiguren Rust26 ADTV.mp4</t>
  </si>
  <si>
    <t>SS L1 A Rust26 RFasiello.mp4</t>
  </si>
  <si>
    <t>SS L1 B Rust26 RFasiello.mp4</t>
  </si>
  <si>
    <t>SS L1-2 Rust26 ADTV.mp4</t>
  </si>
  <si>
    <t>Thre Trees</t>
  </si>
  <si>
    <t>https://www.youtube.com/watch?v=UAascKthCO4</t>
  </si>
  <si>
    <t>Ina Jeliazkova</t>
  </si>
  <si>
    <t>Outside Spin</t>
  </si>
  <si>
    <t>https://www.youtube.com/watch?v=4yQb4sT8KkE</t>
  </si>
  <si>
    <t>CC HaHa.mp4</t>
  </si>
  <si>
    <t>einfache Folge, neu aufnehmen</t>
  </si>
  <si>
    <t>CC Christoph Balzer.mp4</t>
  </si>
  <si>
    <t>Christoph Balzer</t>
  </si>
  <si>
    <t>einfache Folge</t>
  </si>
  <si>
    <t>Bianca</t>
  </si>
  <si>
    <t>Schmetterling Anfang</t>
  </si>
  <si>
    <t>CC Hip Action in Cha Cha Cha _ Follow Along Tutorial.mp4</t>
  </si>
  <si>
    <t>Hip Action</t>
  </si>
  <si>
    <t>CC L1 Technik Rust26 Mhull</t>
  </si>
  <si>
    <t>Aufschritt</t>
  </si>
  <si>
    <t>CCC L</t>
  </si>
  <si>
    <t>Herr</t>
  </si>
  <si>
    <t>Dame</t>
  </si>
  <si>
    <t>Bewegungs
Richtung</t>
  </si>
  <si>
    <t>N</t>
  </si>
  <si>
    <t>W</t>
  </si>
  <si>
    <t>Timing</t>
  </si>
  <si>
    <t>QQS</t>
  </si>
  <si>
    <t>S</t>
  </si>
  <si>
    <t>SS</t>
  </si>
  <si>
    <t>1/4 L auf 1</t>
  </si>
  <si>
    <t>1/4 R auf 1</t>
  </si>
  <si>
    <t>vor</t>
  </si>
  <si>
    <t>vor-rück</t>
  </si>
  <si>
    <t>rück-vor</t>
  </si>
  <si>
    <t>1/2 R auf 1</t>
  </si>
  <si>
    <t>1/2 L auf 1</t>
  </si>
  <si>
    <t>O</t>
  </si>
  <si>
    <t>1/1 R</t>
  </si>
  <si>
    <t>Hände</t>
  </si>
  <si>
    <t xml:space="preserve">Wiege </t>
  </si>
  <si>
    <t>Kreuz R</t>
  </si>
  <si>
    <t>RR ü Kopf d D</t>
  </si>
  <si>
    <t>LL ü Kopf d D</t>
  </si>
  <si>
    <t>Hans Link falsch</t>
  </si>
  <si>
    <t>CC Hans Ronde HipTwistChasse 2014_12.mp4</t>
  </si>
  <si>
    <t>CC Bianca Der Hüpfer - Dame.mp4</t>
  </si>
  <si>
    <t>CC Bianca Der Hüpfer - Herr.mp4</t>
  </si>
  <si>
    <t>CC Bianca Schmetterling Anfang.mov</t>
  </si>
  <si>
    <t>Hüpfer</t>
  </si>
  <si>
    <t>Damenschritte</t>
  </si>
  <si>
    <t>Herrenschritte</t>
  </si>
  <si>
    <t>CC Bianca Schmetterling  Herr.MOV</t>
  </si>
  <si>
    <t>CC Bianca Schmetterling Dame.MOV</t>
  </si>
  <si>
    <t>CC Bianca Schmetterling Erweiterung-1.MOV</t>
  </si>
  <si>
    <t>CC Bianca Schmetterling Erweiterung-2.MOV</t>
  </si>
  <si>
    <t>DF TrCBrsp Folge 1.mp4</t>
  </si>
  <si>
    <t>DF TrCBrsp Folge 1.docx</t>
  </si>
  <si>
    <t>DF TrCBrsp Folge 2.mp4</t>
  </si>
  <si>
    <t>DF TrCBrsp Folge 2.docx</t>
  </si>
  <si>
    <t>DF TrCBrsp Folge 3.docx</t>
  </si>
  <si>
    <t>Trainer C Breitensport; Bernd Junghans</t>
  </si>
  <si>
    <t>ArchivA\videothek\</t>
  </si>
  <si>
    <t>DF TrCBrsp Folge 3 durchgetanzt.mp4</t>
  </si>
  <si>
    <t>DF TrCBrsp Folge 3 erklärt.mp4</t>
  </si>
  <si>
    <t>Buch + Basic</t>
  </si>
  <si>
    <t>DF L1-2 B  Rust26.mp4</t>
  </si>
  <si>
    <t>Workshop mit Kristof am 24.6.23</t>
  </si>
  <si>
    <t>DF Kristóf Workshop.mp4</t>
  </si>
  <si>
    <t>DF Kristóf Workshop</t>
  </si>
  <si>
    <t>DF Kristóf Basic Figuren.pdf</t>
  </si>
  <si>
    <t>DF Kristóf Workshop 24.6.23.mp4</t>
  </si>
  <si>
    <t>JI Bianca Teil 1 Herr.mp4</t>
  </si>
  <si>
    <t>JI Bianca Teil 1 Dame.mp4</t>
  </si>
  <si>
    <t>JI Bianca Teil 1 mit einer Alternative zu KickBallChange.MOV</t>
  </si>
  <si>
    <t>Kristóf</t>
  </si>
  <si>
    <t>LAT 1 Chucharacha Fußtechnik.mp4</t>
  </si>
  <si>
    <t>LAT 2 Chucharacha Timing.mp4</t>
  </si>
  <si>
    <t>LAT 3 Chucharacha Hüftbewegung.mp4</t>
  </si>
  <si>
    <t>LAT Armbewegung 1.mp4</t>
  </si>
  <si>
    <t>LAT Armbewegung 2.mp4</t>
  </si>
  <si>
    <t>LAT Armbewegung 3.mp4</t>
  </si>
  <si>
    <t>LAT Armbewegung 4.mp4</t>
  </si>
  <si>
    <t>LAT Armbewegung_4.mp4</t>
  </si>
  <si>
    <t>LAT ChaCha Solo (Footwork).mp4</t>
  </si>
  <si>
    <t>LAT ChaCha Solo (Hüftrotation).mp4</t>
  </si>
  <si>
    <t>LAT Drehtechnik 1.mp4</t>
  </si>
  <si>
    <t>LAT Drehtechnik 2.mp4</t>
  </si>
  <si>
    <t>LAT Drehtechnik 3.mp4</t>
  </si>
  <si>
    <t>LAT Drehübung Nr 1.mp4</t>
  </si>
  <si>
    <t>LAT Drehübung Nr 2.mp4</t>
  </si>
  <si>
    <t>LAT Drehübung Nr 3.mp4</t>
  </si>
  <si>
    <t>LAT Drehübung Nr 4.mp4</t>
  </si>
  <si>
    <t>LAT Drehübung Nr 5.mp4</t>
  </si>
  <si>
    <t>LAT Drehübung Nr.6 Eine Folge.mp4</t>
  </si>
  <si>
    <t>LAT Jive Grundtechnik.mp4</t>
  </si>
  <si>
    <t>LAT Langsamer Walzer Swing and Shape.mp4</t>
  </si>
  <si>
    <t>LAT Latein Fußtechnik.mp4</t>
  </si>
  <si>
    <t>LAT Rumba Hüfte.mp4</t>
  </si>
  <si>
    <t>LAT SAM Voltas, Botafogo.mp4</t>
  </si>
  <si>
    <t>LAT Samba Basic &amp; Bounce.mp4</t>
  </si>
  <si>
    <t>STD Fersendrehung.mp4</t>
  </si>
  <si>
    <t>STD Tango Flick action.mp4</t>
  </si>
  <si>
    <t>ddd</t>
  </si>
  <si>
    <t>ALL Gehirn-Gymnastik 1 YouTube.mp4</t>
  </si>
  <si>
    <t>ALL Gehirn-Gymnastik 2 YouTube.mp4</t>
  </si>
  <si>
    <t>ALL Gehirn-Gymnastik 3 - YouTube.mp4</t>
  </si>
  <si>
    <t>ALL Tanzmusik.mp4</t>
  </si>
  <si>
    <t>SW HaHa LD Corté OutsideSpin TwistTurn.AVI</t>
  </si>
  <si>
    <t>SW HaHa Slow Waltz 2015 05.wmv</t>
  </si>
  <si>
    <t>SW HaHa Walzer 2014_11_mit OutsideSpin_TurningLockR B.wmv</t>
  </si>
  <si>
    <t>SW HaHa Walzer 2014_11_mit OutsideSpin_TurningLockR.wmv</t>
  </si>
  <si>
    <t>SW HaHa Walzer langsam 2015 08.wmv</t>
  </si>
  <si>
    <t>SW Bianca Außenseitlicher Wechsel 3 Beispiele.mp4</t>
  </si>
  <si>
    <t>SW Bianca Oversway.MOV</t>
  </si>
  <si>
    <t>SW Bianca Sterbender Schwan - Dame.mp4</t>
  </si>
  <si>
    <t>SW Bianca Sterbender Schwan - Herr.mp4</t>
  </si>
  <si>
    <t>SW Bianca Windmühle.mp4</t>
  </si>
  <si>
    <t>SW English Waltz Lesson_ Open Right Turn (Konstantin).mp4</t>
  </si>
  <si>
    <t>SW KLM  Tanzwochenende 2006.mp4</t>
  </si>
  <si>
    <t>SW Backcheck Endlauf.mp4</t>
  </si>
  <si>
    <t>SW Backcheck Lockstep.mp4</t>
  </si>
  <si>
    <t>SW Backcheck Outside Change.mp4</t>
  </si>
  <si>
    <t>SW Backcheck Zögerwechsel.mp4</t>
  </si>
  <si>
    <t>SW Kristof Der Stern.mp4</t>
  </si>
  <si>
    <t>KLM</t>
  </si>
  <si>
    <t>Back check Ausgänge</t>
  </si>
  <si>
    <t>Open right turn</t>
  </si>
  <si>
    <t>Windmühle</t>
  </si>
  <si>
    <t>Oversway</t>
  </si>
  <si>
    <t>Sterbender Schwan</t>
  </si>
  <si>
    <t>Endlauf</t>
  </si>
  <si>
    <t>Outside Change</t>
  </si>
  <si>
    <t>Rd Impetus Wing Telemark Chassé Rd</t>
  </si>
  <si>
    <t>Outside Change 3 Beispiele</t>
  </si>
  <si>
    <t>SW Kristóf Stern Basictraining Kristóf.mp4</t>
  </si>
  <si>
    <t>SW Oversway.mp4</t>
  </si>
  <si>
    <t>Der Stern</t>
  </si>
  <si>
    <t>SW Open Natural &amp; Outside Spin - Slow Waltz.mp4</t>
  </si>
  <si>
    <t>Open Rd + Outside spin</t>
  </si>
  <si>
    <t>Basic-Folge</t>
  </si>
  <si>
    <t>SW Slow Waltz Basic _ Szymon Kalinowski &amp; Grazyna Grabicka _ Figure names, counting, music.mp4</t>
  </si>
  <si>
    <t>AS SW Demo L4 Rust26.mp4</t>
  </si>
  <si>
    <t>AS SW L2 Rust26.mp4</t>
  </si>
  <si>
    <t>AS SW Learn to Waltz Dance - The Walkaround Turn1.mp4</t>
  </si>
  <si>
    <t>AS SW Learn to dance Waltz Butterfly Fallaway Spin.mp4</t>
  </si>
  <si>
    <t>Butterfly Fallaway Spin</t>
  </si>
  <si>
    <t>Walk around</t>
  </si>
  <si>
    <t>Armbewegung</t>
  </si>
  <si>
    <t>Drehtechnik</t>
  </si>
  <si>
    <t>Teil 2</t>
  </si>
  <si>
    <t>Teil 3</t>
  </si>
  <si>
    <t>Teil 4</t>
  </si>
  <si>
    <t>Teil 5</t>
  </si>
  <si>
    <t xml:space="preserve"> Drehübung</t>
  </si>
  <si>
    <t>Teil 1</t>
  </si>
  <si>
    <t>Folge</t>
  </si>
  <si>
    <t>QS Fishtail Egils.mp4</t>
  </si>
  <si>
    <t>QS Fishtail.mp4</t>
  </si>
  <si>
    <t>QS HaHa Basisfolge.mp4</t>
  </si>
  <si>
    <t>QS HaHa Fishschwanz lang und kurz.mp4</t>
  </si>
  <si>
    <t>QS HaHa Quick Running Turnes.mp4</t>
  </si>
  <si>
    <t>QS HaHa Running Promenade.mp4</t>
  </si>
  <si>
    <t>QS HaHa V6 2015 04.mp4</t>
  </si>
  <si>
    <t>Fishtail Egils</t>
  </si>
  <si>
    <t>Fishtail</t>
  </si>
  <si>
    <t>Fishschwanz lang und kurz</t>
  </si>
  <si>
    <t>Basisfolge</t>
  </si>
  <si>
    <t>Quick Running Turnes</t>
  </si>
  <si>
    <t>Running Promenade</t>
  </si>
  <si>
    <t>V6</t>
  </si>
  <si>
    <t>QS Bianca StepHop Dame 2.mp4</t>
  </si>
  <si>
    <t>QS Bianca StepHop Dame mit Musik.mp4</t>
  </si>
  <si>
    <t>QS Bianca StepHop.xlsx</t>
  </si>
  <si>
    <t>QS Bianca StepHop Dame 1.mp4</t>
  </si>
  <si>
    <t>QS Bianca StepHop Herr 1.mp4</t>
  </si>
  <si>
    <t>QS Bianca StepHop Herr 2.mp4</t>
  </si>
  <si>
    <t>StepHop</t>
  </si>
  <si>
    <t>Dame mit Musikl</t>
  </si>
  <si>
    <t>Herr mti Musikl</t>
  </si>
  <si>
    <t>QS Bianca StepHop Herr mit Musik.mp4</t>
  </si>
  <si>
    <t>QS Bianca SIT Dame.mp4</t>
  </si>
  <si>
    <t>QS Bianca SIT Herr.mp4</t>
  </si>
  <si>
    <t>SIT</t>
  </si>
  <si>
    <t>QS Tippsy 2.mp4</t>
  </si>
  <si>
    <t>QS Tippsy 3.mp4</t>
  </si>
  <si>
    <t>QS Tipsy.mp4</t>
  </si>
  <si>
    <t>Tipsy</t>
  </si>
  <si>
    <t>eigene Aufnahme</t>
  </si>
  <si>
    <t>RB HaHa 3 Trees_vh.wmv</t>
  </si>
  <si>
    <t>RB HaHa 3 Trees_vl.mp4</t>
  </si>
  <si>
    <t>RB HaHa 3 Trees_vv.mp4</t>
  </si>
  <si>
    <t>RB HaHa Advanced Sliding Door.mp4</t>
  </si>
  <si>
    <t>RB Three threes - Rumba.mp4</t>
  </si>
  <si>
    <t>Advanced Sliding Doors</t>
  </si>
  <si>
    <t>RB ImgBallroom Three Trees.mp4</t>
  </si>
  <si>
    <t>RB YT Three Trees .mp4</t>
  </si>
  <si>
    <t>alle Details</t>
  </si>
  <si>
    <t>RB HaHa Die Lange.mp4</t>
  </si>
  <si>
    <t>RB HaHa Einfache Folge.mp4</t>
  </si>
  <si>
    <t>RB HaHa Folge mit vielen HipTwists.mp4</t>
  </si>
  <si>
    <t>RB HaHa Verfolgung.mp4</t>
  </si>
  <si>
    <t>Die Lange</t>
  </si>
  <si>
    <t>Einfache Folge</t>
  </si>
  <si>
    <t>Folge mit vielen Hip Twists</t>
  </si>
  <si>
    <t>Verfolgung</t>
  </si>
  <si>
    <t>Eine einfache Folge</t>
  </si>
  <si>
    <t>RB Kristof Training am 24.6.23.mp4</t>
  </si>
  <si>
    <t>Spirale, Fan, Hockey Stick</t>
  </si>
  <si>
    <t xml:space="preserve">Fan, Hockey Stick, Cucaracha, Alemana, </t>
  </si>
  <si>
    <t>Fan, Alemana, Hand to Hand, Spot turn, Walk, ZickZack, HipTwist, opening out</t>
  </si>
  <si>
    <t>Fan, Spirale Turkish Towel, Hockey Stick, ReKreisel, LiKreisel, Aida, Spot Turn</t>
  </si>
  <si>
    <t>RB Bianca Kliffhanger.mp4</t>
  </si>
  <si>
    <t>RB HaHa Advanced Hiptwist.mp4</t>
  </si>
  <si>
    <t>Kliffhänger</t>
  </si>
  <si>
    <t>frozen New York, Opening Out, …</t>
  </si>
  <si>
    <t>RB Kristóf Handtuch.mp4</t>
  </si>
  <si>
    <t>RB Kristof Folge vom 24.6.23.mp4</t>
  </si>
  <si>
    <t>Spiral, Fan, Alemana, Opening out, Hockey Stick in PP</t>
  </si>
  <si>
    <t>Handtuch, Spirale</t>
  </si>
  <si>
    <t>Handtuch - Ein Workshop</t>
  </si>
  <si>
    <t>RB Yael Spaziergang.mp4</t>
  </si>
  <si>
    <t>Spaziergang</t>
  </si>
  <si>
    <t>HandToHand, Cucaracha, Aida, Ronde, Fancing Line</t>
  </si>
  <si>
    <t>SS A+F 180914TanzenSalsa.MOV</t>
  </si>
  <si>
    <t>SS A+F 20180628_213137.mp4</t>
  </si>
  <si>
    <t>SS A+F 20181220_215152.mp4</t>
  </si>
  <si>
    <t>SS A+F 20181220_215339.mp4</t>
  </si>
  <si>
    <t>SS A+F 2019-08-15.mp4</t>
  </si>
  <si>
    <t>SS A+F 20190330_170545.mp4</t>
  </si>
  <si>
    <t>SS A+F 20190331_145646.mp4</t>
  </si>
  <si>
    <t>SS A+F 20190331_145707.mp4</t>
  </si>
  <si>
    <t>SS A+F 20190331_151000.mp4</t>
  </si>
  <si>
    <t>SS A+F 20190331_151010.mp4</t>
  </si>
  <si>
    <t>SS A+F 20190331_151045.mp4</t>
  </si>
  <si>
    <t>SS A+F 20190331_151105.mp4</t>
  </si>
  <si>
    <t>SS A+F 20190331_151157.mp4</t>
  </si>
  <si>
    <t>SS A+F 20190331_151207.mp4</t>
  </si>
  <si>
    <t>SS A+F 20190331_151231.mp4</t>
  </si>
  <si>
    <t>SS A+F 20190331_151250.mp4</t>
  </si>
  <si>
    <t>SS A+F IMG_2529.MOV</t>
  </si>
  <si>
    <t>SS A+F Salsa-Andrea&amp;Frank I.mp4</t>
  </si>
  <si>
    <t>SS A+F Salsa-Andrea&amp;Frank II.mp4</t>
  </si>
  <si>
    <t>SS A+F Salsa-Andrea&amp;Frank III.mp4</t>
  </si>
  <si>
    <t>SS A+F Salsa-Andrea&amp;Frank IV.mp4</t>
  </si>
  <si>
    <t>SS A+F Salsa-Andrea&amp;Frank V.mp4</t>
  </si>
  <si>
    <t>Andrea und Frank</t>
  </si>
  <si>
    <t>admin</t>
  </si>
  <si>
    <t>folge</t>
  </si>
  <si>
    <t>fig</t>
  </si>
  <si>
    <t>fend</t>
  </si>
  <si>
    <t>CC001</t>
  </si>
  <si>
    <t>CC002</t>
  </si>
  <si>
    <t>CC006</t>
  </si>
  <si>
    <t>CC007</t>
  </si>
  <si>
    <t>CC008</t>
  </si>
  <si>
    <t>CC009</t>
  </si>
  <si>
    <t>CC010</t>
  </si>
  <si>
    <t>CC011</t>
  </si>
  <si>
    <t>CC012</t>
  </si>
  <si>
    <t>CC013</t>
  </si>
  <si>
    <t>CC014</t>
  </si>
  <si>
    <t>CC015</t>
  </si>
  <si>
    <t>CC016</t>
  </si>
  <si>
    <t>CC017</t>
  </si>
  <si>
    <t>Zeile</t>
  </si>
  <si>
    <t>Raum-
richtung</t>
  </si>
  <si>
    <t>CCC R</t>
  </si>
  <si>
    <t>geschl TH</t>
  </si>
  <si>
    <t>NW</t>
  </si>
  <si>
    <t>Fuß</t>
  </si>
  <si>
    <t>Nr</t>
  </si>
  <si>
    <t>7 - 9 zurück</t>
  </si>
  <si>
    <t>Schritt /
Figur</t>
  </si>
  <si>
    <t>Schritt / 
Figur</t>
  </si>
  <si>
    <t>CC018</t>
  </si>
  <si>
    <t>CC019</t>
  </si>
  <si>
    <t>CC020</t>
  </si>
  <si>
    <t>CC021</t>
  </si>
  <si>
    <t>CC022</t>
  </si>
  <si>
    <t>CC023</t>
  </si>
  <si>
    <t>CC024</t>
  </si>
  <si>
    <t>CC025</t>
  </si>
  <si>
    <t>CC026</t>
  </si>
  <si>
    <t>CC027</t>
  </si>
  <si>
    <t>CC028</t>
  </si>
  <si>
    <t>CC029</t>
  </si>
  <si>
    <t>CC030</t>
  </si>
  <si>
    <t>CC031</t>
  </si>
  <si>
    <t>CC032</t>
  </si>
  <si>
    <t>CC033</t>
  </si>
  <si>
    <t>CC034</t>
  </si>
  <si>
    <t>Folge: kleiner Lockstep</t>
  </si>
  <si>
    <t>https://www.youtube.com/watch?v=JYBT0y7izfI</t>
  </si>
  <si>
    <t>ab Min 1:04</t>
  </si>
  <si>
    <t>Rust25 R.Frieling</t>
  </si>
  <si>
    <t>Kick Ball Change</t>
  </si>
  <si>
    <t>2 Schritte</t>
  </si>
  <si>
    <t>Spot Turn links</t>
  </si>
  <si>
    <t>Lock Step</t>
  </si>
  <si>
    <t>LR</t>
  </si>
  <si>
    <t>links</t>
  </si>
  <si>
    <t>2 Schritte + Drehung</t>
  </si>
  <si>
    <t>Schritt - Tip (FW)</t>
  </si>
  <si>
    <t>RL</t>
  </si>
  <si>
    <t>Wiege rv (D: überdrehter Fan)</t>
  </si>
  <si>
    <t>Platz, Platz (FW)</t>
  </si>
  <si>
    <t>am Platz</t>
  </si>
  <si>
    <t>Kick nach L</t>
  </si>
  <si>
    <t>SO</t>
  </si>
  <si>
    <t>Workshop Kristóf am 28.3.26</t>
  </si>
  <si>
    <t>Schiebetür</t>
  </si>
  <si>
    <t>Körbchen</t>
  </si>
  <si>
    <t>https://youtu.be/bltEvvt1YAs</t>
  </si>
  <si>
    <t>https://youtu.be/yTG1OuyUGFs</t>
  </si>
  <si>
    <t>Brezel</t>
  </si>
  <si>
    <t>https://youtu.be/fvrous6VhLM</t>
  </si>
  <si>
    <t>DF Kristóf Workshop am 28.3.26.mp4</t>
  </si>
  <si>
    <t>TG Kristóf Workshop am 28.3.26.mp4</t>
  </si>
  <si>
    <t>SF Kristóf Workshop am 28.3.26.mp4</t>
  </si>
  <si>
    <t>QS Egils Bronze Level Routine.mp4</t>
  </si>
  <si>
    <t>QS Egils Silver Level Routine.mp4</t>
  </si>
  <si>
    <t>Nat Spin Turn, Back Lock, Tipple Chasse to R, Lock Step, Quick Open Reverse, Chassé to L</t>
  </si>
  <si>
    <t>Nat Spin Turn, Back Lock, Tipple Chasse to R, Tipple Chassé to L, Lock Step, Running Finish</t>
  </si>
  <si>
    <t>Bronze Folge</t>
  </si>
  <si>
    <t>Silber Folge</t>
  </si>
  <si>
    <t>28.3.26</t>
  </si>
  <si>
    <t>Wischer, Federschritt, Telemark, Federschritt</t>
  </si>
  <si>
    <t>in Planung, noch kein Film</t>
  </si>
  <si>
    <t>Wischer, Flechte, Federende</t>
  </si>
  <si>
    <t>Handtuch</t>
  </si>
  <si>
    <t xml:space="preserve"> (turkish towel)</t>
  </si>
  <si>
    <t>Fan</t>
  </si>
  <si>
    <t>https://www.youtube.com/watch?v=gDkI1yrh83Y</t>
  </si>
  <si>
    <t>solo</t>
  </si>
  <si>
    <t>als Paar</t>
  </si>
  <si>
    <t>https://www.youtube.com/watch?v=h0DLafiAp4Y</t>
  </si>
  <si>
    <t>Basisvariante</t>
  </si>
  <si>
    <t>Spirale-Eingang (Dame);
2 x Cucaracha seit (Herr)</t>
  </si>
  <si>
    <t>kein Film</t>
  </si>
  <si>
    <t>Seitenwechsel</t>
  </si>
  <si>
    <t>(Eingang in die Eisenbahn)</t>
  </si>
  <si>
    <t>(die Folge heisst hier Mambo Kick)</t>
  </si>
  <si>
    <t>wir lassen die Hände gefasst</t>
  </si>
  <si>
    <t>Rd1, Chassé R, Ld1, Chassé-L, Rd-AP</t>
  </si>
  <si>
    <t>Variationen von Rd, Ld, Übg, Chassé</t>
  </si>
  <si>
    <t>Mittwoch</t>
  </si>
  <si>
    <t>filter</t>
  </si>
  <si>
    <t>VV</t>
  </si>
  <si>
    <t>LAT001</t>
  </si>
  <si>
    <t>SB Hans Cris Cros 2015  02 26.wmv</t>
  </si>
  <si>
    <t>SB Hans Kontra Botafogo.mp4</t>
  </si>
  <si>
    <t>SB Hans viel drehen.wmv</t>
  </si>
  <si>
    <t>SB Bianca 2 8er Pakete Dame.mp4</t>
  </si>
  <si>
    <t>SB Bianca 2 8er Pakete Herr.mp4</t>
  </si>
  <si>
    <t>SB Bianca 8er Pakete.MOV</t>
  </si>
  <si>
    <t>SB Bianca 8er Pakte Takt.mp4</t>
  </si>
  <si>
    <t>SB Bianca SambaLocks.mp4</t>
  </si>
  <si>
    <t>SambaLocks</t>
  </si>
  <si>
    <t>8er Pakete</t>
  </si>
  <si>
    <t>2 8er Pakete Herr</t>
  </si>
  <si>
    <t>2 8er Pakete Dame</t>
  </si>
  <si>
    <t>8er Pakte Takt</t>
  </si>
  <si>
    <t>SB Kristóf WS Feb25.mp4</t>
  </si>
  <si>
    <t>Kristóf Workshop Februar 2025</t>
  </si>
  <si>
    <t>Bianca SambaLocks</t>
  </si>
  <si>
    <t>CC Hans BackeBackeKuchen.mp4</t>
  </si>
  <si>
    <t>CC Hans_20171116_215825.mp4</t>
  </si>
  <si>
    <t>CC_Hans CrabWalks 2015.mp4</t>
  </si>
  <si>
    <t>Verfolger</t>
  </si>
  <si>
    <t>Wischer, GS, rev GS</t>
  </si>
  <si>
    <t>Film fehlt</t>
  </si>
  <si>
    <t>QS Kristóf InOutStepHopLAchse 1.mp4</t>
  </si>
  <si>
    <t>QS Kristóf InOutStepHopLAchse 2.mp4</t>
  </si>
  <si>
    <t>von PP: In&amp;Out, Run, 2xStepHop, Linksachse, progr. Chassé</t>
  </si>
  <si>
    <t>Figur mit: In&amp;Out, StepHop, Linksachse, …</t>
  </si>
  <si>
    <t>Aida</t>
  </si>
  <si>
    <t>https://youtu.be/x_6Ss1S6lKA</t>
  </si>
  <si>
    <t>mit Spirale</t>
  </si>
  <si>
    <t>https://youtu.be/7EGhxEiRG3A</t>
  </si>
  <si>
    <t>https://youtu.be/BOtfBEc3c_c?list=TLPQMjcwNDIwMjbVsnA_9Vk0Qg</t>
  </si>
  <si>
    <t>zu beiden Seiten mit Spirale</t>
  </si>
  <si>
    <t>RB Zeile 22: Datei nicht gefunden.</t>
  </si>
  <si>
    <t>RB Zeile 26: Datei nicht gefunden.</t>
  </si>
  <si>
    <t>RB Zeile 41: Datei nicht gefunden.</t>
  </si>
  <si>
    <t>RB Zeile 47: Datei nicht gefunden.</t>
  </si>
  <si>
    <t>Name</t>
  </si>
  <si>
    <t>Zum Video</t>
  </si>
  <si>
    <t>Cha Cha Cha</t>
  </si>
  <si>
    <t>Rumba</t>
  </si>
  <si>
    <t>Jive</t>
  </si>
  <si>
    <t>Samba</t>
  </si>
  <si>
    <t>Discofox</t>
  </si>
  <si>
    <t>Langsamer Walzer</t>
  </si>
  <si>
    <t>Tango</t>
  </si>
  <si>
    <t>Quick Step</t>
  </si>
  <si>
    <t>Slowfox</t>
  </si>
  <si>
    <t>Wiener Walzer</t>
  </si>
  <si>
    <t>Alemana, Opening out, Hip twist, Fan, Umeinander</t>
  </si>
  <si>
    <t>Exort verschiedener Teil-Datenbanken</t>
  </si>
  <si>
    <t>Exort von Gruppen pdf-Dokumenten</t>
  </si>
  <si>
    <t>pfd</t>
  </si>
  <si>
    <t>pdf</t>
  </si>
  <si>
    <t>CC HaHa 2015 CrabWalks.mp4</t>
  </si>
  <si>
    <t>CC Kristóf Workshop 2026.mp4</t>
  </si>
  <si>
    <t>CC Ronde HipTwistChasse 2014_12.mp4</t>
  </si>
  <si>
    <t>QS Kristóf Workshop 2026.mp4</t>
  </si>
  <si>
    <t>https://www.youtube.com/watch?v=vt0fuTzPdXM</t>
  </si>
  <si>
    <t>Grundschritt / Wiegeschritt</t>
  </si>
  <si>
    <t>https://www.youtube.com/watch?v=gQrHNRC-S7U</t>
  </si>
  <si>
    <t>https://www.youtube.com/watch?v=WpgcXLElWPo</t>
  </si>
  <si>
    <t>https://www.youtube.com/watch?v=VdNLw1Y7D9k</t>
  </si>
  <si>
    <t>https://www.youtube.com/watch?v=2kHTddRkqc4</t>
  </si>
  <si>
    <t>Der 18er:
Rd 1 + 2
Übg R-L
Ld 1 + 2
Übg L-R</t>
  </si>
  <si>
    <t>18 Schritte:
1 - 6
7 8 9
10 - 15
16 17 18</t>
  </si>
  <si>
    <t>DF</t>
  </si>
  <si>
    <t>TG</t>
  </si>
  <si>
    <t>RB</t>
  </si>
  <si>
    <t>JI</t>
  </si>
  <si>
    <t>QS</t>
  </si>
  <si>
    <t>CC</t>
  </si>
  <si>
    <t>SW</t>
  </si>
  <si>
    <t>VW</t>
  </si>
  <si>
    <t>SB</t>
  </si>
  <si>
    <t>Tanzen TSV Mittwoch - Figuren und Folgen</t>
  </si>
  <si>
    <t>Brush Tap</t>
  </si>
  <si>
    <t>Folge 1:
Rd1+2, Übg, Ld1+2, Übg
Rd, AußStlWe
Rd, Kreisel, Übg
Ld1+2
Wischer, Chassé
Rd1</t>
  </si>
  <si>
    <t>2xBackLock _ Hiptwist-Chassé _ D:Spirale, H:Wiege _ 3-Schritt-Drehung _ Cuban Breakes</t>
  </si>
  <si>
    <t>SW  Underarm Turn With a Partner for a Waltz.mp4</t>
  </si>
  <si>
    <t>SW Kristof Rd ZögWe Chas Ronde Endlauf I.mp4</t>
  </si>
  <si>
    <t>SW Kristof Rd ZögWe Chas Ronde Endlauf II.mp4</t>
  </si>
  <si>
    <t>SW Kristof Rd ZögWe Chas Ronde Übg I.mp4</t>
  </si>
  <si>
    <t>SW Kristof Rd ZögWe Chas Ronde Übg II.mp4</t>
  </si>
  <si>
    <t>Rd ZögWe Chas Ronde Übg II</t>
  </si>
  <si>
    <t>Rd ZögWe Chas Ronde Übg I</t>
  </si>
  <si>
    <t>Rd ZögWe Chas Ronde Endlauf II</t>
  </si>
  <si>
    <t>Rd ZögWe Chas Ronde Endlauf I</t>
  </si>
  <si>
    <t>Rd ZögWe Chas Ronde Endlauf</t>
  </si>
  <si>
    <t>https://www.youtube.com/watch?v=-JBOAHxTnLM</t>
  </si>
  <si>
    <t>Four Quick Run</t>
  </si>
  <si>
    <t>Schöne Folge</t>
  </si>
  <si>
    <t>Rd, Turning Lock, open Rd, Outside Chg, Wing, QuOpRev, 4QuRun</t>
  </si>
  <si>
    <t>QS Bianca FourQuickRun.MOV</t>
  </si>
  <si>
    <t>Körbchen, Schiebetür, Brezel, Damenschal</t>
  </si>
  <si>
    <t>Damenschal</t>
  </si>
  <si>
    <t>Kein Link vorhanden.</t>
  </si>
  <si>
    <t>Kein Video</t>
  </si>
  <si>
    <t>OutsideSpin TurningLock to right</t>
  </si>
  <si>
    <t>TG Hans Wiener Walzer LinksDrehung.AVI</t>
  </si>
  <si>
    <t>Wiener Walzer Links-Drehung</t>
  </si>
  <si>
    <t>Flick-Ball-Change mit Spirale</t>
  </si>
  <si>
    <t>In Planung</t>
  </si>
  <si>
    <t>https://youtu.be/V0JJ4D8JBCA</t>
  </si>
  <si>
    <t>Von der Brezel ins Körbchen</t>
  </si>
  <si>
    <t>Folge 2</t>
  </si>
  <si>
    <t>Folge 2 durchgetanzt</t>
  </si>
  <si>
    <t>F3 Notiz</t>
  </si>
  <si>
    <t>Folge1 Notiz</t>
  </si>
  <si>
    <t>Folge 2 Notiz</t>
  </si>
  <si>
    <t>Folge 3 Erklärung</t>
  </si>
  <si>
    <t>Bodscheller</t>
  </si>
  <si>
    <t>DF Bodscheller</t>
  </si>
  <si>
    <t>Gruppe 2            Stand 02.06.2026</t>
  </si>
  <si>
    <t>Tanzen TSV Mittwoch Figuren und Folgen - Gruppe 2         Stand 02.06.2026</t>
  </si>
  <si>
    <t>SW001</t>
  </si>
  <si>
    <t>SW002</t>
  </si>
  <si>
    <t>SW003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</si>
</sst>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1">
    <font>
      <sz val="11"/>
      <color theme="1"/>
      <name val="Calibri"/>
      <family val="2"/>
      <scheme val="minor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4"/>
      <color theme="1"/>
      <name val="Arial Narrow"/>
      <family val="2"/>
    </font>
    <font>
      <sz val="11"/>
      <color theme="1"/>
      <name val="Albany AMT"/>
    </font>
    <font>
      <u/>
      <sz val="11"/>
      <color theme="10"/>
      <name val="Albany AMT"/>
    </font>
    <font>
      <sz val="12"/>
      <color theme="1"/>
      <name val="Arial Narrow"/>
      <family val="2"/>
    </font>
    <font>
      <sz val="14"/>
      <color theme="1"/>
      <name val="Arial"/>
      <family val="2"/>
    </font>
    <font>
      <sz val="8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"/>
      <name val="Arial Narrow"/>
      <family val="2"/>
    </font>
    <font>
      <sz val="16"/>
      <color theme="1"/>
      <name val="Arial Narrow"/>
      <family val="2"/>
    </font>
    <font>
      <b/>
      <sz val="16"/>
      <color theme="1"/>
      <name val="Arial Narrow"/>
      <family val="2"/>
    </font>
    <font>
      <sz val="12"/>
      <color theme="1"/>
      <name val="Calibri"/>
      <family val="2"/>
    </font>
    <font>
      <sz val="16"/>
      <color rgb="FFFF0000"/>
      <name val="Arial Narrow"/>
      <family val="2"/>
    </font>
    <font>
      <u/>
      <sz val="11"/>
      <color theme="10"/>
      <name val="Arial Narrow"/>
      <family val="2"/>
    </font>
    <font>
      <sz val="11"/>
      <color theme="1"/>
      <name val="Arial Narrow"/>
      <family val="2"/>
    </font>
    <font>
      <u/>
      <sz val="11"/>
      <color theme="1"/>
      <name val="Arial Narrow"/>
      <family val="2"/>
    </font>
    <font>
      <u/>
      <sz val="11"/>
      <color theme="10"/>
      <name val="Courier New"/>
      <family val="3"/>
    </font>
    <font>
      <sz val="12"/>
      <color theme="1"/>
      <name val="Courier New"/>
      <family val="3"/>
    </font>
    <font>
      <u/>
      <sz val="12"/>
      <color theme="1"/>
      <name val="Courier New"/>
      <family val="3"/>
    </font>
    <font>
      <sz val="8"/>
      <color theme="1"/>
      <name val="Arial Narrow"/>
      <family val="2"/>
    </font>
    <font>
      <u/>
      <sz val="14"/>
      <color theme="1"/>
      <name val="Arial Narrow"/>
      <family val="2"/>
    </font>
    <font>
      <u/>
      <sz val="8"/>
      <color theme="1"/>
      <name val="Arial Narrow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39997558519241921"/>
        <bgColor indexed="64"/>
      </patternFill>
    </fill>
  </fills>
  <borders count="16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/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/>
      <diagonal/>
    </border>
    <border>
      <left/>
      <right/>
      <top style="hair">
        <color auto="1"/>
      </top>
      <bottom/>
      <diagonal/>
    </border>
    <border>
      <left/>
      <right style="hair">
        <color indexed="64"/>
      </right>
      <top style="hair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dotted">
        <color rgb="FFEBEBEB"/>
      </left>
      <right style="dotted">
        <color rgb="FFEBEBEB"/>
      </right>
      <top style="dotted">
        <color rgb="FFEBEBEB"/>
      </top>
      <bottom style="dotted">
        <color rgb="FFEBEBEB"/>
      </bottom>
      <diagonal/>
    </border>
  </borders>
  <cellStyleXfs count="3">
    <xf numFmtId="0" fontId="0" fillId="0" borderId="0"/>
    <xf numFmtId="0" fontId="51" fillId="0" borderId="0"/>
    <xf numFmtId="0" fontId="52" fillId="0" borderId="0" applyNumberFormat="0" applyFill="0" applyBorder="0" applyAlignment="0" applyProtection="0"/>
  </cellStyleXfs>
  <cellXfs count="369">
    <xf numFmtId="0" fontId="0" fillId="0" borderId="0" xfId="0"/>
    <xf numFmtId="0" fontId="53" fillId="0" borderId="1" xfId="1" applyFont="1" applyBorder="1" applyAlignment="1">
      <alignment horizontal="left" vertical="center" indent="1"/>
    </xf>
    <xf numFmtId="0" fontId="53" fillId="0" borderId="1" xfId="1" applyFont="1" applyBorder="1" applyAlignment="1">
      <alignment horizontal="center" vertical="center"/>
    </xf>
    <xf numFmtId="0" fontId="54" fillId="0" borderId="0" xfId="0" applyFont="1" applyAlignment="1">
      <alignment horizontal="center" vertical="center" wrapText="1"/>
    </xf>
    <xf numFmtId="0" fontId="53" fillId="0" borderId="1" xfId="1" applyFont="1" applyBorder="1" applyAlignment="1">
      <alignment horizontal="center" vertical="center" wrapText="1"/>
    </xf>
    <xf numFmtId="49" fontId="53" fillId="0" borderId="0" xfId="1" applyNumberFormat="1" applyFont="1" applyBorder="1" applyAlignment="1">
      <alignment horizontal="center" vertical="center" wrapText="1"/>
    </xf>
    <xf numFmtId="49" fontId="53" fillId="0" borderId="0" xfId="1" applyNumberFormat="1" applyFont="1" applyBorder="1" applyAlignment="1">
      <alignment horizontal="left" vertical="center" wrapText="1" indent="1"/>
    </xf>
    <xf numFmtId="0" fontId="53" fillId="0" borderId="0" xfId="1" applyFont="1" applyBorder="1" applyAlignment="1">
      <alignment horizontal="left" vertical="center" wrapText="1" indent="1"/>
    </xf>
    <xf numFmtId="49" fontId="53" fillId="0" borderId="0" xfId="1" applyNumberFormat="1" applyFont="1" applyBorder="1" applyAlignment="1">
      <alignment horizontal="center" vertical="center"/>
    </xf>
    <xf numFmtId="49" fontId="53" fillId="0" borderId="0" xfId="1" applyNumberFormat="1" applyFont="1" applyBorder="1" applyAlignment="1">
      <alignment horizontal="left" vertical="center" indent="1"/>
    </xf>
    <xf numFmtId="0" fontId="53" fillId="0" borderId="2" xfId="1" applyFont="1" applyBorder="1" applyAlignment="1">
      <alignment horizontal="center" vertical="center" wrapText="1"/>
    </xf>
    <xf numFmtId="0" fontId="53" fillId="0" borderId="0" xfId="1" applyFont="1" applyBorder="1" applyAlignment="1">
      <alignment horizontal="left" vertical="center" indent="1"/>
    </xf>
    <xf numFmtId="49" fontId="56" fillId="0" borderId="0" xfId="0" applyNumberFormat="1" applyFont="1" applyBorder="1" applyAlignment="1">
      <alignment horizontal="center"/>
    </xf>
    <xf numFmtId="49" fontId="56" fillId="0" borderId="0" xfId="0" applyNumberFormat="1" applyFont="1" applyBorder="1"/>
    <xf numFmtId="0" fontId="56" fillId="0" borderId="0" xfId="0" applyFont="1" applyBorder="1"/>
    <xf numFmtId="0" fontId="53" fillId="0" borderId="2" xfId="1" applyFont="1" applyBorder="1" applyAlignment="1">
      <alignment horizontal="center" vertical="center"/>
    </xf>
    <xf numFmtId="0" fontId="53" fillId="0" borderId="0" xfId="1" applyFont="1" applyBorder="1" applyAlignment="1">
      <alignment horizontal="center" vertical="center"/>
    </xf>
    <xf numFmtId="0" fontId="56" fillId="0" borderId="0" xfId="0" applyFont="1" applyAlignment="1">
      <alignment horizontal="center" vertical="center"/>
    </xf>
    <xf numFmtId="49" fontId="56" fillId="0" borderId="6" xfId="0" applyNumberFormat="1" applyFont="1" applyBorder="1" applyAlignment="1">
      <alignment horizontal="center" vertical="center"/>
    </xf>
    <xf numFmtId="0" fontId="56" fillId="0" borderId="0" xfId="0" applyFont="1" applyBorder="1" applyAlignment="1">
      <alignment horizontal="center" vertical="center"/>
    </xf>
    <xf numFmtId="49" fontId="56" fillId="0" borderId="0" xfId="0" applyNumberFormat="1" applyFont="1" applyBorder="1" applyAlignment="1">
      <alignment horizontal="center" vertical="center"/>
    </xf>
    <xf numFmtId="49" fontId="53" fillId="2" borderId="9" xfId="1" applyNumberFormat="1" applyFont="1" applyFill="1" applyBorder="1" applyAlignment="1">
      <alignment horizontal="center" vertical="center" wrapText="1"/>
    </xf>
    <xf numFmtId="49" fontId="53" fillId="2" borderId="4" xfId="1" applyNumberFormat="1" applyFont="1" applyFill="1" applyBorder="1" applyAlignment="1">
      <alignment horizontal="left" vertical="center" wrapText="1" indent="1"/>
    </xf>
    <xf numFmtId="0" fontId="53" fillId="2" borderId="4" xfId="1" applyFont="1" applyFill="1" applyBorder="1" applyAlignment="1">
      <alignment horizontal="left" vertical="center" wrapText="1" indent="1"/>
    </xf>
    <xf numFmtId="0" fontId="53" fillId="2" borderId="4" xfId="1" applyFont="1" applyFill="1" applyBorder="1" applyAlignment="1">
      <alignment horizontal="left" vertical="center" indent="1"/>
    </xf>
    <xf numFmtId="0" fontId="53" fillId="2" borderId="5" xfId="1" applyFont="1" applyFill="1" applyBorder="1" applyAlignment="1">
      <alignment horizontal="center" vertical="center" wrapText="1"/>
    </xf>
    <xf numFmtId="0" fontId="53" fillId="2" borderId="4" xfId="1" applyFont="1" applyFill="1" applyBorder="1" applyAlignment="1">
      <alignment horizontal="center" vertical="center"/>
    </xf>
    <xf numFmtId="49" fontId="53" fillId="2" borderId="6" xfId="1" applyNumberFormat="1" applyFont="1" applyFill="1" applyBorder="1" applyAlignment="1">
      <alignment horizontal="center" vertical="center" wrapText="1"/>
    </xf>
    <xf numFmtId="49" fontId="53" fillId="2" borderId="6" xfId="1" applyNumberFormat="1" applyFont="1" applyFill="1" applyBorder="1" applyAlignment="1">
      <alignment horizontal="center" vertical="center"/>
    </xf>
    <xf numFmtId="49" fontId="53" fillId="2" borderId="6" xfId="1" quotePrefix="1" applyNumberFormat="1" applyFont="1" applyFill="1" applyBorder="1" applyAlignment="1">
      <alignment horizontal="center" vertical="center"/>
    </xf>
    <xf numFmtId="49" fontId="56" fillId="2" borderId="6" xfId="0" applyNumberFormat="1" applyFont="1" applyFill="1" applyBorder="1" applyAlignment="1">
      <alignment horizontal="center" vertical="center"/>
    </xf>
    <xf numFmtId="0" fontId="52" fillId="0" borderId="1" xfId="2" applyBorder="1" applyAlignment="1">
      <alignment horizontal="center" vertical="center"/>
    </xf>
    <xf numFmtId="49" fontId="53" fillId="0" borderId="7" xfId="1" applyNumberFormat="1" applyFont="1" applyBorder="1" applyAlignment="1">
      <alignment horizontal="center" vertical="center"/>
    </xf>
    <xf numFmtId="49" fontId="53" fillId="0" borderId="2" xfId="1" applyNumberFormat="1" applyFont="1" applyBorder="1" applyAlignment="1">
      <alignment horizontal="center" vertical="center"/>
    </xf>
    <xf numFmtId="49" fontId="53" fillId="0" borderId="8" xfId="1" quotePrefix="1" applyNumberFormat="1" applyFont="1" applyBorder="1" applyAlignment="1">
      <alignment horizontal="center" vertical="center"/>
    </xf>
    <xf numFmtId="49" fontId="53" fillId="0" borderId="1" xfId="1" quotePrefix="1" applyNumberFormat="1" applyFont="1" applyBorder="1" applyAlignment="1">
      <alignment horizontal="center" vertical="center"/>
    </xf>
    <xf numFmtId="49" fontId="57" fillId="0" borderId="8" xfId="1" applyNumberFormat="1" applyFont="1" applyBorder="1" applyAlignment="1">
      <alignment horizontal="center" vertical="center"/>
    </xf>
    <xf numFmtId="49" fontId="57" fillId="0" borderId="1" xfId="1" applyNumberFormat="1" applyFont="1" applyBorder="1" applyAlignment="1">
      <alignment horizontal="center" vertical="center"/>
    </xf>
    <xf numFmtId="49" fontId="56" fillId="0" borderId="0" xfId="0" applyNumberFormat="1" applyFont="1" applyAlignment="1">
      <alignment horizontal="center" vertical="center"/>
    </xf>
    <xf numFmtId="49" fontId="53" fillId="0" borderId="8" xfId="1" applyNumberFormat="1" applyFont="1" applyBorder="1" applyAlignment="1">
      <alignment horizontal="center" vertical="center" wrapText="1"/>
    </xf>
    <xf numFmtId="49" fontId="53" fillId="0" borderId="1" xfId="1" applyNumberFormat="1" applyFont="1" applyBorder="1" applyAlignment="1">
      <alignment horizontal="center" vertical="center" wrapText="1"/>
    </xf>
    <xf numFmtId="49" fontId="53" fillId="0" borderId="8" xfId="1" applyNumberFormat="1" applyFont="1" applyBorder="1" applyAlignment="1">
      <alignment horizontal="center" vertical="center"/>
    </xf>
    <xf numFmtId="49" fontId="53" fillId="0" borderId="1" xfId="1" applyNumberFormat="1" applyFont="1" applyBorder="1" applyAlignment="1">
      <alignment horizontal="center" vertical="center"/>
    </xf>
    <xf numFmtId="0" fontId="53" fillId="0" borderId="3" xfId="1" applyFont="1" applyBorder="1" applyAlignment="1">
      <alignment horizontal="center" vertical="center" wrapText="1"/>
    </xf>
    <xf numFmtId="0" fontId="50" fillId="0" borderId="1" xfId="1" applyFont="1" applyBorder="1" applyAlignment="1">
      <alignment horizontal="center" vertical="center" wrapText="1"/>
    </xf>
    <xf numFmtId="0" fontId="53" fillId="0" borderId="0" xfId="1" applyFont="1" applyBorder="1" applyAlignment="1">
      <alignment horizontal="center" vertical="center" wrapText="1"/>
    </xf>
    <xf numFmtId="0" fontId="58" fillId="0" borderId="1" xfId="1" applyFont="1" applyBorder="1" applyAlignment="1">
      <alignment horizontal="center" vertical="center" wrapText="1"/>
    </xf>
    <xf numFmtId="0" fontId="59" fillId="0" borderId="1" xfId="1" applyFont="1" applyBorder="1" applyAlignment="1">
      <alignment horizontal="center" vertical="center" wrapText="1"/>
    </xf>
    <xf numFmtId="0" fontId="58" fillId="2" borderId="1" xfId="1" applyFont="1" applyFill="1" applyBorder="1" applyAlignment="1">
      <alignment horizontal="center" vertical="center" wrapText="1"/>
    </xf>
    <xf numFmtId="0" fontId="58" fillId="2" borderId="2" xfId="1" applyFont="1" applyFill="1" applyBorder="1" applyAlignment="1">
      <alignment horizontal="center" vertical="center" wrapText="1"/>
    </xf>
    <xf numFmtId="0" fontId="50" fillId="0" borderId="2" xfId="1" applyFont="1" applyBorder="1" applyAlignment="1">
      <alignment horizontal="center" vertical="center" wrapText="1"/>
    </xf>
    <xf numFmtId="0" fontId="58" fillId="2" borderId="7" xfId="1" applyFont="1" applyFill="1" applyBorder="1" applyAlignment="1">
      <alignment horizontal="center" vertical="center" wrapText="1"/>
    </xf>
    <xf numFmtId="0" fontId="58" fillId="2" borderId="8" xfId="1" applyFont="1" applyFill="1" applyBorder="1" applyAlignment="1">
      <alignment horizontal="center" vertical="center" wrapText="1"/>
    </xf>
    <xf numFmtId="0" fontId="58" fillId="0" borderId="8" xfId="1" applyFont="1" applyBorder="1" applyAlignment="1">
      <alignment horizontal="center" vertical="center" wrapText="1"/>
    </xf>
    <xf numFmtId="0" fontId="53" fillId="2" borderId="7" xfId="1" applyFont="1" applyFill="1" applyBorder="1" applyAlignment="1">
      <alignment horizontal="center" vertical="center" wrapText="1"/>
    </xf>
    <xf numFmtId="0" fontId="53" fillId="0" borderId="8" xfId="1" applyFont="1" applyBorder="1" applyAlignment="1">
      <alignment horizontal="center" vertical="center" wrapText="1"/>
    </xf>
    <xf numFmtId="0" fontId="53" fillId="0" borderId="0" xfId="1" applyFont="1" applyBorder="1" applyAlignment="1">
      <alignment horizontal="right" vertical="center" wrapText="1"/>
    </xf>
    <xf numFmtId="0" fontId="59" fillId="0" borderId="2" xfId="1" applyFont="1" applyBorder="1" applyAlignment="1">
      <alignment horizontal="center" vertical="center" wrapText="1"/>
    </xf>
    <xf numFmtId="0" fontId="53" fillId="0" borderId="0" xfId="1" applyFont="1" applyBorder="1" applyAlignment="1">
      <alignment horizontal="left" vertical="center" indent="2"/>
    </xf>
    <xf numFmtId="0" fontId="60" fillId="2" borderId="0" xfId="1" applyFont="1" applyFill="1" applyBorder="1" applyAlignment="1">
      <alignment horizontal="right" vertical="center" wrapText="1"/>
    </xf>
    <xf numFmtId="0" fontId="53" fillId="0" borderId="10" xfId="1" applyFont="1" applyBorder="1" applyAlignment="1">
      <alignment horizontal="left" vertical="center" wrapText="1" indent="1"/>
    </xf>
    <xf numFmtId="0" fontId="61" fillId="2" borderId="8" xfId="1" applyFont="1" applyFill="1" applyBorder="1" applyAlignment="1">
      <alignment horizontal="center" vertical="center" wrapText="1"/>
    </xf>
    <xf numFmtId="0" fontId="58" fillId="0" borderId="2" xfId="1" applyFont="1" applyBorder="1" applyAlignment="1">
      <alignment horizontal="center" vertical="center" wrapText="1"/>
    </xf>
    <xf numFmtId="0" fontId="61" fillId="2" borderId="1" xfId="1" applyFont="1" applyFill="1" applyBorder="1" applyAlignment="1">
      <alignment horizontal="center" vertical="center" wrapText="1"/>
    </xf>
    <xf numFmtId="0" fontId="58" fillId="4" borderId="2" xfId="1" applyFont="1" applyFill="1" applyBorder="1" applyAlignment="1">
      <alignment horizontal="center" vertical="center" wrapText="1"/>
    </xf>
    <xf numFmtId="0" fontId="58" fillId="5" borderId="1" xfId="1" applyFont="1" applyFill="1" applyBorder="1" applyAlignment="1">
      <alignment horizontal="center" vertical="center" wrapText="1"/>
    </xf>
    <xf numFmtId="0" fontId="61" fillId="5" borderId="8" xfId="1" applyFont="1" applyFill="1" applyBorder="1" applyAlignment="1">
      <alignment horizontal="center" vertical="center" wrapText="1"/>
    </xf>
    <xf numFmtId="0" fontId="58" fillId="6" borderId="2" xfId="1" applyFont="1" applyFill="1" applyBorder="1" applyAlignment="1">
      <alignment horizontal="center" vertical="center" wrapText="1"/>
    </xf>
    <xf numFmtId="0" fontId="61" fillId="6" borderId="8" xfId="1" applyFont="1" applyFill="1" applyBorder="1" applyAlignment="1">
      <alignment horizontal="center" vertical="center" wrapText="1"/>
    </xf>
    <xf numFmtId="0" fontId="58" fillId="6" borderId="1" xfId="1" applyFont="1" applyFill="1" applyBorder="1" applyAlignment="1">
      <alignment horizontal="center" vertical="center" wrapText="1"/>
    </xf>
    <xf numFmtId="0" fontId="53" fillId="3" borderId="8" xfId="1" applyFont="1" applyFill="1" applyBorder="1" applyAlignment="1">
      <alignment horizontal="center" vertical="center" wrapText="1"/>
    </xf>
    <xf numFmtId="0" fontId="53" fillId="3" borderId="1" xfId="1" applyFont="1" applyFill="1" applyBorder="1" applyAlignment="1">
      <alignment horizontal="center" vertical="center" wrapText="1"/>
    </xf>
    <xf numFmtId="0" fontId="53" fillId="3" borderId="7" xfId="1" applyFont="1" applyFill="1" applyBorder="1" applyAlignment="1">
      <alignment horizontal="left" vertical="center" wrapText="1"/>
    </xf>
    <xf numFmtId="0" fontId="53" fillId="3" borderId="7" xfId="1" applyFont="1" applyFill="1" applyBorder="1" applyAlignment="1">
      <alignment horizontal="center" vertical="center" wrapText="1"/>
    </xf>
    <xf numFmtId="0" fontId="53" fillId="3" borderId="2" xfId="1" applyFont="1" applyFill="1" applyBorder="1" applyAlignment="1">
      <alignment horizontal="center" vertical="center" wrapText="1"/>
    </xf>
    <xf numFmtId="0" fontId="53" fillId="7" borderId="0" xfId="1" applyFont="1" applyFill="1" applyBorder="1" applyAlignment="1">
      <alignment horizontal="right" vertical="center" wrapText="1"/>
    </xf>
    <xf numFmtId="0" fontId="53" fillId="7" borderId="10" xfId="1" applyFont="1" applyFill="1" applyBorder="1" applyAlignment="1">
      <alignment horizontal="left" vertical="center" wrapText="1"/>
    </xf>
    <xf numFmtId="0" fontId="53" fillId="7" borderId="3" xfId="1" applyFont="1" applyFill="1" applyBorder="1" applyAlignment="1">
      <alignment horizontal="right" vertical="center" wrapText="1"/>
    </xf>
    <xf numFmtId="0" fontId="53" fillId="7" borderId="7" xfId="1" applyFont="1" applyFill="1" applyBorder="1" applyAlignment="1">
      <alignment horizontal="left" vertical="center" wrapText="1"/>
    </xf>
    <xf numFmtId="0" fontId="53" fillId="7" borderId="8" xfId="1" applyFont="1" applyFill="1" applyBorder="1" applyAlignment="1">
      <alignment horizontal="center" vertical="center" wrapText="1"/>
    </xf>
    <xf numFmtId="0" fontId="53" fillId="7" borderId="1" xfId="1" applyFont="1" applyFill="1" applyBorder="1" applyAlignment="1">
      <alignment horizontal="center" vertical="center" wrapText="1"/>
    </xf>
    <xf numFmtId="0" fontId="56" fillId="0" borderId="0" xfId="0" applyFont="1" applyBorder="1" applyAlignment="1">
      <alignment horizontal="left" vertical="center" indent="1"/>
    </xf>
    <xf numFmtId="0" fontId="53" fillId="2" borderId="5" xfId="1" applyFont="1" applyFill="1" applyBorder="1" applyAlignment="1">
      <alignment horizontal="left" vertical="center" wrapText="1" indent="1"/>
    </xf>
    <xf numFmtId="0" fontId="53" fillId="0" borderId="2" xfId="1" applyFont="1" applyBorder="1" applyAlignment="1">
      <alignment horizontal="left" vertical="center" indent="1"/>
    </xf>
    <xf numFmtId="0" fontId="56" fillId="0" borderId="0" xfId="0" applyFont="1" applyAlignment="1">
      <alignment horizontal="left" vertical="center" indent="1"/>
    </xf>
    <xf numFmtId="49" fontId="53" fillId="0" borderId="0" xfId="1" quotePrefix="1" applyNumberFormat="1" applyFont="1" applyBorder="1" applyAlignment="1">
      <alignment horizontal="center" vertical="center"/>
    </xf>
    <xf numFmtId="0" fontId="52" fillId="0" borderId="0" xfId="2" applyBorder="1" applyAlignment="1">
      <alignment horizontal="left" vertical="center" wrapText="1" indent="1"/>
    </xf>
    <xf numFmtId="0" fontId="52" fillId="0" borderId="1" xfId="2" applyBorder="1" applyAlignment="1">
      <alignment horizontal="left" vertical="center"/>
    </xf>
    <xf numFmtId="0" fontId="52" fillId="0" borderId="0" xfId="2"/>
    <xf numFmtId="0" fontId="53" fillId="0" borderId="1" xfId="1" applyFont="1" applyBorder="1" applyAlignment="1">
      <alignment horizontal="left" vertical="center" wrapText="1" indent="1"/>
    </xf>
    <xf numFmtId="0" fontId="52" fillId="0" borderId="0" xfId="2" applyBorder="1"/>
    <xf numFmtId="0" fontId="52" fillId="0" borderId="0" xfId="2" applyAlignment="1">
      <alignment horizontal="left" vertical="center" indent="1"/>
    </xf>
    <xf numFmtId="49" fontId="49" fillId="2" borderId="6" xfId="1" applyNumberFormat="1" applyFont="1" applyFill="1" applyBorder="1" applyAlignment="1">
      <alignment horizontal="center" vertical="center"/>
    </xf>
    <xf numFmtId="0" fontId="53" fillId="0" borderId="2" xfId="1" applyFont="1" applyBorder="1" applyAlignment="1">
      <alignment horizontal="left" vertical="center" wrapText="1" indent="1"/>
    </xf>
    <xf numFmtId="0" fontId="48" fillId="0" borderId="0" xfId="1" applyFont="1" applyBorder="1" applyAlignment="1">
      <alignment horizontal="left" vertical="center" indent="1"/>
    </xf>
    <xf numFmtId="49" fontId="48" fillId="2" borderId="6" xfId="1" applyNumberFormat="1" applyFont="1" applyFill="1" applyBorder="1" applyAlignment="1">
      <alignment horizontal="center" vertical="center"/>
    </xf>
    <xf numFmtId="0" fontId="48" fillId="0" borderId="1" xfId="1" applyFont="1" applyBorder="1" applyAlignment="1">
      <alignment horizontal="left" vertical="center" indent="1"/>
    </xf>
    <xf numFmtId="49" fontId="47" fillId="2" borderId="6" xfId="1" applyNumberFormat="1" applyFont="1" applyFill="1" applyBorder="1" applyAlignment="1">
      <alignment horizontal="center" vertical="center"/>
    </xf>
    <xf numFmtId="49" fontId="47" fillId="0" borderId="8" xfId="1" applyNumberFormat="1" applyFont="1" applyBorder="1" applyAlignment="1">
      <alignment horizontal="center" vertical="center"/>
    </xf>
    <xf numFmtId="49" fontId="47" fillId="0" borderId="1" xfId="1" applyNumberFormat="1" applyFont="1" applyBorder="1" applyAlignment="1">
      <alignment horizontal="center" vertical="center"/>
    </xf>
    <xf numFmtId="0" fontId="47" fillId="0" borderId="1" xfId="1" applyFont="1" applyBorder="1" applyAlignment="1">
      <alignment horizontal="left" vertical="center" indent="1"/>
    </xf>
    <xf numFmtId="0" fontId="47" fillId="0" borderId="1" xfId="1" applyFont="1" applyBorder="1" applyAlignment="1">
      <alignment horizontal="center" vertical="center" wrapText="1"/>
    </xf>
    <xf numFmtId="0" fontId="47" fillId="0" borderId="0" xfId="1" applyFont="1" applyBorder="1" applyAlignment="1">
      <alignment horizontal="left" vertical="center" indent="1"/>
    </xf>
    <xf numFmtId="49" fontId="46" fillId="0" borderId="1" xfId="1" quotePrefix="1" applyNumberFormat="1" applyFont="1" applyBorder="1" applyAlignment="1">
      <alignment horizontal="center" vertical="center"/>
    </xf>
    <xf numFmtId="49" fontId="46" fillId="2" borderId="6" xfId="1" applyNumberFormat="1" applyFont="1" applyFill="1" applyBorder="1" applyAlignment="1">
      <alignment horizontal="center" vertical="center"/>
    </xf>
    <xf numFmtId="0" fontId="46" fillId="0" borderId="1" xfId="1" applyFont="1" applyBorder="1" applyAlignment="1">
      <alignment horizontal="left" vertical="center" indent="1"/>
    </xf>
    <xf numFmtId="49" fontId="46" fillId="0" borderId="8" xfId="1" quotePrefix="1" applyNumberFormat="1" applyFont="1" applyBorder="1" applyAlignment="1">
      <alignment horizontal="center" vertical="center"/>
    </xf>
    <xf numFmtId="0" fontId="46" fillId="0" borderId="0" xfId="1" applyFont="1" applyBorder="1" applyAlignment="1">
      <alignment horizontal="left" vertical="center" indent="1"/>
    </xf>
    <xf numFmtId="49" fontId="46" fillId="0" borderId="2" xfId="1" applyNumberFormat="1" applyFont="1" applyBorder="1" applyAlignment="1">
      <alignment horizontal="center" vertical="center"/>
    </xf>
    <xf numFmtId="49" fontId="46" fillId="0" borderId="1" xfId="1" applyNumberFormat="1" applyFont="1" applyBorder="1" applyAlignment="1">
      <alignment horizontal="center" vertical="center"/>
    </xf>
    <xf numFmtId="0" fontId="46" fillId="0" borderId="1" xfId="1" applyFont="1" applyBorder="1" applyAlignment="1">
      <alignment horizontal="center" vertical="center"/>
    </xf>
    <xf numFmtId="49" fontId="46" fillId="0" borderId="8" xfId="1" applyNumberFormat="1" applyFont="1" applyBorder="1" applyAlignment="1">
      <alignment horizontal="center" vertical="center"/>
    </xf>
    <xf numFmtId="0" fontId="46" fillId="0" borderId="0" xfId="0" applyFont="1" applyAlignment="1">
      <alignment horizontal="left" vertical="center" indent="1"/>
    </xf>
    <xf numFmtId="49" fontId="46" fillId="0" borderId="1" xfId="1" applyNumberFormat="1" applyFont="1" applyBorder="1" applyAlignment="1">
      <alignment horizontal="center" vertical="center" wrapText="1"/>
    </xf>
    <xf numFmtId="0" fontId="46" fillId="2" borderId="5" xfId="1" applyFont="1" applyFill="1" applyBorder="1" applyAlignment="1">
      <alignment horizontal="left" vertical="center" wrapText="1" indent="1"/>
    </xf>
    <xf numFmtId="0" fontId="46" fillId="0" borderId="2" xfId="1" applyFont="1" applyBorder="1" applyAlignment="1">
      <alignment horizontal="left" vertical="center" indent="1"/>
    </xf>
    <xf numFmtId="49" fontId="46" fillId="2" borderId="9" xfId="1" applyNumberFormat="1" applyFont="1" applyFill="1" applyBorder="1" applyAlignment="1">
      <alignment horizontal="center" vertical="center" wrapText="1"/>
    </xf>
    <xf numFmtId="0" fontId="46" fillId="2" borderId="5" xfId="1" applyFont="1" applyFill="1" applyBorder="1" applyAlignment="1">
      <alignment horizontal="center" vertical="center" wrapText="1"/>
    </xf>
    <xf numFmtId="0" fontId="46" fillId="2" borderId="5" xfId="1" applyFont="1" applyFill="1" applyBorder="1" applyAlignment="1">
      <alignment horizontal="left" vertical="center" wrapText="1" indent="2"/>
    </xf>
    <xf numFmtId="0" fontId="46" fillId="2" borderId="4" xfId="1" applyFont="1" applyFill="1" applyBorder="1" applyAlignment="1">
      <alignment horizontal="left" vertical="center" indent="1"/>
    </xf>
    <xf numFmtId="49" fontId="46" fillId="2" borderId="6" xfId="1" applyNumberFormat="1" applyFont="1" applyFill="1" applyBorder="1" applyAlignment="1">
      <alignment horizontal="center" vertical="center" wrapText="1"/>
    </xf>
    <xf numFmtId="49" fontId="46" fillId="0" borderId="7" xfId="1" applyNumberFormat="1" applyFont="1" applyBorder="1" applyAlignment="1">
      <alignment horizontal="center" vertical="center"/>
    </xf>
    <xf numFmtId="0" fontId="46" fillId="0" borderId="2" xfId="1" applyFont="1" applyBorder="1" applyAlignment="1">
      <alignment horizontal="center" vertical="center" wrapText="1"/>
    </xf>
    <xf numFmtId="0" fontId="46" fillId="0" borderId="2" xfId="1" applyFont="1" applyBorder="1" applyAlignment="1">
      <alignment horizontal="left" vertical="center" indent="2"/>
    </xf>
    <xf numFmtId="0" fontId="46" fillId="0" borderId="1" xfId="1" applyFont="1" applyBorder="1" applyAlignment="1">
      <alignment horizontal="center" vertical="center" wrapText="1"/>
    </xf>
    <xf numFmtId="0" fontId="62" fillId="0" borderId="0" xfId="2" applyFont="1" applyAlignment="1">
      <alignment horizontal="left" indent="1"/>
    </xf>
    <xf numFmtId="0" fontId="46" fillId="0" borderId="0" xfId="0" applyFont="1" applyAlignment="1">
      <alignment horizontal="center" vertical="center"/>
    </xf>
    <xf numFmtId="49" fontId="46" fillId="0" borderId="0" xfId="0" applyNumberFormat="1" applyFont="1" applyAlignment="1">
      <alignment horizontal="center" vertical="center"/>
    </xf>
    <xf numFmtId="0" fontId="46" fillId="0" borderId="0" xfId="0" applyFont="1" applyAlignment="1">
      <alignment horizontal="left" vertical="center" indent="2"/>
    </xf>
    <xf numFmtId="49" fontId="46" fillId="2" borderId="6" xfId="0" applyNumberFormat="1" applyFont="1" applyFill="1" applyBorder="1" applyAlignment="1">
      <alignment horizontal="center" vertical="center"/>
    </xf>
    <xf numFmtId="0" fontId="46" fillId="0" borderId="0" xfId="0" applyFont="1" applyBorder="1" applyAlignment="1">
      <alignment horizontal="left" vertical="center" indent="1"/>
    </xf>
    <xf numFmtId="49" fontId="46" fillId="0" borderId="6" xfId="0" applyNumberFormat="1" applyFont="1" applyBorder="1" applyAlignment="1">
      <alignment horizontal="center" vertical="center"/>
    </xf>
    <xf numFmtId="49" fontId="46" fillId="0" borderId="0" xfId="0" applyNumberFormat="1" applyFont="1" applyBorder="1" applyAlignment="1">
      <alignment horizontal="center" vertical="center"/>
    </xf>
    <xf numFmtId="0" fontId="62" fillId="0" borderId="0" xfId="2" applyFont="1" applyAlignment="1">
      <alignment horizontal="left" vertical="center" indent="1"/>
    </xf>
    <xf numFmtId="49" fontId="45" fillId="0" borderId="0" xfId="1" quotePrefix="1" applyNumberFormat="1" applyFont="1" applyBorder="1" applyAlignment="1">
      <alignment horizontal="center" vertical="center"/>
    </xf>
    <xf numFmtId="49" fontId="45" fillId="2" borderId="6" xfId="1" applyNumberFormat="1" applyFont="1" applyFill="1" applyBorder="1" applyAlignment="1">
      <alignment horizontal="center" vertical="center"/>
    </xf>
    <xf numFmtId="49" fontId="45" fillId="0" borderId="1" xfId="1" quotePrefix="1" applyNumberFormat="1" applyFont="1" applyBorder="1" applyAlignment="1">
      <alignment horizontal="center" vertical="center"/>
    </xf>
    <xf numFmtId="49" fontId="45" fillId="0" borderId="1" xfId="1" applyNumberFormat="1" applyFont="1" applyBorder="1" applyAlignment="1">
      <alignment horizontal="center" vertical="center"/>
    </xf>
    <xf numFmtId="0" fontId="45" fillId="0" borderId="1" xfId="1" applyFont="1" applyBorder="1" applyAlignment="1">
      <alignment horizontal="left" vertical="center" indent="1"/>
    </xf>
    <xf numFmtId="49" fontId="44" fillId="0" borderId="0" xfId="1" applyNumberFormat="1" applyFont="1" applyBorder="1" applyAlignment="1">
      <alignment horizontal="left" vertical="center" indent="1"/>
    </xf>
    <xf numFmtId="0" fontId="43" fillId="0" borderId="1" xfId="1" applyFont="1" applyBorder="1" applyAlignment="1">
      <alignment horizontal="left" vertical="center" indent="1"/>
    </xf>
    <xf numFmtId="0" fontId="43" fillId="2" borderId="5" xfId="1" applyFont="1" applyFill="1" applyBorder="1" applyAlignment="1">
      <alignment horizontal="left" vertical="center" wrapText="1" indent="1"/>
    </xf>
    <xf numFmtId="0" fontId="43" fillId="0" borderId="2" xfId="1" applyFont="1" applyBorder="1" applyAlignment="1">
      <alignment horizontal="left" vertical="center" indent="1"/>
    </xf>
    <xf numFmtId="0" fontId="43" fillId="0" borderId="0" xfId="0" applyFont="1" applyAlignment="1">
      <alignment horizontal="left" vertical="center" indent="1"/>
    </xf>
    <xf numFmtId="0" fontId="42" fillId="2" borderId="4" xfId="1" applyFont="1" applyFill="1" applyBorder="1" applyAlignment="1">
      <alignment horizontal="left" vertical="center" wrapText="1" indent="1"/>
    </xf>
    <xf numFmtId="0" fontId="62" fillId="0" borderId="0" xfId="2" applyFont="1" applyBorder="1" applyAlignment="1">
      <alignment horizontal="left" vertical="center" wrapText="1" indent="1"/>
    </xf>
    <xf numFmtId="0" fontId="62" fillId="0" borderId="0" xfId="2" applyFont="1"/>
    <xf numFmtId="0" fontId="42" fillId="0" borderId="0" xfId="0" applyFont="1" applyBorder="1"/>
    <xf numFmtId="0" fontId="42" fillId="2" borderId="5" xfId="1" applyFont="1" applyFill="1" applyBorder="1" applyAlignment="1">
      <alignment horizontal="center" vertical="center" wrapText="1"/>
    </xf>
    <xf numFmtId="0" fontId="42" fillId="0" borderId="2" xfId="1" applyFont="1" applyBorder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46" fillId="0" borderId="0" xfId="0" applyFont="1" applyFill="1" applyAlignment="1">
      <alignment horizontal="center" vertical="center"/>
    </xf>
    <xf numFmtId="0" fontId="46" fillId="10" borderId="1" xfId="1" applyFont="1" applyFill="1" applyBorder="1" applyAlignment="1">
      <alignment horizontal="center" vertical="center"/>
    </xf>
    <xf numFmtId="0" fontId="46" fillId="10" borderId="0" xfId="0" applyFont="1" applyFill="1" applyAlignment="1">
      <alignment horizontal="center" vertical="center"/>
    </xf>
    <xf numFmtId="0" fontId="63" fillId="0" borderId="0" xfId="0" applyFont="1" applyFill="1" applyBorder="1" applyAlignment="1">
      <alignment horizontal="left" vertical="center" indent="1"/>
    </xf>
    <xf numFmtId="0" fontId="63" fillId="10" borderId="0" xfId="0" applyFont="1" applyFill="1" applyBorder="1" applyAlignment="1">
      <alignment horizontal="left" vertical="center" indent="1"/>
    </xf>
    <xf numFmtId="0" fontId="64" fillId="0" borderId="0" xfId="1" applyFont="1" applyFill="1" applyBorder="1" applyAlignment="1">
      <alignment horizontal="left" vertical="center" indent="1"/>
    </xf>
    <xf numFmtId="0" fontId="64" fillId="10" borderId="0" xfId="1" applyFont="1" applyFill="1" applyBorder="1" applyAlignment="1">
      <alignment horizontal="left" vertical="center" indent="1"/>
    </xf>
    <xf numFmtId="49" fontId="42" fillId="0" borderId="1" xfId="1" applyNumberFormat="1" applyFont="1" applyBorder="1" applyAlignment="1">
      <alignment horizontal="center" vertical="center"/>
    </xf>
    <xf numFmtId="0" fontId="42" fillId="0" borderId="1" xfId="1" applyFont="1" applyBorder="1" applyAlignment="1">
      <alignment horizontal="left" vertical="center" indent="1"/>
    </xf>
    <xf numFmtId="0" fontId="63" fillId="0" borderId="1" xfId="1" applyFont="1" applyFill="1" applyBorder="1" applyAlignment="1">
      <alignment horizontal="left" vertical="center" indent="1"/>
    </xf>
    <xf numFmtId="0" fontId="63" fillId="10" borderId="1" xfId="1" applyFont="1" applyFill="1" applyBorder="1" applyAlignment="1">
      <alignment horizontal="left" vertical="center" indent="1"/>
    </xf>
    <xf numFmtId="49" fontId="41" fillId="0" borderId="1" xfId="1" applyNumberFormat="1" applyFont="1" applyBorder="1" applyAlignment="1">
      <alignment horizontal="center" vertical="center"/>
    </xf>
    <xf numFmtId="49" fontId="41" fillId="2" borderId="6" xfId="1" applyNumberFormat="1" applyFont="1" applyFill="1" applyBorder="1" applyAlignment="1">
      <alignment horizontal="center" vertical="center"/>
    </xf>
    <xf numFmtId="0" fontId="40" fillId="0" borderId="0" xfId="1" applyFont="1" applyBorder="1" applyAlignment="1">
      <alignment horizontal="left" vertical="center" indent="1"/>
    </xf>
    <xf numFmtId="49" fontId="39" fillId="0" borderId="8" xfId="1" applyNumberFormat="1" applyFont="1" applyBorder="1" applyAlignment="1">
      <alignment horizontal="center" vertical="center"/>
    </xf>
    <xf numFmtId="0" fontId="63" fillId="0" borderId="0" xfId="0" applyFont="1" applyFill="1" applyAlignment="1">
      <alignment horizontal="left" vertical="center" indent="1"/>
    </xf>
    <xf numFmtId="0" fontId="63" fillId="10" borderId="0" xfId="0" applyFont="1" applyFill="1" applyAlignment="1">
      <alignment horizontal="left" vertical="center" indent="1"/>
    </xf>
    <xf numFmtId="0" fontId="38" fillId="0" borderId="0" xfId="1" applyFont="1" applyBorder="1" applyAlignment="1">
      <alignment horizontal="left" vertical="center" indent="1"/>
    </xf>
    <xf numFmtId="49" fontId="38" fillId="0" borderId="0" xfId="1" applyNumberFormat="1" applyFont="1" applyBorder="1" applyAlignment="1">
      <alignment horizontal="center" vertical="center"/>
    </xf>
    <xf numFmtId="49" fontId="38" fillId="2" borderId="6" xfId="1" applyNumberFormat="1" applyFont="1" applyFill="1" applyBorder="1" applyAlignment="1">
      <alignment horizontal="center" vertical="center"/>
    </xf>
    <xf numFmtId="0" fontId="38" fillId="11" borderId="0" xfId="1" applyFont="1" applyFill="1" applyBorder="1" applyAlignment="1">
      <alignment horizontal="left" vertical="center" indent="1"/>
    </xf>
    <xf numFmtId="49" fontId="37" fillId="0" borderId="0" xfId="1" applyNumberFormat="1" applyFont="1" applyBorder="1" applyAlignment="1">
      <alignment horizontal="left" vertical="center" indent="1"/>
    </xf>
    <xf numFmtId="0" fontId="36" fillId="0" borderId="0" xfId="1" applyFont="1" applyFill="1" applyBorder="1" applyAlignment="1">
      <alignment horizontal="left" vertical="center" indent="1"/>
    </xf>
    <xf numFmtId="0" fontId="62" fillId="0" borderId="1" xfId="2" applyFont="1" applyFill="1" applyBorder="1" applyAlignment="1">
      <alignment horizontal="left" vertical="center" indent="1"/>
    </xf>
    <xf numFmtId="0" fontId="62" fillId="10" borderId="1" xfId="2" applyFont="1" applyFill="1" applyBorder="1" applyAlignment="1">
      <alignment horizontal="left" vertical="center" indent="1"/>
    </xf>
    <xf numFmtId="0" fontId="35" fillId="0" borderId="0" xfId="1" applyFont="1" applyBorder="1" applyAlignment="1">
      <alignment horizontal="left" vertical="center" indent="1"/>
    </xf>
    <xf numFmtId="0" fontId="35" fillId="0" borderId="0" xfId="1" applyFont="1" applyBorder="1" applyAlignment="1">
      <alignment horizontal="left" vertical="center" wrapText="1" indent="1"/>
    </xf>
    <xf numFmtId="0" fontId="63" fillId="0" borderId="0" xfId="1" applyFont="1" applyFill="1" applyBorder="1" applyAlignment="1">
      <alignment horizontal="left" vertical="center" indent="1"/>
    </xf>
    <xf numFmtId="49" fontId="34" fillId="0" borderId="0" xfId="1" applyNumberFormat="1" applyFont="1" applyBorder="1" applyAlignment="1">
      <alignment horizontal="left" vertical="center" indent="1"/>
    </xf>
    <xf numFmtId="49" fontId="34" fillId="2" borderId="6" xfId="1" applyNumberFormat="1" applyFont="1" applyFill="1" applyBorder="1" applyAlignment="1">
      <alignment horizontal="center" vertical="center"/>
    </xf>
    <xf numFmtId="0" fontId="34" fillId="0" borderId="0" xfId="1" applyFont="1" applyBorder="1" applyAlignment="1">
      <alignment horizontal="left" vertical="center" indent="1"/>
    </xf>
    <xf numFmtId="0" fontId="53" fillId="0" borderId="0" xfId="1" applyFont="1" applyBorder="1" applyAlignment="1">
      <alignment horizontal="left" vertical="center"/>
    </xf>
    <xf numFmtId="49" fontId="53" fillId="0" borderId="0" xfId="1" applyNumberFormat="1" applyFont="1" applyBorder="1" applyAlignment="1">
      <alignment horizontal="left" vertical="center"/>
    </xf>
    <xf numFmtId="0" fontId="0" fillId="0" borderId="0" xfId="0" applyAlignment="1">
      <alignment vertical="center"/>
    </xf>
    <xf numFmtId="0" fontId="33" fillId="0" borderId="1" xfId="1" applyFont="1" applyBorder="1" applyAlignment="1">
      <alignment horizontal="left" vertical="center" indent="1"/>
    </xf>
    <xf numFmtId="49" fontId="33" fillId="2" borderId="6" xfId="1" applyNumberFormat="1" applyFont="1" applyFill="1" applyBorder="1" applyAlignment="1">
      <alignment horizontal="center" vertical="center"/>
    </xf>
    <xf numFmtId="0" fontId="63" fillId="9" borderId="1" xfId="1" applyFont="1" applyFill="1" applyBorder="1" applyAlignment="1">
      <alignment horizontal="left" vertical="center" indent="1"/>
    </xf>
    <xf numFmtId="49" fontId="33" fillId="0" borderId="1" xfId="1" quotePrefix="1" applyNumberFormat="1" applyFont="1" applyBorder="1" applyAlignment="1">
      <alignment horizontal="center" vertical="center"/>
    </xf>
    <xf numFmtId="0" fontId="33" fillId="0" borderId="1" xfId="1" applyFont="1" applyBorder="1" applyAlignment="1">
      <alignment horizontal="center" vertical="center"/>
    </xf>
    <xf numFmtId="0" fontId="33" fillId="0" borderId="1" xfId="1" applyFont="1" applyBorder="1" applyAlignment="1">
      <alignment horizontal="center" vertical="center" wrapText="1"/>
    </xf>
    <xf numFmtId="0" fontId="33" fillId="0" borderId="1" xfId="1" applyFont="1" applyBorder="1" applyAlignment="1">
      <alignment horizontal="left" vertical="center" wrapText="1" indent="1"/>
    </xf>
    <xf numFmtId="49" fontId="33" fillId="2" borderId="6" xfId="1" applyNumberFormat="1" applyFont="1" applyFill="1" applyBorder="1" applyAlignment="1">
      <alignment horizontal="center" vertical="center" wrapText="1"/>
    </xf>
    <xf numFmtId="49" fontId="33" fillId="0" borderId="7" xfId="1" applyNumberFormat="1" applyFont="1" applyBorder="1" applyAlignment="1">
      <alignment horizontal="center" vertical="center"/>
    </xf>
    <xf numFmtId="0" fontId="33" fillId="0" borderId="2" xfId="1" applyFont="1" applyBorder="1" applyAlignment="1">
      <alignment horizontal="center" vertical="center" wrapText="1"/>
    </xf>
    <xf numFmtId="0" fontId="33" fillId="0" borderId="2" xfId="1" applyFont="1" applyBorder="1" applyAlignment="1">
      <alignment horizontal="left" vertical="center" indent="1"/>
    </xf>
    <xf numFmtId="0" fontId="33" fillId="0" borderId="0" xfId="0" applyFont="1" applyAlignment="1">
      <alignment horizontal="left" vertical="center" indent="1"/>
    </xf>
    <xf numFmtId="0" fontId="0" fillId="0" borderId="0" xfId="0" applyAlignment="1">
      <alignment horizontal="center" vertical="center"/>
    </xf>
    <xf numFmtId="0" fontId="56" fillId="12" borderId="0" xfId="0" applyFont="1" applyFill="1" applyAlignment="1">
      <alignment horizontal="center" vertical="center"/>
    </xf>
    <xf numFmtId="49" fontId="33" fillId="0" borderId="1" xfId="1" applyNumberFormat="1" applyFont="1" applyBorder="1" applyAlignment="1">
      <alignment horizontal="center" vertical="center"/>
    </xf>
    <xf numFmtId="0" fontId="32" fillId="0" borderId="1" xfId="1" applyFont="1" applyBorder="1" applyAlignment="1">
      <alignment horizontal="center" vertical="center"/>
    </xf>
    <xf numFmtId="0" fontId="32" fillId="0" borderId="1" xfId="1" applyFont="1" applyBorder="1" applyAlignment="1">
      <alignment horizontal="left" vertical="center" indent="1"/>
    </xf>
    <xf numFmtId="0" fontId="32" fillId="0" borderId="0" xfId="1" applyFont="1" applyBorder="1" applyAlignment="1">
      <alignment horizontal="left" vertical="center" indent="1"/>
    </xf>
    <xf numFmtId="49" fontId="32" fillId="2" borderId="6" xfId="1" applyNumberFormat="1" applyFont="1" applyFill="1" applyBorder="1" applyAlignment="1">
      <alignment horizontal="center" vertical="center"/>
    </xf>
    <xf numFmtId="49" fontId="32" fillId="0" borderId="1" xfId="1" applyNumberFormat="1" applyFont="1" applyBorder="1" applyAlignment="1">
      <alignment horizontal="center" vertical="center"/>
    </xf>
    <xf numFmtId="49" fontId="32" fillId="0" borderId="1" xfId="1" quotePrefix="1" applyNumberFormat="1" applyFont="1" applyBorder="1" applyAlignment="1">
      <alignment horizontal="center" vertical="center"/>
    </xf>
    <xf numFmtId="0" fontId="63" fillId="0" borderId="0" xfId="0" applyFont="1" applyBorder="1" applyAlignment="1">
      <alignment horizontal="left" vertical="center" indent="1"/>
    </xf>
    <xf numFmtId="0" fontId="50" fillId="0" borderId="0" xfId="0" applyFont="1" applyBorder="1" applyAlignment="1">
      <alignment horizontal="left" vertical="center" indent="1"/>
    </xf>
    <xf numFmtId="0" fontId="36" fillId="0" borderId="0" xfId="1" applyFont="1" applyBorder="1" applyAlignment="1">
      <alignment horizontal="left" vertical="center" indent="1"/>
    </xf>
    <xf numFmtId="49" fontId="53" fillId="2" borderId="9" xfId="1" applyNumberFormat="1" applyFont="1" applyFill="1" applyBorder="1" applyAlignment="1">
      <alignment horizontal="left" vertical="center" wrapText="1" indent="1"/>
    </xf>
    <xf numFmtId="49" fontId="31" fillId="2" borderId="6" xfId="1" applyNumberFormat="1" applyFont="1" applyFill="1" applyBorder="1" applyAlignment="1">
      <alignment horizontal="left" vertical="center" wrapText="1" indent="1"/>
    </xf>
    <xf numFmtId="0" fontId="0" fillId="0" borderId="0" xfId="0" applyBorder="1" applyAlignment="1">
      <alignment horizontal="left" vertical="center" indent="1"/>
    </xf>
    <xf numFmtId="49" fontId="53" fillId="2" borderId="6" xfId="1" applyNumberFormat="1" applyFont="1" applyFill="1" applyBorder="1" applyAlignment="1">
      <alignment horizontal="left" vertical="center" wrapText="1" indent="1"/>
    </xf>
    <xf numFmtId="0" fontId="31" fillId="0" borderId="0" xfId="1" applyFont="1" applyBorder="1" applyAlignment="1">
      <alignment horizontal="left" vertical="center" indent="1"/>
    </xf>
    <xf numFmtId="0" fontId="56" fillId="0" borderId="0" xfId="0" applyFont="1" applyBorder="1" applyAlignment="1">
      <alignment horizontal="center"/>
    </xf>
    <xf numFmtId="2" fontId="52" fillId="0" borderId="0" xfId="2" applyNumberFormat="1" applyBorder="1" applyAlignment="1">
      <alignment horizontal="left" vertical="center" indent="1"/>
    </xf>
    <xf numFmtId="2" fontId="65" fillId="0" borderId="0" xfId="2" applyNumberFormat="1" applyFont="1" applyBorder="1" applyAlignment="1">
      <alignment horizontal="left" vertical="center" indent="1"/>
    </xf>
    <xf numFmtId="0" fontId="66" fillId="0" borderId="0" xfId="1" applyFont="1" applyBorder="1" applyAlignment="1">
      <alignment horizontal="left" vertical="center" indent="1"/>
    </xf>
    <xf numFmtId="0" fontId="66" fillId="0" borderId="0" xfId="0" applyFont="1" applyBorder="1" applyAlignment="1">
      <alignment horizontal="left"/>
    </xf>
    <xf numFmtId="0" fontId="30" fillId="0" borderId="0" xfId="1" applyFont="1" applyBorder="1" applyAlignment="1">
      <alignment horizontal="left" vertical="center" indent="1"/>
    </xf>
    <xf numFmtId="49" fontId="30" fillId="2" borderId="6" xfId="1" applyNumberFormat="1" applyFont="1" applyFill="1" applyBorder="1" applyAlignment="1">
      <alignment horizontal="left" vertical="center" wrapText="1" indent="1"/>
    </xf>
    <xf numFmtId="0" fontId="30" fillId="0" borderId="0" xfId="1" applyFont="1" applyFill="1" applyBorder="1" applyAlignment="1">
      <alignment horizontal="left" vertical="center" indent="1"/>
    </xf>
    <xf numFmtId="49" fontId="53" fillId="2" borderId="4" xfId="1" applyNumberFormat="1" applyFont="1" applyFill="1" applyBorder="1" applyAlignment="1">
      <alignment horizontal="left" vertical="center" textRotation="90" wrapText="1"/>
    </xf>
    <xf numFmtId="49" fontId="31" fillId="2" borderId="4" xfId="1" applyNumberFormat="1" applyFont="1" applyFill="1" applyBorder="1" applyAlignment="1">
      <alignment horizontal="left" vertical="center" textRotation="90" wrapText="1"/>
    </xf>
    <xf numFmtId="49" fontId="53" fillId="2" borderId="4" xfId="1" applyNumberFormat="1" applyFont="1" applyFill="1" applyBorder="1" applyAlignment="1">
      <alignment horizontal="left" vertical="center" wrapText="1"/>
    </xf>
    <xf numFmtId="49" fontId="29" fillId="2" borderId="4" xfId="1" applyNumberFormat="1" applyFont="1" applyFill="1" applyBorder="1" applyAlignment="1">
      <alignment horizontal="left" vertical="center" wrapText="1"/>
    </xf>
    <xf numFmtId="49" fontId="29" fillId="2" borderId="9" xfId="1" applyNumberFormat="1" applyFont="1" applyFill="1" applyBorder="1" applyAlignment="1">
      <alignment horizontal="left" vertical="center" wrapText="1" indent="1"/>
    </xf>
    <xf numFmtId="49" fontId="29" fillId="2" borderId="6" xfId="1" applyNumberFormat="1" applyFont="1" applyFill="1" applyBorder="1" applyAlignment="1">
      <alignment horizontal="left" vertical="center" wrapText="1" indent="1"/>
    </xf>
    <xf numFmtId="0" fontId="29" fillId="0" borderId="0" xfId="1" applyFont="1" applyBorder="1" applyAlignment="1">
      <alignment horizontal="left" vertical="center" wrapText="1" indent="1"/>
    </xf>
    <xf numFmtId="49" fontId="29" fillId="0" borderId="0" xfId="1" applyNumberFormat="1" applyFont="1" applyBorder="1" applyAlignment="1">
      <alignment horizontal="left" vertical="center" indent="1"/>
    </xf>
    <xf numFmtId="0" fontId="29" fillId="0" borderId="0" xfId="1" applyFont="1" applyBorder="1" applyAlignment="1">
      <alignment horizontal="left" vertical="center" indent="1"/>
    </xf>
    <xf numFmtId="49" fontId="29" fillId="2" borderId="6" xfId="1" applyNumberFormat="1" applyFont="1" applyFill="1" applyBorder="1" applyAlignment="1">
      <alignment horizontal="center" vertical="center"/>
    </xf>
    <xf numFmtId="49" fontId="29" fillId="0" borderId="0" xfId="1" applyNumberFormat="1" applyFont="1" applyBorder="1" applyAlignment="1">
      <alignment horizontal="center" vertical="center"/>
    </xf>
    <xf numFmtId="0" fontId="29" fillId="0" borderId="1" xfId="1" applyFont="1" applyBorder="1" applyAlignment="1">
      <alignment horizontal="left" vertical="center" indent="1"/>
    </xf>
    <xf numFmtId="49" fontId="29" fillId="0" borderId="8" xfId="1" applyNumberFormat="1" applyFont="1" applyBorder="1" applyAlignment="1">
      <alignment horizontal="center" vertical="center" wrapText="1"/>
    </xf>
    <xf numFmtId="49" fontId="29" fillId="0" borderId="8" xfId="1" quotePrefix="1" applyNumberFormat="1" applyFont="1" applyBorder="1" applyAlignment="1">
      <alignment horizontal="center" vertical="center"/>
    </xf>
    <xf numFmtId="49" fontId="29" fillId="0" borderId="1" xfId="1" quotePrefix="1" applyNumberFormat="1" applyFont="1" applyBorder="1" applyAlignment="1">
      <alignment horizontal="center" vertical="center"/>
    </xf>
    <xf numFmtId="49" fontId="28" fillId="0" borderId="1" xfId="1" quotePrefix="1" applyNumberFormat="1" applyFont="1" applyBorder="1" applyAlignment="1">
      <alignment horizontal="center" vertical="center"/>
    </xf>
    <xf numFmtId="49" fontId="28" fillId="2" borderId="6" xfId="1" applyNumberFormat="1" applyFont="1" applyFill="1" applyBorder="1" applyAlignment="1">
      <alignment horizontal="center" vertical="center"/>
    </xf>
    <xf numFmtId="49" fontId="27" fillId="2" borderId="6" xfId="1" applyNumberFormat="1" applyFont="1" applyFill="1" applyBorder="1" applyAlignment="1">
      <alignment horizontal="center" vertical="center"/>
    </xf>
    <xf numFmtId="0" fontId="27" fillId="0" borderId="1" xfId="1" applyFont="1" applyBorder="1" applyAlignment="1">
      <alignment horizontal="left" vertical="center" indent="1"/>
    </xf>
    <xf numFmtId="49" fontId="27" fillId="0" borderId="1" xfId="1" quotePrefix="1" applyNumberFormat="1" applyFont="1" applyBorder="1" applyAlignment="1">
      <alignment horizontal="center" vertical="center"/>
    </xf>
    <xf numFmtId="49" fontId="27" fillId="0" borderId="8" xfId="1" quotePrefix="1" applyNumberFormat="1" applyFont="1" applyBorder="1" applyAlignment="1">
      <alignment horizontal="center" vertical="center"/>
    </xf>
    <xf numFmtId="49" fontId="27" fillId="0" borderId="1" xfId="1" applyNumberFormat="1" applyFont="1" applyBorder="1" applyAlignment="1">
      <alignment horizontal="center" vertical="center"/>
    </xf>
    <xf numFmtId="49" fontId="26" fillId="2" borderId="6" xfId="1" applyNumberFormat="1" applyFont="1" applyFill="1" applyBorder="1" applyAlignment="1">
      <alignment horizontal="center" vertical="center"/>
    </xf>
    <xf numFmtId="49" fontId="26" fillId="0" borderId="1" xfId="1" applyNumberFormat="1" applyFont="1" applyBorder="1" applyAlignment="1">
      <alignment horizontal="center" vertical="center"/>
    </xf>
    <xf numFmtId="49" fontId="26" fillId="0" borderId="1" xfId="1" applyNumberFormat="1" applyFont="1" applyBorder="1" applyAlignment="1">
      <alignment horizontal="center" vertical="center" wrapText="1"/>
    </xf>
    <xf numFmtId="49" fontId="25" fillId="2" borderId="6" xfId="1" applyNumberFormat="1" applyFont="1" applyFill="1" applyBorder="1" applyAlignment="1">
      <alignment horizontal="center" vertical="center"/>
    </xf>
    <xf numFmtId="49" fontId="25" fillId="0" borderId="8" xfId="1" quotePrefix="1" applyNumberFormat="1" applyFont="1" applyBorder="1" applyAlignment="1">
      <alignment horizontal="center" vertical="center"/>
    </xf>
    <xf numFmtId="49" fontId="25" fillId="0" borderId="1" xfId="1" quotePrefix="1" applyNumberFormat="1" applyFont="1" applyBorder="1" applyAlignment="1">
      <alignment horizontal="center" vertical="center"/>
    </xf>
    <xf numFmtId="0" fontId="25" fillId="0" borderId="1" xfId="1" applyFont="1" applyBorder="1" applyAlignment="1">
      <alignment horizontal="left" vertical="center" indent="1"/>
    </xf>
    <xf numFmtId="0" fontId="25" fillId="0" borderId="1" xfId="1" applyFont="1" applyBorder="1" applyAlignment="1">
      <alignment horizontal="left" vertical="center" wrapText="1" indent="1"/>
    </xf>
    <xf numFmtId="0" fontId="25" fillId="0" borderId="8" xfId="1" applyFont="1" applyBorder="1" applyAlignment="1">
      <alignment horizontal="center" vertical="center"/>
    </xf>
    <xf numFmtId="0" fontId="53" fillId="13" borderId="1" xfId="1" applyFont="1" applyFill="1" applyBorder="1" applyAlignment="1">
      <alignment horizontal="left" vertical="center" wrapText="1" indent="1"/>
    </xf>
    <xf numFmtId="0" fontId="25" fillId="0" borderId="1" xfId="1" applyFont="1" applyBorder="1" applyAlignment="1">
      <alignment horizontal="center" vertical="center"/>
    </xf>
    <xf numFmtId="49" fontId="25" fillId="0" borderId="1" xfId="1" applyNumberFormat="1" applyFont="1" applyBorder="1" applyAlignment="1">
      <alignment horizontal="center" vertical="center"/>
    </xf>
    <xf numFmtId="0" fontId="25" fillId="13" borderId="1" xfId="1" applyFont="1" applyFill="1" applyBorder="1" applyAlignment="1">
      <alignment horizontal="left" vertical="center" wrapText="1" indent="1"/>
    </xf>
    <xf numFmtId="0" fontId="25" fillId="0" borderId="0" xfId="1" applyFont="1" applyBorder="1" applyAlignment="1">
      <alignment horizontal="left" vertical="center" indent="1"/>
    </xf>
    <xf numFmtId="0" fontId="62" fillId="0" borderId="0" xfId="2" applyFont="1" applyBorder="1" applyAlignment="1">
      <alignment horizontal="left" vertical="center" indent="1"/>
    </xf>
    <xf numFmtId="49" fontId="24" fillId="2" borderId="4" xfId="1" applyNumberFormat="1" applyFont="1" applyFill="1" applyBorder="1" applyAlignment="1">
      <alignment horizontal="center" vertical="center" textRotation="90" wrapText="1"/>
    </xf>
    <xf numFmtId="49" fontId="23" fillId="0" borderId="0" xfId="1" applyNumberFormat="1" applyFont="1" applyBorder="1" applyAlignment="1">
      <alignment horizontal="center" vertical="center"/>
    </xf>
    <xf numFmtId="49" fontId="23" fillId="2" borderId="4" xfId="1" applyNumberFormat="1" applyFont="1" applyFill="1" applyBorder="1" applyAlignment="1">
      <alignment horizontal="center" vertical="center" textRotation="90" wrapText="1"/>
    </xf>
    <xf numFmtId="49" fontId="23" fillId="2" borderId="6" xfId="1" applyNumberFormat="1" applyFont="1" applyFill="1" applyBorder="1" applyAlignment="1">
      <alignment horizontal="center" vertical="center" wrapText="1"/>
    </xf>
    <xf numFmtId="49" fontId="23" fillId="0" borderId="8" xfId="1" applyNumberFormat="1" applyFont="1" applyBorder="1" applyAlignment="1">
      <alignment horizontal="center" vertical="center"/>
    </xf>
    <xf numFmtId="49" fontId="23" fillId="0" borderId="1" xfId="1" applyNumberFormat="1" applyFont="1" applyBorder="1" applyAlignment="1">
      <alignment horizontal="center" vertical="center"/>
    </xf>
    <xf numFmtId="49" fontId="23" fillId="6" borderId="7" xfId="1" applyNumberFormat="1" applyFont="1" applyFill="1" applyBorder="1" applyAlignment="1">
      <alignment horizontal="center" vertical="center"/>
    </xf>
    <xf numFmtId="49" fontId="23" fillId="6" borderId="7" xfId="1" applyNumberFormat="1" applyFont="1" applyFill="1" applyBorder="1" applyAlignment="1">
      <alignment horizontal="left" vertical="center" indent="1"/>
    </xf>
    <xf numFmtId="49" fontId="53" fillId="6" borderId="7" xfId="1" applyNumberFormat="1" applyFont="1" applyFill="1" applyBorder="1" applyAlignment="1">
      <alignment horizontal="left" vertical="center" indent="1"/>
    </xf>
    <xf numFmtId="49" fontId="23" fillId="6" borderId="7" xfId="1" quotePrefix="1" applyNumberFormat="1" applyFont="1" applyFill="1" applyBorder="1" applyAlignment="1">
      <alignment horizontal="center" vertical="center"/>
    </xf>
    <xf numFmtId="49" fontId="22" fillId="2" borderId="6" xfId="1" applyNumberFormat="1" applyFont="1" applyFill="1" applyBorder="1" applyAlignment="1">
      <alignment horizontal="center" vertical="center"/>
    </xf>
    <xf numFmtId="49" fontId="22" fillId="0" borderId="1" xfId="1" applyNumberFormat="1" applyFont="1" applyBorder="1" applyAlignment="1">
      <alignment horizontal="center" vertical="center"/>
    </xf>
    <xf numFmtId="0" fontId="22" fillId="0" borderId="1" xfId="1" applyFont="1" applyBorder="1" applyAlignment="1">
      <alignment horizontal="center" vertical="center" wrapText="1"/>
    </xf>
    <xf numFmtId="0" fontId="22" fillId="0" borderId="1" xfId="1" applyFont="1" applyBorder="1" applyAlignment="1">
      <alignment horizontal="left" vertical="center" indent="1"/>
    </xf>
    <xf numFmtId="49" fontId="21" fillId="6" borderId="7" xfId="1" applyNumberFormat="1" applyFont="1" applyFill="1" applyBorder="1" applyAlignment="1">
      <alignment horizontal="center" vertical="center"/>
    </xf>
    <xf numFmtId="0" fontId="21" fillId="0" borderId="2" xfId="1" applyFont="1" applyBorder="1" applyAlignment="1">
      <alignment horizontal="center" vertical="center"/>
    </xf>
    <xf numFmtId="49" fontId="21" fillId="0" borderId="0" xfId="1" applyNumberFormat="1" applyFont="1" applyBorder="1" applyAlignment="1">
      <alignment horizontal="left" vertical="center" indent="1"/>
    </xf>
    <xf numFmtId="49" fontId="20" fillId="2" borderId="6" xfId="1" applyNumberFormat="1" applyFont="1" applyFill="1" applyBorder="1" applyAlignment="1">
      <alignment horizontal="center" vertical="center"/>
    </xf>
    <xf numFmtId="49" fontId="20" fillId="0" borderId="8" xfId="1" applyNumberFormat="1" applyFont="1" applyBorder="1" applyAlignment="1">
      <alignment horizontal="center" vertical="center"/>
    </xf>
    <xf numFmtId="49" fontId="20" fillId="0" borderId="1" xfId="1" applyNumberFormat="1" applyFont="1" applyBorder="1" applyAlignment="1">
      <alignment horizontal="center" vertical="center"/>
    </xf>
    <xf numFmtId="0" fontId="20" fillId="0" borderId="1" xfId="1" applyFont="1" applyBorder="1" applyAlignment="1">
      <alignment horizontal="left" vertical="center" indent="1"/>
    </xf>
    <xf numFmtId="0" fontId="20" fillId="9" borderId="1" xfId="1" applyFont="1" applyFill="1" applyBorder="1" applyAlignment="1">
      <alignment horizontal="center" vertical="center" wrapText="1"/>
    </xf>
    <xf numFmtId="49" fontId="20" fillId="0" borderId="8" xfId="1" quotePrefix="1" applyNumberFormat="1" applyFont="1" applyBorder="1" applyAlignment="1">
      <alignment horizontal="center" vertical="center"/>
    </xf>
    <xf numFmtId="49" fontId="20" fillId="0" borderId="1" xfId="1" quotePrefix="1" applyNumberFormat="1" applyFont="1" applyBorder="1" applyAlignment="1">
      <alignment horizontal="center" vertical="center"/>
    </xf>
    <xf numFmtId="0" fontId="47" fillId="0" borderId="0" xfId="1" quotePrefix="1" applyFont="1" applyBorder="1" applyAlignment="1">
      <alignment horizontal="left" vertical="center" indent="1"/>
    </xf>
    <xf numFmtId="0" fontId="33" fillId="0" borderId="0" xfId="1" applyFont="1" applyBorder="1" applyAlignment="1">
      <alignment horizontal="left" vertical="center" indent="1"/>
    </xf>
    <xf numFmtId="0" fontId="20" fillId="0" borderId="0" xfId="1" applyFont="1" applyBorder="1" applyAlignment="1">
      <alignment horizontal="left" vertical="center" indent="1"/>
    </xf>
    <xf numFmtId="0" fontId="20" fillId="0" borderId="0" xfId="1" quotePrefix="1" applyFont="1" applyBorder="1" applyAlignment="1">
      <alignment horizontal="left" vertical="center" indent="1"/>
    </xf>
    <xf numFmtId="49" fontId="19" fillId="2" borderId="6" xfId="1" applyNumberFormat="1" applyFont="1" applyFill="1" applyBorder="1" applyAlignment="1">
      <alignment horizontal="center" vertical="center"/>
    </xf>
    <xf numFmtId="0" fontId="18" fillId="0" borderId="1" xfId="1" applyFont="1" applyBorder="1" applyAlignment="1">
      <alignment horizontal="left" vertical="center" indent="1"/>
    </xf>
    <xf numFmtId="49" fontId="17" fillId="2" borderId="6" xfId="1" applyNumberFormat="1" applyFont="1" applyFill="1" applyBorder="1" applyAlignment="1">
      <alignment horizontal="center" vertical="center" wrapText="1"/>
    </xf>
    <xf numFmtId="49" fontId="16" fillId="2" borderId="6" xfId="1" applyNumberFormat="1" applyFont="1" applyFill="1" applyBorder="1" applyAlignment="1">
      <alignment horizontal="center" vertical="center"/>
    </xf>
    <xf numFmtId="0" fontId="63" fillId="10" borderId="0" xfId="1" applyFont="1" applyFill="1" applyBorder="1" applyAlignment="1">
      <alignment horizontal="left" vertical="center" indent="1"/>
    </xf>
    <xf numFmtId="49" fontId="15" fillId="0" borderId="8" xfId="1" quotePrefix="1" applyNumberFormat="1" applyFont="1" applyBorder="1" applyAlignment="1">
      <alignment horizontal="center" vertical="center"/>
    </xf>
    <xf numFmtId="49" fontId="15" fillId="0" borderId="1" xfId="1" applyNumberFormat="1" applyFont="1" applyBorder="1" applyAlignment="1">
      <alignment horizontal="center" vertical="center" wrapText="1"/>
    </xf>
    <xf numFmtId="49" fontId="15" fillId="2" borderId="6" xfId="1" applyNumberFormat="1" applyFont="1" applyFill="1" applyBorder="1" applyAlignment="1">
      <alignment horizontal="center" vertical="center"/>
    </xf>
    <xf numFmtId="0" fontId="15" fillId="0" borderId="1" xfId="1" applyFont="1" applyBorder="1" applyAlignment="1">
      <alignment horizontal="left" vertical="center" wrapText="1" indent="1"/>
    </xf>
    <xf numFmtId="49" fontId="15" fillId="0" borderId="8" xfId="1" applyNumberFormat="1" applyFont="1" applyBorder="1" applyAlignment="1">
      <alignment horizontal="center" vertical="center" wrapText="1"/>
    </xf>
    <xf numFmtId="49" fontId="15" fillId="0" borderId="0" xfId="1" applyNumberFormat="1" applyFont="1" applyBorder="1" applyAlignment="1">
      <alignment horizontal="center" vertical="center"/>
    </xf>
    <xf numFmtId="0" fontId="68" fillId="0" borderId="0" xfId="0" applyFont="1"/>
    <xf numFmtId="0" fontId="63" fillId="0" borderId="0" xfId="0" applyFont="1"/>
    <xf numFmtId="0" fontId="63" fillId="0" borderId="15" xfId="0" applyFont="1" applyFill="1" applyBorder="1" applyAlignment="1">
      <alignment horizontal="left" vertical="center" indent="1"/>
    </xf>
    <xf numFmtId="0" fontId="62" fillId="0" borderId="15" xfId="2" applyFont="1" applyFill="1" applyBorder="1" applyAlignment="1">
      <alignment horizontal="left" vertical="center" indent="1"/>
    </xf>
    <xf numFmtId="0" fontId="63" fillId="0" borderId="15" xfId="0" applyFont="1" applyFill="1" applyBorder="1" applyAlignment="1">
      <alignment horizontal="left" vertical="center" wrapText="1" indent="1"/>
    </xf>
    <xf numFmtId="0" fontId="68" fillId="0" borderId="15" xfId="0" applyFont="1" applyFill="1" applyBorder="1" applyAlignment="1">
      <alignment horizontal="left" vertical="center" wrapText="1" indent="1"/>
    </xf>
    <xf numFmtId="0" fontId="14" fillId="0" borderId="1" xfId="1" applyFont="1" applyBorder="1" applyAlignment="1">
      <alignment horizontal="left" vertical="center" wrapText="1" indent="1"/>
    </xf>
    <xf numFmtId="49" fontId="13" fillId="0" borderId="0" xfId="1" applyNumberFormat="1" applyFont="1" applyBorder="1" applyAlignment="1">
      <alignment horizontal="center" vertical="center"/>
    </xf>
    <xf numFmtId="0" fontId="12" fillId="0" borderId="1" xfId="1" applyFont="1" applyBorder="1" applyAlignment="1">
      <alignment horizontal="left" vertical="center" wrapText="1" indent="1"/>
    </xf>
    <xf numFmtId="0" fontId="50" fillId="0" borderId="0" xfId="0" applyFont="1"/>
    <xf numFmtId="0" fontId="68" fillId="0" borderId="0" xfId="0" applyFont="1" applyAlignment="1">
      <alignment horizontal="left" vertical="center" wrapText="1" indent="1"/>
    </xf>
    <xf numFmtId="0" fontId="63" fillId="0" borderId="0" xfId="0" applyFont="1" applyAlignment="1">
      <alignment horizontal="left" vertical="center" wrapText="1" indent="1"/>
    </xf>
    <xf numFmtId="0" fontId="11" fillId="0" borderId="1" xfId="1" applyFont="1" applyBorder="1" applyAlignment="1">
      <alignment horizontal="left" vertical="center" wrapText="1" indent="1"/>
    </xf>
    <xf numFmtId="49" fontId="10" fillId="0" borderId="0" xfId="1" applyNumberFormat="1" applyFont="1" applyBorder="1" applyAlignment="1">
      <alignment horizontal="left" vertical="center" indent="1"/>
    </xf>
    <xf numFmtId="49" fontId="9" fillId="0" borderId="8" xfId="1" applyNumberFormat="1" applyFont="1" applyBorder="1" applyAlignment="1">
      <alignment horizontal="center" vertical="center"/>
    </xf>
    <xf numFmtId="49" fontId="9" fillId="0" borderId="1" xfId="1" applyNumberFormat="1" applyFont="1" applyBorder="1" applyAlignment="1">
      <alignment horizontal="center" vertical="center"/>
    </xf>
    <xf numFmtId="0" fontId="8" fillId="0" borderId="0" xfId="0" applyFont="1" applyAlignment="1">
      <alignment horizontal="left" vertical="center" indent="1"/>
    </xf>
    <xf numFmtId="49" fontId="8" fillId="2" borderId="6" xfId="1" applyNumberFormat="1" applyFont="1" applyFill="1" applyBorder="1" applyAlignment="1">
      <alignment horizontal="center" vertical="center"/>
    </xf>
    <xf numFmtId="0" fontId="7" fillId="0" borderId="1" xfId="1" applyFont="1" applyBorder="1" applyAlignment="1">
      <alignment horizontal="left" vertical="center" indent="1"/>
    </xf>
    <xf numFmtId="0" fontId="7" fillId="0" borderId="0" xfId="1" applyFont="1" applyBorder="1" applyAlignment="1">
      <alignment horizontal="left" vertical="center" indent="1"/>
    </xf>
    <xf numFmtId="49" fontId="7" fillId="2" borderId="6" xfId="1" applyNumberFormat="1" applyFont="1" applyFill="1" applyBorder="1" applyAlignment="1">
      <alignment horizontal="center" vertical="center"/>
    </xf>
    <xf numFmtId="0" fontId="66" fillId="2" borderId="0" xfId="1" applyFont="1" applyFill="1" applyBorder="1" applyAlignment="1">
      <alignment horizontal="left" vertical="center" indent="1"/>
    </xf>
    <xf numFmtId="0" fontId="67" fillId="2" borderId="0" xfId="1" applyFont="1" applyFill="1" applyBorder="1" applyAlignment="1">
      <alignment horizontal="left" vertical="center" indent="1"/>
    </xf>
    <xf numFmtId="0" fontId="53" fillId="2" borderId="0" xfId="1" applyFont="1" applyFill="1" applyBorder="1" applyAlignment="1">
      <alignment horizontal="left" vertical="center" indent="1"/>
    </xf>
    <xf numFmtId="0" fontId="6" fillId="0" borderId="1" xfId="1" applyFont="1" applyBorder="1" applyAlignment="1">
      <alignment horizontal="left" vertical="center" indent="1"/>
    </xf>
    <xf numFmtId="49" fontId="6" fillId="2" borderId="6" xfId="1" applyNumberFormat="1" applyFont="1" applyFill="1" applyBorder="1" applyAlignment="1">
      <alignment horizontal="center" vertical="center"/>
    </xf>
    <xf numFmtId="49" fontId="6" fillId="0" borderId="8" xfId="1" applyNumberFormat="1" applyFont="1" applyBorder="1" applyAlignment="1">
      <alignment horizontal="center" vertical="center"/>
    </xf>
    <xf numFmtId="49" fontId="6" fillId="0" borderId="8" xfId="1" quotePrefix="1" applyNumberFormat="1" applyFont="1" applyBorder="1" applyAlignment="1">
      <alignment horizontal="center" vertical="center"/>
    </xf>
    <xf numFmtId="49" fontId="6" fillId="0" borderId="1" xfId="1" applyNumberFormat="1" applyFont="1" applyBorder="1" applyAlignment="1">
      <alignment horizontal="center" vertical="center"/>
    </xf>
    <xf numFmtId="49" fontId="6" fillId="0" borderId="1" xfId="1" quotePrefix="1" applyNumberFormat="1" applyFont="1" applyBorder="1" applyAlignment="1">
      <alignment horizontal="center" vertical="center"/>
    </xf>
    <xf numFmtId="0" fontId="63" fillId="8" borderId="1" xfId="1" applyFont="1" applyFill="1" applyBorder="1" applyAlignment="1">
      <alignment horizontal="left" vertical="center" indent="1"/>
    </xf>
    <xf numFmtId="0" fontId="63" fillId="10" borderId="1" xfId="1" quotePrefix="1" applyFont="1" applyFill="1" applyBorder="1" applyAlignment="1">
      <alignment horizontal="left" vertical="center" indent="1"/>
    </xf>
    <xf numFmtId="49" fontId="5" fillId="0" borderId="8" xfId="1" applyNumberFormat="1" applyFont="1" applyBorder="1" applyAlignment="1">
      <alignment horizontal="center" vertical="center"/>
    </xf>
    <xf numFmtId="49" fontId="5" fillId="0" borderId="1" xfId="1" applyNumberFormat="1" applyFont="1" applyBorder="1" applyAlignment="1">
      <alignment horizontal="center" vertical="center"/>
    </xf>
    <xf numFmtId="0" fontId="70" fillId="0" borderId="15" xfId="0" applyFont="1" applyFill="1" applyBorder="1" applyAlignment="1">
      <alignment horizontal="left" vertical="center" wrapText="1" indent="1"/>
    </xf>
    <xf numFmtId="49" fontId="4" fillId="2" borderId="6" xfId="1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left" vertical="center" indent="1"/>
    </xf>
    <xf numFmtId="49" fontId="4" fillId="0" borderId="8" xfId="1" applyNumberFormat="1" applyFont="1" applyBorder="1" applyAlignment="1">
      <alignment horizontal="center" vertical="center" wrapText="1"/>
    </xf>
    <xf numFmtId="49" fontId="4" fillId="0" borderId="1" xfId="1" applyNumberFormat="1" applyFont="1" applyBorder="1" applyAlignment="1">
      <alignment horizontal="center" vertical="center" wrapText="1"/>
    </xf>
    <xf numFmtId="0" fontId="4" fillId="0" borderId="1" xfId="1" applyFont="1" applyBorder="1" applyAlignment="1">
      <alignment horizontal="left" vertical="center" indent="1"/>
    </xf>
    <xf numFmtId="0" fontId="4" fillId="0" borderId="1" xfId="1" applyFont="1" applyBorder="1" applyAlignment="1">
      <alignment horizontal="left" vertical="center" wrapText="1" indent="1"/>
    </xf>
    <xf numFmtId="0" fontId="3" fillId="0" borderId="1" xfId="1" applyFont="1" applyBorder="1" applyAlignment="1">
      <alignment horizontal="left" vertical="center" indent="1"/>
    </xf>
    <xf numFmtId="0" fontId="69" fillId="0" borderId="0" xfId="0" applyFont="1" applyBorder="1" applyAlignment="1">
      <alignment horizontal="left" vertical="center" indent="1"/>
    </xf>
    <xf numFmtId="0" fontId="69" fillId="0" borderId="0" xfId="0" applyFont="1" applyFill="1" applyBorder="1" applyAlignment="1">
      <alignment horizontal="left" vertical="center" indent="1"/>
    </xf>
    <xf numFmtId="0" fontId="58" fillId="0" borderId="0" xfId="0" applyFont="1" applyBorder="1"/>
    <xf numFmtId="0" fontId="63" fillId="0" borderId="0" xfId="0" applyFont="1" applyBorder="1"/>
    <xf numFmtId="0" fontId="68" fillId="0" borderId="0" xfId="0" applyFont="1" applyBorder="1"/>
    <xf numFmtId="0" fontId="63" fillId="0" borderId="0" xfId="0" applyFont="1" applyFill="1" applyBorder="1" applyAlignment="1">
      <alignment horizontal="left" vertical="center" wrapText="1" indent="1"/>
    </xf>
    <xf numFmtId="0" fontId="62" fillId="0" borderId="0" xfId="2" applyFont="1" applyFill="1" applyBorder="1" applyAlignment="1">
      <alignment horizontal="left" vertical="center" indent="1"/>
    </xf>
    <xf numFmtId="0" fontId="68" fillId="0" borderId="0" xfId="0" applyFont="1" applyFill="1" applyBorder="1" applyAlignment="1">
      <alignment horizontal="left" vertical="center" wrapText="1" indent="1"/>
    </xf>
    <xf numFmtId="49" fontId="2" fillId="2" borderId="6" xfId="1" applyNumberFormat="1" applyFont="1" applyFill="1" applyBorder="1" applyAlignment="1">
      <alignment horizontal="center" vertical="center"/>
    </xf>
    <xf numFmtId="49" fontId="2" fillId="0" borderId="8" xfId="1" applyNumberFormat="1" applyFont="1" applyBorder="1" applyAlignment="1">
      <alignment horizontal="center" vertical="center"/>
    </xf>
    <xf numFmtId="49" fontId="2" fillId="0" borderId="1" xfId="1" applyNumberFormat="1" applyFont="1" applyBorder="1" applyAlignment="1">
      <alignment horizontal="center" vertical="center"/>
    </xf>
    <xf numFmtId="0" fontId="2" fillId="0" borderId="1" xfId="1" applyFont="1" applyBorder="1" applyAlignment="1">
      <alignment horizontal="left" vertical="center" wrapText="1" indent="1"/>
    </xf>
    <xf numFmtId="0" fontId="2" fillId="0" borderId="1" xfId="1" applyFont="1" applyBorder="1" applyAlignment="1">
      <alignment horizontal="left" vertical="center" indent="1"/>
    </xf>
    <xf numFmtId="49" fontId="1" fillId="2" borderId="6" xfId="1" applyNumberFormat="1" applyFont="1" applyFill="1" applyBorder="1" applyAlignment="1">
      <alignment horizontal="center" vertical="center"/>
    </xf>
    <xf numFmtId="0" fontId="1" fillId="0" borderId="1" xfId="1" applyFont="1" applyBorder="1" applyAlignment="1">
      <alignment horizontal="left" vertical="center" wrapText="1" indent="1"/>
    </xf>
    <xf numFmtId="0" fontId="1" fillId="0" borderId="1" xfId="1" applyFont="1" applyBorder="1" applyAlignment="1">
      <alignment horizontal="left" vertical="center" indent="1"/>
    </xf>
    <xf numFmtId="0" fontId="70" fillId="0" borderId="0" xfId="0" applyFont="1" applyBorder="1" applyAlignment="1">
      <alignment horizontal="left" vertical="center" indent="1"/>
    </xf>
    <xf numFmtId="0" fontId="70" fillId="0" borderId="0" xfId="0" applyFont="1" applyFill="1" applyBorder="1" applyAlignment="1">
      <alignment horizontal="left" vertical="center" indent="1"/>
    </xf>
    <xf numFmtId="0" fontId="63" fillId="0" borderId="1" xfId="1" applyFont="1" applyBorder="1" applyAlignment="1">
      <alignment horizontal="left" vertical="center" indent="1"/>
    </xf>
    <xf numFmtId="0" fontId="53" fillId="3" borderId="0" xfId="1" applyFont="1" applyFill="1" applyBorder="1" applyAlignment="1">
      <alignment horizontal="center" vertical="center" wrapText="1"/>
    </xf>
    <xf numFmtId="0" fontId="53" fillId="3" borderId="10" xfId="1" applyFont="1" applyFill="1" applyBorder="1" applyAlignment="1">
      <alignment horizontal="center" vertical="center" wrapText="1"/>
    </xf>
    <xf numFmtId="0" fontId="53" fillId="3" borderId="11" xfId="1" applyFont="1" applyFill="1" applyBorder="1" applyAlignment="1">
      <alignment horizontal="center" vertical="center" wrapText="1"/>
    </xf>
    <xf numFmtId="0" fontId="53" fillId="3" borderId="12" xfId="1" applyFont="1" applyFill="1" applyBorder="1" applyAlignment="1">
      <alignment horizontal="center" vertical="center" wrapText="1"/>
    </xf>
    <xf numFmtId="0" fontId="58" fillId="8" borderId="11" xfId="1" applyFont="1" applyFill="1" applyBorder="1" applyAlignment="1">
      <alignment horizontal="center" vertical="center" wrapText="1"/>
    </xf>
    <xf numFmtId="0" fontId="58" fillId="8" borderId="3" xfId="1" applyFont="1" applyFill="1" applyBorder="1" applyAlignment="1">
      <alignment horizontal="center" vertical="center" wrapText="1"/>
    </xf>
    <xf numFmtId="0" fontId="54" fillId="0" borderId="0" xfId="0" applyFont="1" applyAlignment="1">
      <alignment horizontal="center" vertical="center" wrapText="1"/>
    </xf>
    <xf numFmtId="49" fontId="17" fillId="2" borderId="13" xfId="1" applyNumberFormat="1" applyFont="1" applyFill="1" applyBorder="1" applyAlignment="1">
      <alignment horizontal="center" vertical="center" wrapText="1"/>
    </xf>
    <xf numFmtId="49" fontId="24" fillId="2" borderId="14" xfId="1" applyNumberFormat="1" applyFont="1" applyFill="1" applyBorder="1" applyAlignment="1">
      <alignment horizontal="center" vertical="center" wrapText="1"/>
    </xf>
    <xf numFmtId="0" fontId="62" fillId="0" borderId="1" xfId="2" applyFont="1" applyBorder="1" applyAlignment="1">
      <alignment horizontal="left" vertical="center" indent="1"/>
    </xf>
  </cellXfs>
  <cellStyles count="3">
    <cellStyle name="Link" xfId="2" builtinId="8"/>
    <cellStyle name="Standard" xfId="0" builtinId="0"/>
    <cellStyle name="Standard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742121</xdr:colOff>
      <xdr:row>22</xdr:row>
      <xdr:rowOff>85166</xdr:rowOff>
    </xdr:from>
    <xdr:to>
      <xdr:col>9</xdr:col>
      <xdr:colOff>337432</xdr:colOff>
      <xdr:row>27</xdr:row>
      <xdr:rowOff>132844</xdr:rowOff>
    </xdr:to>
    <xdr:pic>
      <xdr:nvPicPr>
        <xdr:cNvPr id="5" name="Grafik 4">
          <a:extLst>
            <a:ext uri="{FF2B5EF4-FFF2-40B4-BE49-F238E27FC236}">
              <a16:creationId xmlns:a16="http://schemas.microsoft.com/office/drawing/2014/main" id="{483DB93B-3D41-4D1F-AF94-00035C7C9C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56243" y="6128157"/>
          <a:ext cx="1311467" cy="130663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742121</xdr:colOff>
      <xdr:row>22</xdr:row>
      <xdr:rowOff>85166</xdr:rowOff>
    </xdr:from>
    <xdr:to>
      <xdr:col>9</xdr:col>
      <xdr:colOff>337432</xdr:colOff>
      <xdr:row>27</xdr:row>
      <xdr:rowOff>132844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CAD029E-309B-4D9E-9EF0-655DC3098D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144701" y="6120206"/>
          <a:ext cx="1309811" cy="130497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0</xdr:rowOff>
    </xdr:from>
    <xdr:to>
      <xdr:col>3</xdr:col>
      <xdr:colOff>0</xdr:colOff>
      <xdr:row>14</xdr:row>
      <xdr:rowOff>0</xdr:rowOff>
    </xdr:to>
    <xdr:cxnSp macro="">
      <xdr:nvCxnSpPr>
        <xdr:cNvPr id="3" name="Gerade Verbindung mit Pfeil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 flipV="1">
          <a:off x="3048000" y="1333500"/>
          <a:ext cx="2286000" cy="2095500"/>
        </a:xfrm>
        <a:prstGeom prst="straightConnector1">
          <a:avLst/>
        </a:prstGeom>
        <a:ln w="19050">
          <a:headEnd type="stealth" w="lg" len="lg"/>
          <a:tailEnd type="stealth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2</xdr:row>
      <xdr:rowOff>0</xdr:rowOff>
    </xdr:from>
    <xdr:to>
      <xdr:col>3</xdr:col>
      <xdr:colOff>0</xdr:colOff>
      <xdr:row>14</xdr:row>
      <xdr:rowOff>0</xdr:rowOff>
    </xdr:to>
    <xdr:cxnSp macro="">
      <xdr:nvCxnSpPr>
        <xdr:cNvPr id="5" name="Gerade Verbindung mit Pfeil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>
          <a:off x="3048000" y="1333500"/>
          <a:ext cx="2286000" cy="2095500"/>
        </a:xfrm>
        <a:prstGeom prst="straightConnector1">
          <a:avLst/>
        </a:prstGeom>
        <a:ln w="19050">
          <a:headEnd type="stealth" w="lg" len="lg"/>
          <a:tailEnd type="stealth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8</xdr:row>
      <xdr:rowOff>0</xdr:rowOff>
    </xdr:from>
    <xdr:to>
      <xdr:col>3</xdr:col>
      <xdr:colOff>0</xdr:colOff>
      <xdr:row>8</xdr:row>
      <xdr:rowOff>1</xdr:rowOff>
    </xdr:to>
    <xdr:cxnSp macro="">
      <xdr:nvCxnSpPr>
        <xdr:cNvPr id="8" name="Gerade Verbindung mit Pfeil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CxnSpPr/>
      </xdr:nvCxnSpPr>
      <xdr:spPr>
        <a:xfrm>
          <a:off x="1171575" y="2714625"/>
          <a:ext cx="2095500" cy="1"/>
        </a:xfrm>
        <a:prstGeom prst="straightConnector1">
          <a:avLst/>
        </a:prstGeom>
        <a:ln w="19050">
          <a:headEnd type="stealth" w="lg" len="lg"/>
          <a:tailEnd type="stealth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2</xdr:row>
      <xdr:rowOff>0</xdr:rowOff>
    </xdr:from>
    <xdr:to>
      <xdr:col>2</xdr:col>
      <xdr:colOff>0</xdr:colOff>
      <xdr:row>14</xdr:row>
      <xdr:rowOff>0</xdr:rowOff>
    </xdr:to>
    <xdr:cxnSp macro="">
      <xdr:nvCxnSpPr>
        <xdr:cNvPr id="11" name="Gerade Verbindung mit Pfeil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CxnSpPr/>
      </xdr:nvCxnSpPr>
      <xdr:spPr>
        <a:xfrm>
          <a:off x="3810000" y="1333500"/>
          <a:ext cx="0" cy="2095500"/>
        </a:xfrm>
        <a:prstGeom prst="straightConnector1">
          <a:avLst/>
        </a:prstGeom>
        <a:ln w="19050">
          <a:headEnd type="stealth" w="lg" len="lg"/>
          <a:tailEnd type="stealth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https://www.youtube.com/watch?v=tX-KTlJmwvw" TargetMode="External"/><Relationship Id="rId21" Type="http://schemas.openxmlformats.org/officeDocument/2006/relationships/hyperlink" Target="https://www.youtube.com/watch?v=wXYSPdTK9Eg" TargetMode="External"/><Relationship Id="rId34" Type="http://schemas.openxmlformats.org/officeDocument/2006/relationships/hyperlink" Target="https://youtu.be/fR5DSLVLjRg" TargetMode="External"/><Relationship Id="rId42" Type="http://schemas.openxmlformats.org/officeDocument/2006/relationships/hyperlink" Target="https://www.youtube.com/watch?v=hyv8-p6GAd0" TargetMode="External"/><Relationship Id="rId47" Type="http://schemas.openxmlformats.org/officeDocument/2006/relationships/hyperlink" Target="https://youtu.be/SFZnF86v0Lg" TargetMode="External"/><Relationship Id="rId50" Type="http://schemas.openxmlformats.org/officeDocument/2006/relationships/hyperlink" Target="https://www.youtube.com/watch?v=R7KchmqEyOw" TargetMode="External"/><Relationship Id="rId55" Type="http://schemas.openxmlformats.org/officeDocument/2006/relationships/hyperlink" Target="https://www.youtube.com/watch?v=QA2GeuRZmqg" TargetMode="External"/><Relationship Id="rId63" Type="http://schemas.openxmlformats.org/officeDocument/2006/relationships/hyperlink" Target="https://www.youtube.com/watch?v=VdNLw1Y7D9k" TargetMode="External"/><Relationship Id="rId68" Type="http://schemas.openxmlformats.org/officeDocument/2006/relationships/printerSettings" Target="../printerSettings/printerSettings1.bin"/><Relationship Id="rId7" Type="http://schemas.openxmlformats.org/officeDocument/2006/relationships/hyperlink" Target="https://youtu.be/EjAnf6eaAzs" TargetMode="External"/><Relationship Id="rId2" Type="http://schemas.openxmlformats.org/officeDocument/2006/relationships/hyperlink" Target="https://www.google.com/search?client=firefox-b-d&amp;sca_esv=486c0866b8b04e5b&amp;cs=1&amp;sxsrf=AE3TifPtjptDcqbJhkrx11SFeUII7-5jPg:1762796628536&amp;q=cha+cha+cha+grundschritt+ohne+partner&amp;sa=X&amp;ved=2ahUKEwi75-iWkeiQAxVpUEEAHWOtHwYQpboHKAB6BAgDEAI&amp;biw=1920&amp;bih=947&amp;dpr=1" TargetMode="External"/><Relationship Id="rId16" Type="http://schemas.openxmlformats.org/officeDocument/2006/relationships/hyperlink" Target="https://youtu.be/x_6Ss1S6lKA" TargetMode="External"/><Relationship Id="rId29" Type="http://schemas.openxmlformats.org/officeDocument/2006/relationships/hyperlink" Target="https://www.youtube.com/watch?v=driRiyoLYlE" TargetMode="External"/><Relationship Id="rId11" Type="http://schemas.openxmlformats.org/officeDocument/2006/relationships/hyperlink" Target="https://www.youtube.com/watch?v=TqsohTiEXi4" TargetMode="External"/><Relationship Id="rId24" Type="http://schemas.openxmlformats.org/officeDocument/2006/relationships/hyperlink" Target="https://www.youtube.com/watch?v=ePpWGq3DEVs" TargetMode="External"/><Relationship Id="rId32" Type="http://schemas.openxmlformats.org/officeDocument/2006/relationships/hyperlink" Target="https://www.youtube.com/watch?v=JZfHG73Zkp0" TargetMode="External"/><Relationship Id="rId37" Type="http://schemas.openxmlformats.org/officeDocument/2006/relationships/hyperlink" Target="../../../AppData/Roaming/Microsoft/Excel/ArchivA/videothek/DF%20Krist&#243;f%20Workshop%20am%2028.3.26.mp4" TargetMode="External"/><Relationship Id="rId40" Type="http://schemas.openxmlformats.org/officeDocument/2006/relationships/hyperlink" Target="https://youtu.be/yTG1OuyUGFs" TargetMode="External"/><Relationship Id="rId45" Type="http://schemas.openxmlformats.org/officeDocument/2006/relationships/hyperlink" Target="https://www.youtube.com/watch?v=UfrYPVu9ez0" TargetMode="External"/><Relationship Id="rId53" Type="http://schemas.openxmlformats.org/officeDocument/2006/relationships/hyperlink" Target="https://www.youtube.com/watch?v=XJCntxh9fpc%20%20%20%20%20%20%20ab%20Minute%202:08" TargetMode="External"/><Relationship Id="rId58" Type="http://schemas.openxmlformats.org/officeDocument/2006/relationships/hyperlink" Target="https://www.youtube.com/watch?v=NyBPjhCQnT4" TargetMode="External"/><Relationship Id="rId66" Type="http://schemas.openxmlformats.org/officeDocument/2006/relationships/hyperlink" Target="https://www.youtube.com/watch?v=fH__CSFSjKQ" TargetMode="External"/><Relationship Id="rId5" Type="http://schemas.openxmlformats.org/officeDocument/2006/relationships/hyperlink" Target="https://youtu.be/zganR8RkE4U" TargetMode="External"/><Relationship Id="rId61" Type="http://schemas.openxmlformats.org/officeDocument/2006/relationships/hyperlink" Target="https://www.youtube.com/watch?v=iHAdTYyLV0A" TargetMode="External"/><Relationship Id="rId19" Type="http://schemas.openxmlformats.org/officeDocument/2006/relationships/hyperlink" Target="https://www.youtube.com/watch?v=7qb6TcsEUng" TargetMode="External"/><Relationship Id="rId14" Type="http://schemas.openxmlformats.org/officeDocument/2006/relationships/hyperlink" Target="https://www.youtube.com/watch?v=iHJFWeEASJw" TargetMode="External"/><Relationship Id="rId22" Type="http://schemas.openxmlformats.org/officeDocument/2006/relationships/hyperlink" Target="https://www.youtube.com/watch?v=gDkI1yrh83Y" TargetMode="External"/><Relationship Id="rId27" Type="http://schemas.openxmlformats.org/officeDocument/2006/relationships/hyperlink" Target="https://www.youtube.com/watch?v=263-pZwIiBg" TargetMode="External"/><Relationship Id="rId30" Type="http://schemas.openxmlformats.org/officeDocument/2006/relationships/hyperlink" Target="https://www.youtube.com/watch?v=gjfJ_4Zsvn8" TargetMode="External"/><Relationship Id="rId35" Type="http://schemas.openxmlformats.org/officeDocument/2006/relationships/hyperlink" Target="https://www.youtube.com/watch?v=4c_QrBTuiSc" TargetMode="External"/><Relationship Id="rId43" Type="http://schemas.openxmlformats.org/officeDocument/2006/relationships/hyperlink" Target="https://www.youtube.com/watch?v=9QnDJIGy3TY" TargetMode="External"/><Relationship Id="rId48" Type="http://schemas.openxmlformats.org/officeDocument/2006/relationships/hyperlink" Target="https://www.youtube.com/watch?v=76Ej_yILcAI" TargetMode="External"/><Relationship Id="rId56" Type="http://schemas.openxmlformats.org/officeDocument/2006/relationships/hyperlink" Target="https://www.youtube.com/watch?v=Tw7zJY0_MMM" TargetMode="External"/><Relationship Id="rId64" Type="http://schemas.openxmlformats.org/officeDocument/2006/relationships/hyperlink" Target="https://www.youtube.com/watch?v=2kHTddRkqc4" TargetMode="External"/><Relationship Id="rId8" Type="http://schemas.openxmlformats.org/officeDocument/2006/relationships/hyperlink" Target="https://www.youtube.com/watch?v=eTDljBlYSDw" TargetMode="External"/><Relationship Id="rId51" Type="http://schemas.openxmlformats.org/officeDocument/2006/relationships/hyperlink" Target="https://www.youtube.com/watch?v=gQrHNRC-S7U" TargetMode="External"/><Relationship Id="rId3" Type="http://schemas.openxmlformats.org/officeDocument/2006/relationships/hyperlink" Target="https://www.google.com/search?client=firefox-b-d&amp;sca_esv=486c0866b8b04e5b&amp;cs=1&amp;sxsrf=AE3TifPtjptDcqbJhkrx11SFeUII7-5jPg:1762796628536&amp;q=cha+cha+cha+grundschritt+ohne+partner&amp;sa=X&amp;ved=2ahUKEwi75-iWkeiQAxVpUEEAHWOtHwYQpboHKAB6BAgDEAI&amp;biw=1920&amp;bih=947&amp;dpr=1" TargetMode="External"/><Relationship Id="rId12" Type="http://schemas.openxmlformats.org/officeDocument/2006/relationships/hyperlink" Target="https://www.youtube.com/watch?v=w_2fA-27u0I&amp;list=PLxIl8YU658TtNKd9gmr8eenJjky8nE8yf" TargetMode="External"/><Relationship Id="rId17" Type="http://schemas.openxmlformats.org/officeDocument/2006/relationships/hyperlink" Target="https://youtu.be/BOtfBEc3c_c?list=TLPQMjcwNDIwMjbVsnA_9Vk0Qg" TargetMode="External"/><Relationship Id="rId25" Type="http://schemas.openxmlformats.org/officeDocument/2006/relationships/hyperlink" Target="https://www.youtube.com/watch?v=_PqZGqr9Yq4" TargetMode="External"/><Relationship Id="rId33" Type="http://schemas.openxmlformats.org/officeDocument/2006/relationships/hyperlink" Target="https://www.youtube.com/watch?v=OybRrYvA1qw" TargetMode="External"/><Relationship Id="rId38" Type="http://schemas.openxmlformats.org/officeDocument/2006/relationships/hyperlink" Target="https://youtu.be/bltEvvt1YAs" TargetMode="External"/><Relationship Id="rId46" Type="http://schemas.openxmlformats.org/officeDocument/2006/relationships/hyperlink" Target="https://www.youtube.com/watch?v=OiMRm3qTPcg" TargetMode="External"/><Relationship Id="rId59" Type="http://schemas.openxmlformats.org/officeDocument/2006/relationships/hyperlink" Target="https://www.youtube.com/watch?v=WpgcXLElWPo" TargetMode="External"/><Relationship Id="rId67" Type="http://schemas.openxmlformats.org/officeDocument/2006/relationships/hyperlink" Target="https://www.youtube.com/watch?v=NDenZ1rH6GU" TargetMode="External"/><Relationship Id="rId20" Type="http://schemas.openxmlformats.org/officeDocument/2006/relationships/hyperlink" Target="https://www.youtube.com/watch?v=h0DLafiAp4Y" TargetMode="External"/><Relationship Id="rId41" Type="http://schemas.openxmlformats.org/officeDocument/2006/relationships/hyperlink" Target="https://youtu.be/fvrous6VhLM" TargetMode="External"/><Relationship Id="rId54" Type="http://schemas.openxmlformats.org/officeDocument/2006/relationships/hyperlink" Target="https://www.youtube.com/watch?v=iVIoZhapxfs" TargetMode="External"/><Relationship Id="rId62" Type="http://schemas.openxmlformats.org/officeDocument/2006/relationships/hyperlink" Target="https://www.youtube.com/watch?v=gL_TI9z1ENY" TargetMode="External"/><Relationship Id="rId1" Type="http://schemas.openxmlformats.org/officeDocument/2006/relationships/hyperlink" Target="https://www.youtube.com/watch?v=xNx16-QIJ_A" TargetMode="External"/><Relationship Id="rId6" Type="http://schemas.openxmlformats.org/officeDocument/2006/relationships/hyperlink" Target="https://www.youtube.com/watch?v=JYBT0y7izfI" TargetMode="External"/><Relationship Id="rId15" Type="http://schemas.openxmlformats.org/officeDocument/2006/relationships/hyperlink" Target="https://www.youtube.com/watch?v=AHz_DogC-o0" TargetMode="External"/><Relationship Id="rId23" Type="http://schemas.openxmlformats.org/officeDocument/2006/relationships/hyperlink" Target="https://www.youtube.com/watch?v=pnOwx5yvvpc" TargetMode="External"/><Relationship Id="rId28" Type="http://schemas.openxmlformats.org/officeDocument/2006/relationships/hyperlink" Target="https://www.youtube.com/watch?v=BM0_wkT5nMo" TargetMode="External"/><Relationship Id="rId36" Type="http://schemas.openxmlformats.org/officeDocument/2006/relationships/hyperlink" Target="https://www.youtube.com/watch?v=hyv8-p6GAd0" TargetMode="External"/><Relationship Id="rId49" Type="http://schemas.openxmlformats.org/officeDocument/2006/relationships/hyperlink" Target="https://www.youtube.com/watch?v=76Ej_yILcAI" TargetMode="External"/><Relationship Id="rId57" Type="http://schemas.openxmlformats.org/officeDocument/2006/relationships/hyperlink" Target="https://www.youtube.com/watch?v=Tw7zJY0_MMM" TargetMode="External"/><Relationship Id="rId10" Type="http://schemas.openxmlformats.org/officeDocument/2006/relationships/hyperlink" Target="https://www.youtube.com/watch?v=w_2fA-27u0I&amp;list=PLxIl8YU658TtNKd9gmr8eenJjky8nE8yf" TargetMode="External"/><Relationship Id="rId31" Type="http://schemas.openxmlformats.org/officeDocument/2006/relationships/hyperlink" Target="https://www.youtube.com/watch?v=ny_M7Knj-Gk" TargetMode="External"/><Relationship Id="rId44" Type="http://schemas.openxmlformats.org/officeDocument/2006/relationships/hyperlink" Target="https://www.youtube.com/watch?v=3qGrNlCZkmQ" TargetMode="External"/><Relationship Id="rId52" Type="http://schemas.openxmlformats.org/officeDocument/2006/relationships/hyperlink" Target="https://www.youtube.com/watch?v=vt0fuTzPdXM" TargetMode="External"/><Relationship Id="rId60" Type="http://schemas.openxmlformats.org/officeDocument/2006/relationships/hyperlink" Target="https://www.youtube.com/watch?v=iI78Izgx98w" TargetMode="External"/><Relationship Id="rId65" Type="http://schemas.openxmlformats.org/officeDocument/2006/relationships/hyperlink" Target="https://youtu.be/3wcxbZjdGGA" TargetMode="External"/><Relationship Id="rId4" Type="http://schemas.openxmlformats.org/officeDocument/2006/relationships/hyperlink" Target="https://youtu.be/750KiwjZSZw" TargetMode="External"/><Relationship Id="rId9" Type="http://schemas.openxmlformats.org/officeDocument/2006/relationships/hyperlink" Target="https://www.youtube.com/watch?v=qkdWREcdFnE" TargetMode="External"/><Relationship Id="rId13" Type="http://schemas.openxmlformats.org/officeDocument/2006/relationships/hyperlink" Target="https://www.youtube.com/watch?v=e-Vbt-jY-Gk" TargetMode="External"/><Relationship Id="rId18" Type="http://schemas.openxmlformats.org/officeDocument/2006/relationships/hyperlink" Target="https://youtu.be/7EGhxEiRG3A" TargetMode="External"/><Relationship Id="rId39" Type="http://schemas.openxmlformats.org/officeDocument/2006/relationships/hyperlink" Target="https://www.youtube.com/watch?v=OybRrYvA1qw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hyperlink" Target="../../../AppData/Roaming/Microsoft/Excel/ArchivA/videothek/CC%20Hans%20Ronde%20HipTwistChasse%202014_12.mp4" TargetMode="External"/><Relationship Id="rId18" Type="http://schemas.openxmlformats.org/officeDocument/2006/relationships/hyperlink" Target="../../../AppData/Roaming/Microsoft/Excel/ArchivA/videothek/CC%20Rust25%20Technik%20ADTV.mp4" TargetMode="External"/><Relationship Id="rId26" Type="http://schemas.openxmlformats.org/officeDocument/2006/relationships/hyperlink" Target="../../../AppData/Roaming/Microsoft/Excel/ArchivA/videothek/CC%20Bianca%20Schmetterling%20%20Herr.MOV" TargetMode="External"/><Relationship Id="rId3" Type="http://schemas.openxmlformats.org/officeDocument/2006/relationships/hyperlink" Target="https://www.google.com/search?client=firefox-b-d&amp;sca_esv=486c0866b8b04e5b&amp;cs=1&amp;sxsrf=AE3TifPtjptDcqbJhkrx11SFeUII7-5jPg:1762796628536&amp;q=cha+cha+cha+grundschritt+ohne+partner&amp;sa=X&amp;ved=2ahUKEwi75-iWkeiQAxVpUEEAHWOtHwYQpboHKAB6BAgDEAI&amp;biw=1920&amp;bih=947&amp;dpr=1" TargetMode="External"/><Relationship Id="rId21" Type="http://schemas.openxmlformats.org/officeDocument/2006/relationships/hyperlink" Target="../../../AppData/Roaming/Microsoft/Excel/ArchivA/videothek/CC%20L1%20Technik%20Rust26%20MHull.mp4" TargetMode="External"/><Relationship Id="rId7" Type="http://schemas.openxmlformats.org/officeDocument/2006/relationships/hyperlink" Target="https://youtu.be/EjAnf6eaAzs" TargetMode="External"/><Relationship Id="rId12" Type="http://schemas.openxmlformats.org/officeDocument/2006/relationships/hyperlink" Target="../../../AppData/Roaming/Microsoft/Excel/ArchivA/videothek/CC%20Hans_20171116_215825.mp4" TargetMode="External"/><Relationship Id="rId17" Type="http://schemas.openxmlformats.org/officeDocument/2006/relationships/hyperlink" Target="../../../AppData/Roaming/Microsoft/Excel/ArchivA/videothek/CC%20Rust25%20RKieling.mp4" TargetMode="External"/><Relationship Id="rId25" Type="http://schemas.openxmlformats.org/officeDocument/2006/relationships/hyperlink" Target="../../../AppData/Roaming/Microsoft/Excel/ArchivA/videothek/CC%20Bianca%20Schmetterling%20Anfang.mov" TargetMode="External"/><Relationship Id="rId33" Type="http://schemas.openxmlformats.org/officeDocument/2006/relationships/printerSettings" Target="../printerSettings/printerSettings3.bin"/><Relationship Id="rId2" Type="http://schemas.openxmlformats.org/officeDocument/2006/relationships/hyperlink" Target="https://www.google.com/search?client=firefox-b-d&amp;sca_esv=486c0866b8b04e5b&amp;cs=1&amp;sxsrf=AE3TifPtjptDcqbJhkrx11SFeUII7-5jPg:1762796628536&amp;q=cha+cha+cha+grundschritt+ohne+partner&amp;sa=X&amp;ved=2ahUKEwi75-iWkeiQAxVpUEEAHWOtHwYQpboHKAB6BAgDEAI&amp;biw=1920&amp;bih=947&amp;dpr=1" TargetMode="External"/><Relationship Id="rId16" Type="http://schemas.openxmlformats.org/officeDocument/2006/relationships/hyperlink" Target="../../../AppData/Roaming/Microsoft/Excel/ArchivA/videothek/CC%20Rust25%20Latin%20Feeling%20HNietsche.mp4" TargetMode="External"/><Relationship Id="rId20" Type="http://schemas.openxmlformats.org/officeDocument/2006/relationships/hyperlink" Target="../../../AppData/Roaming/Microsoft/Excel/ArchivA/videothek/CC%20L1%20A%20Technik%20Rust26%20RFrieling.mp4" TargetMode="External"/><Relationship Id="rId29" Type="http://schemas.openxmlformats.org/officeDocument/2006/relationships/hyperlink" Target="../../../AppData/Roaming/Microsoft/Excel/ArchivA/videothek/CC%20Bianca%20Schmetterling%20Erweiterung-2.MOV" TargetMode="External"/><Relationship Id="rId1" Type="http://schemas.openxmlformats.org/officeDocument/2006/relationships/hyperlink" Target="https://www.youtube.com/watch?v=xNx16-QIJ_A" TargetMode="External"/><Relationship Id="rId6" Type="http://schemas.openxmlformats.org/officeDocument/2006/relationships/hyperlink" Target="https://www.youtube.com/watch?v=JYBT0y7izfI" TargetMode="External"/><Relationship Id="rId11" Type="http://schemas.openxmlformats.org/officeDocument/2006/relationships/hyperlink" Target="../../../AppData/Roaming/Microsoft/Excel/ArchivA/videothek/CC%20HaHa%202015%2004.mp4" TargetMode="External"/><Relationship Id="rId24" Type="http://schemas.openxmlformats.org/officeDocument/2006/relationships/hyperlink" Target="../../../AppData/Roaming/Microsoft/Excel/ArchivA/videothek/CC%20Bianca%20Der%20H&#252;pfer%20-%20Dame.mp4" TargetMode="External"/><Relationship Id="rId32" Type="http://schemas.openxmlformats.org/officeDocument/2006/relationships/hyperlink" Target="../../../AppData/Roaming/Microsoft/Excel/ArchivA/videothek/CC%20Ronde%20HipTwistChasse%202014_12.mp4" TargetMode="External"/><Relationship Id="rId5" Type="http://schemas.openxmlformats.org/officeDocument/2006/relationships/hyperlink" Target="https://youtu.be/zganR8RkE4U" TargetMode="External"/><Relationship Id="rId15" Type="http://schemas.openxmlformats.org/officeDocument/2006/relationships/hyperlink" Target="../../../AppData/Roaming/Microsoft/Excel/ArchivA/videothek/CC%20HaHa.mp4" TargetMode="External"/><Relationship Id="rId23" Type="http://schemas.openxmlformats.org/officeDocument/2006/relationships/hyperlink" Target="../../../AppData/Roaming/Microsoft/Excel/ArchivA/videothek/CC%20Bianca%20Der%20H&#252;pfer%20-%20Herr.mp4" TargetMode="External"/><Relationship Id="rId28" Type="http://schemas.openxmlformats.org/officeDocument/2006/relationships/hyperlink" Target="../../../AppData/Roaming/Microsoft/Excel/ArchivA/videothek/CC%20Bianca%20Schmetterling%20Erweiterung-1.MOV" TargetMode="External"/><Relationship Id="rId10" Type="http://schemas.openxmlformats.org/officeDocument/2006/relationships/hyperlink" Target="../../../AppData/Roaming/Microsoft/Excel/ArchivA/videothek/CC%20Hans%20BackeBackeKuchen.mp4" TargetMode="External"/><Relationship Id="rId19" Type="http://schemas.openxmlformats.org/officeDocument/2006/relationships/hyperlink" Target="https://www.youtube.com/watch?v=HvvXFLg2jSw" TargetMode="External"/><Relationship Id="rId31" Type="http://schemas.openxmlformats.org/officeDocument/2006/relationships/hyperlink" Target="../../../AppData/Roaming/Microsoft/Excel/ArchivA/videothek/CC%20HaHa%202015%20CrabWalks.mp4" TargetMode="External"/><Relationship Id="rId4" Type="http://schemas.openxmlformats.org/officeDocument/2006/relationships/hyperlink" Target="https://youtu.be/750KiwjZSZw" TargetMode="External"/><Relationship Id="rId9" Type="http://schemas.openxmlformats.org/officeDocument/2006/relationships/hyperlink" Target="https://www.youtube.com/watch?v=qkdWREcdFnE" TargetMode="External"/><Relationship Id="rId14" Type="http://schemas.openxmlformats.org/officeDocument/2006/relationships/hyperlink" Target="../../../AppData/Roaming/Microsoft/Excel/ArchivA/videothek/CC_Hans%20CrabWalks%202015.mp4" TargetMode="External"/><Relationship Id="rId22" Type="http://schemas.openxmlformats.org/officeDocument/2006/relationships/hyperlink" Target="../../../AppData/Roaming/Microsoft/Excel/ArchivA/videothek/CC%20Christoph%20Balzer.mp4" TargetMode="External"/><Relationship Id="rId27" Type="http://schemas.openxmlformats.org/officeDocument/2006/relationships/hyperlink" Target="../../../AppData/Roaming/Microsoft/Excel/ArchivA/videothek/CC%20Bianca%20Schmetterling%20Dame.MOV" TargetMode="External"/><Relationship Id="rId30" Type="http://schemas.openxmlformats.org/officeDocument/2006/relationships/hyperlink" Target="../../../AppData/Roaming/Microsoft/Excel/ArchivA/videothek/CC%20Hip%20Action%20in%20Cha%20Cha%20Cha%20_%20Follow%20Along%20Tutorial.mp4" TargetMode="External"/><Relationship Id="rId8" Type="http://schemas.openxmlformats.org/officeDocument/2006/relationships/hyperlink" Target="https://www.youtube.com/watch?v=eTDljBlYSDw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watch?v=driRiyoLYlE" TargetMode="External"/><Relationship Id="rId13" Type="http://schemas.openxmlformats.org/officeDocument/2006/relationships/hyperlink" Target="../../../AppData/Roaming/Microsoft/Excel/Archiv/Archiv/ArchivA/videothek/JI%20Hans%202%202015%2005.mp4" TargetMode="External"/><Relationship Id="rId18" Type="http://schemas.openxmlformats.org/officeDocument/2006/relationships/printerSettings" Target="../printerSettings/printerSettings4.bin"/><Relationship Id="rId3" Type="http://schemas.openxmlformats.org/officeDocument/2006/relationships/hyperlink" Target="https://www.youtube.com/watch?v=ePpWGq3DEVs" TargetMode="External"/><Relationship Id="rId7" Type="http://schemas.openxmlformats.org/officeDocument/2006/relationships/hyperlink" Target="https://www.youtube.com/watch?v=BM0_wkT5nMo" TargetMode="External"/><Relationship Id="rId12" Type="http://schemas.openxmlformats.org/officeDocument/2006/relationships/hyperlink" Target="../../../AppData/Roaming/Microsoft/Excel/Archiv/Archiv/ArchivA/videothek/JI%20Hans%201%202015%2004.mp4" TargetMode="External"/><Relationship Id="rId17" Type="http://schemas.openxmlformats.org/officeDocument/2006/relationships/hyperlink" Target="../../../AppData/Roaming/Microsoft/Excel/Archiv/Archiv/ArchivA/videothek/JI%20Bianca%20Teil%201%20mit%20einer%20Alternative%20zu%20KickBallChange.MOV" TargetMode="External"/><Relationship Id="rId2" Type="http://schemas.openxmlformats.org/officeDocument/2006/relationships/hyperlink" Target="https://www.youtube.com/watch?v=pnOwx5yvvpc" TargetMode="External"/><Relationship Id="rId16" Type="http://schemas.openxmlformats.org/officeDocument/2006/relationships/hyperlink" Target="../../../AppData/Roaming/Microsoft/Excel/Archiv/Archiv/ArchivA/videothek/JI%20Bianca%20Teil%201%20Dame.mp4" TargetMode="External"/><Relationship Id="rId1" Type="http://schemas.openxmlformats.org/officeDocument/2006/relationships/hyperlink" Target="https://www.youtube.com/watch?v=_PqZGqr9Yq4" TargetMode="External"/><Relationship Id="rId6" Type="http://schemas.openxmlformats.org/officeDocument/2006/relationships/hyperlink" Target="https://www.youtube.com/watch?v=263-pZwIiBg" TargetMode="External"/><Relationship Id="rId11" Type="http://schemas.openxmlformats.org/officeDocument/2006/relationships/hyperlink" Target="../../../AppData/Roaming/Microsoft/Excel/Archiv/Archiv/ArchivA/videothek/JI%20Rust25%20Technik%20RKieling.mp4" TargetMode="External"/><Relationship Id="rId5" Type="http://schemas.openxmlformats.org/officeDocument/2006/relationships/hyperlink" Target="https://www.youtube.com/watch?v=tX-KTlJmwvw" TargetMode="External"/><Relationship Id="rId15" Type="http://schemas.openxmlformats.org/officeDocument/2006/relationships/hyperlink" Target="../../../AppData/Roaming/Microsoft/Excel/Archiv/Archiv/ArchivA/videothek/JI%20Bianca%20Teil%201%20Herr.mp4" TargetMode="External"/><Relationship Id="rId10" Type="http://schemas.openxmlformats.org/officeDocument/2006/relationships/hyperlink" Target="https://www.youtube.com/watch?v=hnDHf9W3DqU" TargetMode="External"/><Relationship Id="rId4" Type="http://schemas.openxmlformats.org/officeDocument/2006/relationships/hyperlink" Target="https://www.youtube.com/watch?v=_PqZGqr9Yq4" TargetMode="External"/><Relationship Id="rId9" Type="http://schemas.openxmlformats.org/officeDocument/2006/relationships/hyperlink" Target="https://www.youtube.com/watch?v=7GeJh3x8P38" TargetMode="External"/><Relationship Id="rId14" Type="http://schemas.openxmlformats.org/officeDocument/2006/relationships/hyperlink" Target="../../../AppData/Roaming/Microsoft/Excel/Archiv/Archiv/ArchivA/videothek/JI%20Ya%20Box.mp4" TargetMode="Externa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hyperlink" Target="https://youtu.be/BOtfBEc3c_c?list=TLPQMjcwNDIwMjbVsnA_9Vk0Qg" TargetMode="External"/><Relationship Id="rId18" Type="http://schemas.openxmlformats.org/officeDocument/2006/relationships/hyperlink" Target="https://www.youtube.com/watch?v=wXYSPdTK9Eg" TargetMode="External"/><Relationship Id="rId26" Type="http://schemas.openxmlformats.org/officeDocument/2006/relationships/hyperlink" Target="../../../AppData/Roaming/Microsoft/Excel/ArchivA/videothek/RB%20Rust25%20ADTV.mp4" TargetMode="External"/><Relationship Id="rId39" Type="http://schemas.openxmlformats.org/officeDocument/2006/relationships/hyperlink" Target="../../../AppData/Roaming/Microsoft/Excel/ArchivA/videothek/RB%20HaHa%20Einfache%20Folge.mp4" TargetMode="External"/><Relationship Id="rId21" Type="http://schemas.openxmlformats.org/officeDocument/2006/relationships/hyperlink" Target="../../../AppData/Roaming/Microsoft/Excel/ArchivA/videothek/RB%20Hans%203%20Trees%20vv.mp4" TargetMode="External"/><Relationship Id="rId34" Type="http://schemas.openxmlformats.org/officeDocument/2006/relationships/hyperlink" Target="../../../AppData/Roaming/Microsoft/Excel/ArchivA/videothek/RB%20HaHa%203%20Trees_vh.wmv" TargetMode="External"/><Relationship Id="rId42" Type="http://schemas.openxmlformats.org/officeDocument/2006/relationships/hyperlink" Target="../../../AppData/Roaming/Microsoft/Excel/ArchivA/videothek/RB%20Kristof%20Training%20am%2024.6.23.mp4" TargetMode="External"/><Relationship Id="rId47" Type="http://schemas.openxmlformats.org/officeDocument/2006/relationships/hyperlink" Target="../../../AppData/Roaming/Microsoft/Excel/ArchivA/videothek/" TargetMode="External"/><Relationship Id="rId7" Type="http://schemas.openxmlformats.org/officeDocument/2006/relationships/hyperlink" Target="https://www.youtube.com/watch?v=w_2fA-27u0I&amp;list=PLxIl8YU658TtNKd9gmr8eenJjky8nE8yf" TargetMode="External"/><Relationship Id="rId2" Type="http://schemas.openxmlformats.org/officeDocument/2006/relationships/hyperlink" Target="../../../AppData/Roaming/Microsoft/Excel/Archiv/Archiv/ArchivA/videothek/RB%20Hans%202015%2003%2005.mp4" TargetMode="External"/><Relationship Id="rId16" Type="http://schemas.openxmlformats.org/officeDocument/2006/relationships/hyperlink" Target="https://www.youtube.com/watch?v=7qb6TcsEUng" TargetMode="External"/><Relationship Id="rId29" Type="http://schemas.openxmlformats.org/officeDocument/2006/relationships/hyperlink" Target="../../../AppData/Roaming/Microsoft/Excel/ArchivA/videothek/RB%20L1%20A%20Technik%20Rust26%20RFrieling.mp4" TargetMode="External"/><Relationship Id="rId1" Type="http://schemas.openxmlformats.org/officeDocument/2006/relationships/hyperlink" Target="../../../AppData/Roaming/Microsoft/Excel/Archiv/Archiv/ArchivA/videothek/RB%20Hans%203%20Trees%20vh.wmv" TargetMode="External"/><Relationship Id="rId6" Type="http://schemas.openxmlformats.org/officeDocument/2006/relationships/hyperlink" Target="https://www.youtube.com/watch?v=TqsohTiEXi4" TargetMode="External"/><Relationship Id="rId11" Type="http://schemas.openxmlformats.org/officeDocument/2006/relationships/hyperlink" Target="https://www.youtube.com/watch?v=AHz_DogC-o0" TargetMode="External"/><Relationship Id="rId24" Type="http://schemas.openxmlformats.org/officeDocument/2006/relationships/hyperlink" Target="../../../AppData/Roaming/Microsoft/Excel/ArchivA/videothek/RB%20Hans%20Advanced%20Hiptwist.mp4" TargetMode="External"/><Relationship Id="rId32" Type="http://schemas.openxmlformats.org/officeDocument/2006/relationships/hyperlink" Target="../../../AppData/Roaming/Microsoft/Excel/ArchivA/videothek/RB%20YT%20Three%20Trees%20.mp4" TargetMode="External"/><Relationship Id="rId37" Type="http://schemas.openxmlformats.org/officeDocument/2006/relationships/hyperlink" Target="../../../AppData/Roaming/Microsoft/Excel/ArchivA/videothek/RB%20Three%20threes%20-%20Rumba.mp4" TargetMode="External"/><Relationship Id="rId40" Type="http://schemas.openxmlformats.org/officeDocument/2006/relationships/hyperlink" Target="../../../AppData/Roaming/Microsoft/Excel/ArchivA/videothek/RB%20HaHa%20Folge%20mit%20vielen%20HipTwists.mp4" TargetMode="External"/><Relationship Id="rId45" Type="http://schemas.openxmlformats.org/officeDocument/2006/relationships/hyperlink" Target="../../../AppData/Roaming/Microsoft/Excel/ArchivA/videothek/RB%20Kristof%20Folge%20vom%2024.6.23.mp4" TargetMode="External"/><Relationship Id="rId5" Type="http://schemas.openxmlformats.org/officeDocument/2006/relationships/hyperlink" Target="https://www.youtube.com/watch?v=w_2fA-27u0I&amp;list=PLxIl8YU658TtNKd9gmr8eenJjky8nE8yf" TargetMode="External"/><Relationship Id="rId15" Type="http://schemas.openxmlformats.org/officeDocument/2006/relationships/hyperlink" Target="https://www.youtube.com/watch?v=EaJdUD7AbNw" TargetMode="External"/><Relationship Id="rId23" Type="http://schemas.openxmlformats.org/officeDocument/2006/relationships/hyperlink" Target="../../../AppData/Roaming/Microsoft/Excel/ArchivA/videothek/RB%20Hans%202015%20%2008%2024.mp4" TargetMode="External"/><Relationship Id="rId28" Type="http://schemas.openxmlformats.org/officeDocument/2006/relationships/hyperlink" Target="../../../AppData/Roaming/Microsoft/Excel/ArchivA/videothek/RB%20Rust25%20RFrieling.mp4" TargetMode="External"/><Relationship Id="rId36" Type="http://schemas.openxmlformats.org/officeDocument/2006/relationships/hyperlink" Target="../../../AppData/Roaming/Microsoft/Excel/ArchivA/videothek/RB%20HaHa%203%20Trees_vv.mp4" TargetMode="External"/><Relationship Id="rId10" Type="http://schemas.openxmlformats.org/officeDocument/2006/relationships/hyperlink" Target="https://www.youtube.com/watch?v=iHJFWeEASJw" TargetMode="External"/><Relationship Id="rId19" Type="http://schemas.openxmlformats.org/officeDocument/2006/relationships/hyperlink" Target="https://www.youtube.com/watch?v=gDkI1yrh83Y" TargetMode="External"/><Relationship Id="rId31" Type="http://schemas.openxmlformats.org/officeDocument/2006/relationships/hyperlink" Target="https://www.youtube.com/watch?v=UAascKthCO4" TargetMode="External"/><Relationship Id="rId44" Type="http://schemas.openxmlformats.org/officeDocument/2006/relationships/hyperlink" Target="../../../AppData/Roaming/Microsoft/Excel/ArchivA/videothek/RB%20Krist&#243;f%20Handtuch.mp4" TargetMode="External"/><Relationship Id="rId4" Type="http://schemas.openxmlformats.org/officeDocument/2006/relationships/hyperlink" Target="../../../AppData/Roaming/Microsoft/Excel/Archiv/Archiv/ArchivA/videothek/RB%20HaHa%20Advanced%20Hiptwist.mp4" TargetMode="External"/><Relationship Id="rId9" Type="http://schemas.openxmlformats.org/officeDocument/2006/relationships/hyperlink" Target="https://www.youtube.com/shorts/szDZu6EjBAM" TargetMode="External"/><Relationship Id="rId14" Type="http://schemas.openxmlformats.org/officeDocument/2006/relationships/hyperlink" Target="https://youtu.be/7EGhxEiRG3A" TargetMode="External"/><Relationship Id="rId22" Type="http://schemas.openxmlformats.org/officeDocument/2006/relationships/hyperlink" Target="../../../AppData/Roaming/Microsoft/Excel/ArchivA/videothek/RB%20Hans%203%20Trees%20vl.mp4" TargetMode="External"/><Relationship Id="rId27" Type="http://schemas.openxmlformats.org/officeDocument/2006/relationships/hyperlink" Target="../../../AppData/Roaming/Microsoft/Excel/ArchivA/videothek/RB%20Rust25%20Latin%20Feeling%20HNietsche.mp4" TargetMode="External"/><Relationship Id="rId30" Type="http://schemas.openxmlformats.org/officeDocument/2006/relationships/hyperlink" Target="../../../AppData/Roaming/Microsoft/Excel/ArchivA/videothek/RB%20L1%20B%20Technik%20Rust26%20RFrieling.mp4" TargetMode="External"/><Relationship Id="rId35" Type="http://schemas.openxmlformats.org/officeDocument/2006/relationships/hyperlink" Target="../../../AppData/Roaming/Microsoft/Excel/ArchivA/videothek/RB%20HaHa%203%20Trees_vl.mp4" TargetMode="External"/><Relationship Id="rId43" Type="http://schemas.openxmlformats.org/officeDocument/2006/relationships/hyperlink" Target="../../../AppData/Roaming/Microsoft/Excel/ArchivA/videothek/RB%20Bianca%20Kliffhanger.mp4" TargetMode="External"/><Relationship Id="rId48" Type="http://schemas.openxmlformats.org/officeDocument/2006/relationships/printerSettings" Target="../printerSettings/printerSettings5.bin"/><Relationship Id="rId8" Type="http://schemas.openxmlformats.org/officeDocument/2006/relationships/hyperlink" Target="https://www.youtube.com/watch?v=e-Vbt-jY-Gk" TargetMode="External"/><Relationship Id="rId3" Type="http://schemas.openxmlformats.org/officeDocument/2006/relationships/hyperlink" Target="../../../AppData/Roaming/Microsoft/Excel/Archiv/Archiv/ArchivA/videothek/RB%20HaHa%20Advanced%20Sliding%20Door.mp4" TargetMode="External"/><Relationship Id="rId12" Type="http://schemas.openxmlformats.org/officeDocument/2006/relationships/hyperlink" Target="https://youtu.be/x_6Ss1S6lKA" TargetMode="External"/><Relationship Id="rId17" Type="http://schemas.openxmlformats.org/officeDocument/2006/relationships/hyperlink" Target="https://www.youtube.com/watch?v=h0DLafiAp4Y" TargetMode="External"/><Relationship Id="rId25" Type="http://schemas.openxmlformats.org/officeDocument/2006/relationships/hyperlink" Target="../../../AppData/Roaming/Microsoft/Excel/ArchivA/videothek/RB%20Hans%20Advanced%20SlidingDoor.mp4" TargetMode="External"/><Relationship Id="rId33" Type="http://schemas.openxmlformats.org/officeDocument/2006/relationships/hyperlink" Target="../../../AppData/Roaming/Microsoft/Excel/ArchivA/videothek/RB%20ImgBallroom%20Three%20Trees.mp4" TargetMode="External"/><Relationship Id="rId38" Type="http://schemas.openxmlformats.org/officeDocument/2006/relationships/hyperlink" Target="../../../AppData/Roaming/Microsoft/Excel/ArchivA/videothek/RB%20HaHa%20Die%20Lange.mp4" TargetMode="External"/><Relationship Id="rId46" Type="http://schemas.openxmlformats.org/officeDocument/2006/relationships/hyperlink" Target="../../../AppData/Roaming/Microsoft/Excel/ArchivA/videothek/RB%20Yael%20Spaziergang.mp4" TargetMode="External"/><Relationship Id="rId20" Type="http://schemas.openxmlformats.org/officeDocument/2006/relationships/hyperlink" Target="../../../AppData/Roaming/Microsoft/Excel/ArchivA/videothek/RB%20Hans%20%202014-09.mp4" TargetMode="External"/><Relationship Id="rId41" Type="http://schemas.openxmlformats.org/officeDocument/2006/relationships/hyperlink" Target="../../../AppData/Roaming/Microsoft/Excel/ArchivA/videothek/RB%20HaHa%20Verfolgung.mp4" TargetMode="Externa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../../../AppData/Roaming/Microsoft/Excel/Archiv/Archiv/ArchivA/videothek/SB%20Ya%20Criss%20Cross.mp4" TargetMode="External"/><Relationship Id="rId13" Type="http://schemas.openxmlformats.org/officeDocument/2006/relationships/hyperlink" Target="../../../AppData/Roaming/Microsoft/Excel/Archiv/Archiv/ArchivA/videothek/SB%20Hans%20Cris%20Cros%202015%20%2002%2026.wmv" TargetMode="External"/><Relationship Id="rId18" Type="http://schemas.openxmlformats.org/officeDocument/2006/relationships/hyperlink" Target="../../../AppData/Roaming/Microsoft/Excel/Archiv/Archiv/ArchivA/videothek/SB%20Bianca%202%208er%20Pakete%20Dame.mp4" TargetMode="External"/><Relationship Id="rId3" Type="http://schemas.openxmlformats.org/officeDocument/2006/relationships/hyperlink" Target="https://www.youtube.com/watch?v=QEcSJ8OIBgA" TargetMode="External"/><Relationship Id="rId21" Type="http://schemas.openxmlformats.org/officeDocument/2006/relationships/hyperlink" Target="../../../AppData/Roaming/Microsoft/Excel/Archiv/Archiv/ArchivA/videothek/SB%20Krist&#243;f%20WS%20Feb25.mp4" TargetMode="External"/><Relationship Id="rId7" Type="http://schemas.openxmlformats.org/officeDocument/2006/relationships/hyperlink" Target="../../../AppData/Roaming/Microsoft/Excel/Archiv/Archiv/ArchivA/videothek/SB%20Schattenpromenaden.mp4" TargetMode="External"/><Relationship Id="rId12" Type="http://schemas.openxmlformats.org/officeDocument/2006/relationships/hyperlink" Target="../../../AppData/Roaming/Microsoft/Excel/Archiv/Archiv/ArchivA/videothek/SB%20L2%20Rust26%20MHull.mp4" TargetMode="External"/><Relationship Id="rId17" Type="http://schemas.openxmlformats.org/officeDocument/2006/relationships/hyperlink" Target="../../../AppData/Roaming/Microsoft/Excel/Archiv/Archiv/ArchivA/videothek/SB%20Bianca%202%208er%20Pakete%20Herr.mp4" TargetMode="External"/><Relationship Id="rId2" Type="http://schemas.openxmlformats.org/officeDocument/2006/relationships/hyperlink" Target="https://www.youtube.com/watch?v=ny_M7Knj-Gk" TargetMode="External"/><Relationship Id="rId16" Type="http://schemas.openxmlformats.org/officeDocument/2006/relationships/hyperlink" Target="../../../AppData/Roaming/Microsoft/Excel/Archiv/Archiv/ArchivA/videothek/SB%20Bianca%208er%20Pakete.MOV" TargetMode="External"/><Relationship Id="rId20" Type="http://schemas.openxmlformats.org/officeDocument/2006/relationships/hyperlink" Target="../../../AppData/Roaming/Microsoft/Excel/Archiv/Archiv/ArchivA/videothek/SB%20Bianca%20SambaLocks.mp4" TargetMode="External"/><Relationship Id="rId1" Type="http://schemas.openxmlformats.org/officeDocument/2006/relationships/hyperlink" Target="https://www.youtube.com/watch?v=gjfJ_4Zsvn8" TargetMode="External"/><Relationship Id="rId6" Type="http://schemas.openxmlformats.org/officeDocument/2006/relationships/hyperlink" Target="../../../AppData/Roaming/Microsoft/Excel/Archiv/Archiv/ArchivA/videothek/SB%20Rust25%20RKieling%20.mp4" TargetMode="External"/><Relationship Id="rId11" Type="http://schemas.openxmlformats.org/officeDocument/2006/relationships/hyperlink" Target="../../../AppData/Roaming/Microsoft/Excel/Archiv/Archiv/ArchivA/videothek/SB%20L1-2%20Technik%20Rust26%20MHull.mp4" TargetMode="External"/><Relationship Id="rId5" Type="http://schemas.openxmlformats.org/officeDocument/2006/relationships/hyperlink" Target="../../../AppData/Roaming/Microsoft/Excel/Archiv/Archiv/ArchivA/videothek/SB%20Rust25%20Latin%20Feeling%20HNietsche%20II.mp4" TargetMode="External"/><Relationship Id="rId15" Type="http://schemas.openxmlformats.org/officeDocument/2006/relationships/hyperlink" Target="../../../AppData/Roaming/Microsoft/Excel/Archiv/Archiv/ArchivA/videothek/SB%20Hans%20viel%20drehen.wmv" TargetMode="External"/><Relationship Id="rId10" Type="http://schemas.openxmlformats.org/officeDocument/2006/relationships/hyperlink" Target="../../../AppData/Roaming/Microsoft/Excel/Archiv/Archiv/ArchivA/videothek/SB%20L1-2%20B%20Rust26%20FSlemties.mp4" TargetMode="External"/><Relationship Id="rId19" Type="http://schemas.openxmlformats.org/officeDocument/2006/relationships/hyperlink" Target="../../../AppData/Roaming/Microsoft/Excel/Archiv/Archiv/ArchivA/videothek/SB%20Bianca%208er%20Pakte%20Takt.mp4" TargetMode="External"/><Relationship Id="rId4" Type="http://schemas.openxmlformats.org/officeDocument/2006/relationships/hyperlink" Target="../../../AppData/Roaming/Microsoft/Excel/Archiv/Archiv/ArchivA/videothek/SB%20Rust25%20Latin%20Feeling%20HNietsche%20I.mp4" TargetMode="External"/><Relationship Id="rId9" Type="http://schemas.openxmlformats.org/officeDocument/2006/relationships/hyperlink" Target="../../../AppData/Roaming/Microsoft/Excel/Archiv/Archiv/ArchivA/videothek/SB%20L1-2%20A%20Rust26%20FSlemties.mp4" TargetMode="External"/><Relationship Id="rId14" Type="http://schemas.openxmlformats.org/officeDocument/2006/relationships/hyperlink" Target="../../../AppData/Roaming/Microsoft/Excel/Archiv/Archiv/ArchivA/videothek/SB%20Hans%20Kontra%20Botafogo.mp4" TargetMode="External"/><Relationship Id="rId22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hyperlink" Target="https://youtu.be/yTG1OuyUGFs" TargetMode="External"/><Relationship Id="rId13" Type="http://schemas.openxmlformats.org/officeDocument/2006/relationships/hyperlink" Target="../../../AppData/Roaming/Microsoft/Excel/ArchivA/videothek/DF%20L1-2%20A%20Rust26.mp4" TargetMode="External"/><Relationship Id="rId18" Type="http://schemas.openxmlformats.org/officeDocument/2006/relationships/hyperlink" Target="../../../AppData/Roaming/Microsoft/Excel/ArchivA/videothek/DF%20TrCBrsp%20Folge%202.docx" TargetMode="External"/><Relationship Id="rId26" Type="http://schemas.openxmlformats.org/officeDocument/2006/relationships/printerSettings" Target="../printerSettings/printerSettings7.bin"/><Relationship Id="rId3" Type="http://schemas.openxmlformats.org/officeDocument/2006/relationships/hyperlink" Target="https://youtu.be/fR5DSLVLjRg" TargetMode="External"/><Relationship Id="rId21" Type="http://schemas.openxmlformats.org/officeDocument/2006/relationships/hyperlink" Target="../../../AppData/Roaming/Microsoft/Excel/ArchivA/videothek/DF%20TrCBrsp%20Folge%203.docx" TargetMode="External"/><Relationship Id="rId7" Type="http://schemas.openxmlformats.org/officeDocument/2006/relationships/hyperlink" Target="https://youtu.be/bltEvvt1YAs" TargetMode="External"/><Relationship Id="rId12" Type="http://schemas.openxmlformats.org/officeDocument/2006/relationships/hyperlink" Target="../../../AppData/Roaming/Microsoft/Excel/ArchivA/videothek/DF%20Rust25%20.mp4" TargetMode="External"/><Relationship Id="rId17" Type="http://schemas.openxmlformats.org/officeDocument/2006/relationships/hyperlink" Target="../../../AppData/Roaming/Microsoft/Excel/ArchivA/videothek/DF%20TrCBrsp%20Folge%202.mp4" TargetMode="External"/><Relationship Id="rId25" Type="http://schemas.openxmlformats.org/officeDocument/2006/relationships/hyperlink" Target="https://www.youtube.com/watch?v=OybRrYvA1qw" TargetMode="External"/><Relationship Id="rId2" Type="http://schemas.openxmlformats.org/officeDocument/2006/relationships/hyperlink" Target="https://www.youtube.com/watch?v=OybRrYvA1qw" TargetMode="External"/><Relationship Id="rId16" Type="http://schemas.openxmlformats.org/officeDocument/2006/relationships/hyperlink" Target="../../../AppData/Roaming/Microsoft/Excel/ArchivA/videothek/DF%20TrCBrsp%20Folge%201.docx" TargetMode="External"/><Relationship Id="rId20" Type="http://schemas.openxmlformats.org/officeDocument/2006/relationships/hyperlink" Target="../../../AppData/Roaming/Microsoft/Excel/ArchivA/videothek/DF%20TrCBrsp%20Folge%203%20erkl&#228;rt.mp4" TargetMode="External"/><Relationship Id="rId1" Type="http://schemas.openxmlformats.org/officeDocument/2006/relationships/hyperlink" Target="https://www.youtube.com/watch?v=JZfHG73Zkp0" TargetMode="External"/><Relationship Id="rId6" Type="http://schemas.openxmlformats.org/officeDocument/2006/relationships/hyperlink" Target="../../../AppData/Roaming/Microsoft/Excel/ArchivA/videothek/DF%20Krist&#243;f%20Workshop%20am%2028.3.26.mp4" TargetMode="External"/><Relationship Id="rId11" Type="http://schemas.openxmlformats.org/officeDocument/2006/relationships/hyperlink" Target="https://www.youtube.com/watch?v=9QnDJIGy3TY" TargetMode="External"/><Relationship Id="rId24" Type="http://schemas.openxmlformats.org/officeDocument/2006/relationships/hyperlink" Target="../../../AppData/Roaming/Microsoft/Excel/ArchivA/videothek/DF%20Krist&#243;f%20Basic%20Figuren.pdf" TargetMode="External"/><Relationship Id="rId5" Type="http://schemas.openxmlformats.org/officeDocument/2006/relationships/hyperlink" Target="https://www.youtube.com/watch?v=hyv8-p6GAd0" TargetMode="External"/><Relationship Id="rId15" Type="http://schemas.openxmlformats.org/officeDocument/2006/relationships/hyperlink" Target="../../../AppData/Roaming/Microsoft/Excel/ArchivA/videothek/DF%20TrCBrsp%20Folge%201.mp4" TargetMode="External"/><Relationship Id="rId23" Type="http://schemas.openxmlformats.org/officeDocument/2006/relationships/hyperlink" Target="../../../AppData/Roaming/Microsoft/Excel/ArchivA/videothek/DF%20Krist&#243;f%20Workshop.mp4" TargetMode="External"/><Relationship Id="rId10" Type="http://schemas.openxmlformats.org/officeDocument/2006/relationships/hyperlink" Target="https://www.youtube.com/watch?v=hyv8-p6GAd0" TargetMode="External"/><Relationship Id="rId19" Type="http://schemas.openxmlformats.org/officeDocument/2006/relationships/hyperlink" Target="../../../AppData/Roaming/Microsoft/Excel/ArchivA/videothek/DF%20TrCBrsp%20Folge%203%20durchgetanzt.mp4" TargetMode="External"/><Relationship Id="rId4" Type="http://schemas.openxmlformats.org/officeDocument/2006/relationships/hyperlink" Target="https://www.youtube.com/watch?v=4c_QrBTuiSc" TargetMode="External"/><Relationship Id="rId9" Type="http://schemas.openxmlformats.org/officeDocument/2006/relationships/hyperlink" Target="https://youtu.be/fvrous6VhLM" TargetMode="External"/><Relationship Id="rId14" Type="http://schemas.openxmlformats.org/officeDocument/2006/relationships/hyperlink" Target="../../../AppData/Roaming/Microsoft/Excel/ArchivA/videothek/DF%20L1-2%20B%20%20Rust26.mp4" TargetMode="External"/><Relationship Id="rId22" Type="http://schemas.openxmlformats.org/officeDocument/2006/relationships/hyperlink" Target="../../../AppData/Roaming/Microsoft/Excel/ArchivA/videothek/DF%20Krist&#243;f%20Workshop%2024.6.23.mp4" TargetMode="External"/></Relationships>
</file>

<file path=xl/worksheets/_rels/sheet8.xml.rels><?xml version="1.0" encoding="UTF-8" standalone="yes"?>
<Relationships xmlns="http://schemas.openxmlformats.org/package/2006/relationships"><Relationship Id="rId13" Type="http://schemas.openxmlformats.org/officeDocument/2006/relationships/hyperlink" Target="../../../AppData/Roaming/Microsoft/Excel/ArchivA/videothek/QS%20HaHa%20Quick%20Running%20Turnes.mp4" TargetMode="External"/><Relationship Id="rId18" Type="http://schemas.openxmlformats.org/officeDocument/2006/relationships/hyperlink" Target="../../../AppData/Roaming/Microsoft/Excel/ArchivA/videothek/QS%20Bianca%20StepHop%20Dame%20mit%20Musik.mp4" TargetMode="External"/><Relationship Id="rId26" Type="http://schemas.openxmlformats.org/officeDocument/2006/relationships/hyperlink" Target="../../../AppData/Roaming/Microsoft/Excel/ArchivA/videothek/QS%20Tippsy%202.mp4" TargetMode="External"/><Relationship Id="rId3" Type="http://schemas.openxmlformats.org/officeDocument/2006/relationships/hyperlink" Target="https://www.youtube.com/watch?v=gL_TI9z1ENY" TargetMode="External"/><Relationship Id="rId21" Type="http://schemas.openxmlformats.org/officeDocument/2006/relationships/hyperlink" Target="../../../AppData/Roaming/Microsoft/Excel/ArchivA/videothek/QS%20Bianca%20StepHop%20Herr%20mit%20Musik.mp4" TargetMode="External"/><Relationship Id="rId7" Type="http://schemas.openxmlformats.org/officeDocument/2006/relationships/hyperlink" Target="../../../AppData/Roaming/Microsoft/Excel/ArchivA/videothek/QS%20L1-2%20Technik%20Rust25%20RKieling.mp4" TargetMode="External"/><Relationship Id="rId12" Type="http://schemas.openxmlformats.org/officeDocument/2006/relationships/hyperlink" Target="../../../AppData/Roaming/Microsoft/Excel/ArchivA/videothek/QS%20HaHa%20Fishschwanz%20lang%20und%20kurz.mp4" TargetMode="External"/><Relationship Id="rId17" Type="http://schemas.openxmlformats.org/officeDocument/2006/relationships/hyperlink" Target="../../../AppData/Roaming/Microsoft/Excel/ArchivA/videothek/QS%20Bianca%20StepHop%20Dame%202.mp4" TargetMode="External"/><Relationship Id="rId25" Type="http://schemas.openxmlformats.org/officeDocument/2006/relationships/hyperlink" Target="../../../AppData/Roaming/Microsoft/Excel/ArchivA/videothek/QS%20Bianca%20FourQuickRun.MOV" TargetMode="External"/><Relationship Id="rId33" Type="http://schemas.openxmlformats.org/officeDocument/2006/relationships/printerSettings" Target="../printerSettings/printerSettings8.bin"/><Relationship Id="rId2" Type="http://schemas.openxmlformats.org/officeDocument/2006/relationships/hyperlink" Target="https://www.youtube.com/watch?v=iHAdTYyLV0A" TargetMode="External"/><Relationship Id="rId16" Type="http://schemas.openxmlformats.org/officeDocument/2006/relationships/hyperlink" Target="../../../AppData/Roaming/Microsoft/Excel/ArchivA/videothek/QS%20Bianca%20StepHop%20Dame%201.mp4" TargetMode="External"/><Relationship Id="rId20" Type="http://schemas.openxmlformats.org/officeDocument/2006/relationships/hyperlink" Target="../../../AppData/Roaming/Microsoft/Excel/ArchivA/videothek/QS%20Bianca%20StepHop%20Herr%202.mp4" TargetMode="External"/><Relationship Id="rId29" Type="http://schemas.openxmlformats.org/officeDocument/2006/relationships/hyperlink" Target="../../../AppData/Roaming/Microsoft/Excel/ArchivA/videothek/QS%20Egils%20Bronze%20Level%20Routine.mp4" TargetMode="External"/><Relationship Id="rId1" Type="http://schemas.openxmlformats.org/officeDocument/2006/relationships/hyperlink" Target="https://www.youtube.com/watch?v=iI78Izgx98w" TargetMode="External"/><Relationship Id="rId6" Type="http://schemas.openxmlformats.org/officeDocument/2006/relationships/hyperlink" Target="../../../AppData/Roaming/Microsoft/Excel/ArchivA/videothek/QS%20Ya%20Doppeltes%20Lottchen%20Teil%201.mp4" TargetMode="External"/><Relationship Id="rId11" Type="http://schemas.openxmlformats.org/officeDocument/2006/relationships/hyperlink" Target="../../../AppData/Roaming/Microsoft/Excel/ArchivA/videothek/QS%20HaHa%20Basisfolge.mp4" TargetMode="External"/><Relationship Id="rId24" Type="http://schemas.openxmlformats.org/officeDocument/2006/relationships/hyperlink" Target="../../../AppData/Roaming/Microsoft/Excel/ArchivA/videothek/QS%20Bianca%20SIT%20Herr.mp4" TargetMode="External"/><Relationship Id="rId32" Type="http://schemas.openxmlformats.org/officeDocument/2006/relationships/hyperlink" Target="../../../AppData/Roaming/Microsoft/Excel/ArchivA/videothek/QS%20Krist&#243;f%20InOutStepHopLAchse%202.mp4" TargetMode="External"/><Relationship Id="rId5" Type="http://schemas.openxmlformats.org/officeDocument/2006/relationships/hyperlink" Target="https://www.youtube.com/watch?v=2kHTddRkqc4" TargetMode="External"/><Relationship Id="rId15" Type="http://schemas.openxmlformats.org/officeDocument/2006/relationships/hyperlink" Target="../../../AppData/Roaming/Microsoft/Excel/ArchivA/videothek/QS%20HaHa%20V6%202015%2004.mp4" TargetMode="External"/><Relationship Id="rId23" Type="http://schemas.openxmlformats.org/officeDocument/2006/relationships/hyperlink" Target="../../../AppData/Roaming/Microsoft/Excel/ArchivA/videothek/QS%20Bianca%20SIT%20Dame.mp4" TargetMode="External"/><Relationship Id="rId28" Type="http://schemas.openxmlformats.org/officeDocument/2006/relationships/hyperlink" Target="../../../AppData/Roaming/Microsoft/Excel/ArchivA/videothek/QS%20Tipsy.mp4" TargetMode="External"/><Relationship Id="rId10" Type="http://schemas.openxmlformats.org/officeDocument/2006/relationships/hyperlink" Target="../../../AppData/Roaming/Microsoft/Excel/ArchivA/videothek/QS%20HaHa%20Fishschwanz%20lang%20und%20kurz.mp4" TargetMode="External"/><Relationship Id="rId19" Type="http://schemas.openxmlformats.org/officeDocument/2006/relationships/hyperlink" Target="../../../AppData/Roaming/Microsoft/Excel/ArchivA/videothek/QS%20Bianca%20StepHop%20Herr%201.mp4" TargetMode="External"/><Relationship Id="rId31" Type="http://schemas.openxmlformats.org/officeDocument/2006/relationships/hyperlink" Target="../../../AppData/Roaming/Microsoft/Excel/ArchivA/videothek/QS%20Krist&#243;f%20InOutStepHopLAchse%201.mp4" TargetMode="External"/><Relationship Id="rId4" Type="http://schemas.openxmlformats.org/officeDocument/2006/relationships/hyperlink" Target="https://www.youtube.com/watch?v=VdNLw1Y7D9k" TargetMode="External"/><Relationship Id="rId9" Type="http://schemas.openxmlformats.org/officeDocument/2006/relationships/hyperlink" Target="../../../AppData/Roaming/Microsoft/Excel/ArchivA/videothek/QS%20Fishtail.mp4" TargetMode="External"/><Relationship Id="rId14" Type="http://schemas.openxmlformats.org/officeDocument/2006/relationships/hyperlink" Target="../../../AppData/Roaming/Microsoft/Excel/ArchivA/videothek/QS%20HaHa%20Running%20Promenade.mp4" TargetMode="External"/><Relationship Id="rId22" Type="http://schemas.openxmlformats.org/officeDocument/2006/relationships/hyperlink" Target="../../../AppData/Roaming/Microsoft/Excel/ArchivA/videothek/QS%20Bianca%20StepHop.xlsx" TargetMode="External"/><Relationship Id="rId27" Type="http://schemas.openxmlformats.org/officeDocument/2006/relationships/hyperlink" Target="../../../AppData/Roaming/Microsoft/Excel/ArchivA/videothek/QS%20Tippsy%203.mp4" TargetMode="External"/><Relationship Id="rId30" Type="http://schemas.openxmlformats.org/officeDocument/2006/relationships/hyperlink" Target="../../../AppData/Roaming/Microsoft/Excel/ArchivA/videothek/QS%20Egils%20Silver%20Level%20Routine.mp4" TargetMode="External"/><Relationship Id="rId8" Type="http://schemas.openxmlformats.org/officeDocument/2006/relationships/hyperlink" Target="../../../AppData/Roaming/Microsoft/Excel/ArchivA/videothek/QS%20Fishtail%20Egils.mp4" TargetMode="Externa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hyperlink" Target="../../../AppData/Roaming/Microsoft/Excel/Archiv/Archiv/ArchivA/videothek/SF%20L1%20A%20Rust26%20MHull.mp4" TargetMode="External"/><Relationship Id="rId13" Type="http://schemas.openxmlformats.org/officeDocument/2006/relationships/hyperlink" Target="../../../AppData/Roaming/Microsoft/Excel/Archiv/Archiv/ArchivA/videothek/SF%20Krist&#243;f%20Workshop%20am%2028.3.26.mp4" TargetMode="External"/><Relationship Id="rId3" Type="http://schemas.openxmlformats.org/officeDocument/2006/relationships/hyperlink" Target="../../../AppData/Roaming/Microsoft/Excel/Archiv/Archiv/ArchivA/videothek/SF%20Rust25%20RKieling%20Dame-Herr.mp4" TargetMode="External"/><Relationship Id="rId7" Type="http://schemas.openxmlformats.org/officeDocument/2006/relationships/hyperlink" Target="../../../AppData/Roaming/Microsoft/Excel/Archiv/Archiv/ArchivA/videothek/SF%20Rust25%20Technik.mp4" TargetMode="External"/><Relationship Id="rId12" Type="http://schemas.openxmlformats.org/officeDocument/2006/relationships/hyperlink" Target="../../../AppData/Roaming/Microsoft/Excel/Archiv/Archiv/ArchivA/videothek/SF%20L1-1%20Rust26%20RFrieling%20Notitz.jpg" TargetMode="External"/><Relationship Id="rId2" Type="http://schemas.openxmlformats.org/officeDocument/2006/relationships/hyperlink" Target="../../../AppData/Roaming/Microsoft/Excel/Archiv/Archiv/ArchivA/videothek/SF%20Rust25%20ADTV.mp4" TargetMode="External"/><Relationship Id="rId16" Type="http://schemas.openxmlformats.org/officeDocument/2006/relationships/printerSettings" Target="../printerSettings/printerSettings9.bin"/><Relationship Id="rId1" Type="http://schemas.openxmlformats.org/officeDocument/2006/relationships/hyperlink" Target="https://www.youtube.com/watch?v=3qGrNlCZkmQ" TargetMode="External"/><Relationship Id="rId6" Type="http://schemas.openxmlformats.org/officeDocument/2006/relationships/hyperlink" Target="../../../AppData/Roaming/Microsoft/Excel/Archiv/Archiv/ArchivA/videothek/SF%20Rust25%20Technik%20Intro.mp4" TargetMode="External"/><Relationship Id="rId11" Type="http://schemas.openxmlformats.org/officeDocument/2006/relationships/hyperlink" Target="../../../AppData/Roaming/Microsoft/Excel/Archiv/Archiv/ArchivA/videothek/SF%20L1-2%20Rust26%20RFrieling.mp4" TargetMode="External"/><Relationship Id="rId5" Type="http://schemas.openxmlformats.org/officeDocument/2006/relationships/hyperlink" Target="../../../AppData/Roaming/Microsoft/Excel/Archiv/Archiv/ArchivA/videothek/SF%20Rust25%20RKieling%20II.mp4" TargetMode="External"/><Relationship Id="rId15" Type="http://schemas.openxmlformats.org/officeDocument/2006/relationships/hyperlink" Target="../../../AppData/Roaming/Microsoft/Excel/Archiv/Archiv/ArchivA/videothek/" TargetMode="External"/><Relationship Id="rId10" Type="http://schemas.openxmlformats.org/officeDocument/2006/relationships/hyperlink" Target="../../../AppData/Roaming/Microsoft/Excel/Archiv/Archiv/ArchivA/videothek/SF%20L1%20C%20Rust26%20MHull.mp4" TargetMode="External"/><Relationship Id="rId4" Type="http://schemas.openxmlformats.org/officeDocument/2006/relationships/hyperlink" Target="../../../AppData/Roaming/Microsoft/Excel/Archiv/Archiv/ArchivA/videothek/SF%20Rust25%20RKieling.mp4" TargetMode="External"/><Relationship Id="rId9" Type="http://schemas.openxmlformats.org/officeDocument/2006/relationships/hyperlink" Target="../../../AppData/Roaming/Microsoft/Excel/Archiv/Archiv/ArchivA/videothek/SF%20L1%20B%20Rust26%20MHull.mp4" TargetMode="External"/><Relationship Id="rId14" Type="http://schemas.openxmlformats.org/officeDocument/2006/relationships/hyperlink" Target="../../../AppData/Roaming/Microsoft/Excel/Archiv/Archiv/ArchivA/videothek/" TargetMode="External"/></Relationships>
</file>

<file path=xl/worksheets/_rels/sheet10.xml.rels><?xml version="1.0" encoding="UTF-8" standalone="yes"?>
<Relationships xmlns="http://schemas.openxmlformats.org/package/2006/relationships"><Relationship Id="rId13" Type="http://schemas.openxmlformats.org/officeDocument/2006/relationships/hyperlink" Target="ArchivA\videothek\SW%20HaHa%20LD%20Cort&#233;%20OutsideSpin%20TwistTurn.AVI" TargetMode="External"/><Relationship Id="rId18" Type="http://schemas.openxmlformats.org/officeDocument/2006/relationships/hyperlink" Target="ArchivA\videothek\SW%20Bianca%20Au&#223;enseitlicher%20Wechsel%203%20Beispiele.mp4" TargetMode="External"/><Relationship Id="rId26" Type="http://schemas.openxmlformats.org/officeDocument/2006/relationships/hyperlink" Target="ArchivA\videothek\SW%20Backcheck%20Lockstep.mp4" TargetMode="External"/><Relationship Id="rId39" Type="http://schemas.openxmlformats.org/officeDocument/2006/relationships/printerSettings" Target="../printerSettings/printerSettings10.bin"/><Relationship Id="rId21" Type="http://schemas.openxmlformats.org/officeDocument/2006/relationships/hyperlink" Target="ArchivA\videothek\SW%20Bianca%20Sterbender%20Schwan%20-%20Herr.mp4" TargetMode="External"/><Relationship Id="rId34" Type="http://schemas.openxmlformats.org/officeDocument/2006/relationships/hyperlink" Target="ArchivA\videothek\SW%20%20Underarm%20Turn%20With%20a%20Partner%20for%20a%20Waltz.mp4" TargetMode="External"/><Relationship Id="rId7" Type="http://schemas.openxmlformats.org/officeDocument/2006/relationships/hyperlink" Target="https://www.youtube.com/watch?v=R7KchmqEyOw" TargetMode="External"/><Relationship Id="rId12" Type="http://schemas.openxmlformats.org/officeDocument/2006/relationships/hyperlink" Target="https://www.youtube.com/watch?v=4yQb4sT8KkE" TargetMode="External"/><Relationship Id="rId17" Type="http://schemas.openxmlformats.org/officeDocument/2006/relationships/hyperlink" Target="ArchivA\videothek\SW%20HaHa%20Walzer%20langsam%202015%2008.wmv" TargetMode="External"/><Relationship Id="rId25" Type="http://schemas.openxmlformats.org/officeDocument/2006/relationships/hyperlink" Target="ArchivA\videothek\SW%20Backcheck%20Endlauf.mp4" TargetMode="External"/><Relationship Id="rId33" Type="http://schemas.openxmlformats.org/officeDocument/2006/relationships/hyperlink" Target="ArchivA\videothek\SW%20Slow%20Waltz%20Basic%20_%20Szymon%20Kalinowski%20&amp;%20Grazyna%20Grabicka%20_%20Figure%20names,%20counting,%20music.mp4" TargetMode="External"/><Relationship Id="rId38" Type="http://schemas.openxmlformats.org/officeDocument/2006/relationships/hyperlink" Target="ArchivA\videothek\SW%20Kristof%20Rd%20Z&#246;gWe%20Chas%20Ronde%20&#220;bg%20II.mp4" TargetMode="External"/><Relationship Id="rId2" Type="http://schemas.openxmlformats.org/officeDocument/2006/relationships/hyperlink" Target="https://www.youtube.com/watch?v=UfrYPVu9ez0" TargetMode="External"/><Relationship Id="rId16" Type="http://schemas.openxmlformats.org/officeDocument/2006/relationships/hyperlink" Target="ArchivA\videothek\SW%20HaHa%20Walzer%202014_11_mit%20OutsideSpin_TurningLockR.wmv" TargetMode="External"/><Relationship Id="rId20" Type="http://schemas.openxmlformats.org/officeDocument/2006/relationships/hyperlink" Target="ArchivA\videothek\SW%20Bianca%20Sterbender%20Schwan%20-%20Dame.mp4" TargetMode="External"/><Relationship Id="rId29" Type="http://schemas.openxmlformats.org/officeDocument/2006/relationships/hyperlink" Target="ArchivA\videothek\SW%20Kristof%20Der%20Stern.mp4" TargetMode="External"/><Relationship Id="rId1" Type="http://schemas.openxmlformats.org/officeDocument/2006/relationships/hyperlink" Target="https://www.youtube.com/watch?v=3qGrNlCZkmQ" TargetMode="External"/><Relationship Id="rId6" Type="http://schemas.openxmlformats.org/officeDocument/2006/relationships/hyperlink" Target="https://www.youtube.com/watch?v=76Ej_yILcAI" TargetMode="External"/><Relationship Id="rId11" Type="http://schemas.openxmlformats.org/officeDocument/2006/relationships/hyperlink" Target="ArchivA\videothek\SW%20L2%20B%20Rust26%20ADTV.mp4" TargetMode="External"/><Relationship Id="rId24" Type="http://schemas.openxmlformats.org/officeDocument/2006/relationships/hyperlink" Target="ArchivA\videothek\SW%20KLM%20%20Tanzwochenende%202006.mp4" TargetMode="External"/><Relationship Id="rId32" Type="http://schemas.openxmlformats.org/officeDocument/2006/relationships/hyperlink" Target="ArchivA\videothek\SW%20Open%20Natural%20&amp;%20Outside%20Spin%20-%20Slow%20Waltz.mp4" TargetMode="External"/><Relationship Id="rId37" Type="http://schemas.openxmlformats.org/officeDocument/2006/relationships/hyperlink" Target="ArchivA\videothek\SW%20Kristof%20Rd%20Z&#246;gWe%20Chas%20Ronde%20&#220;bg%20I.mp4" TargetMode="External"/><Relationship Id="rId5" Type="http://schemas.openxmlformats.org/officeDocument/2006/relationships/hyperlink" Target="https://www.youtube.com/watch?v=76Ej_yILcAI" TargetMode="External"/><Relationship Id="rId15" Type="http://schemas.openxmlformats.org/officeDocument/2006/relationships/hyperlink" Target="ArchivA\videothek\SW%20HaHa%20Walzer%202014_11_mit%20OutsideSpin_TurningLockR%20B.wmv" TargetMode="External"/><Relationship Id="rId23" Type="http://schemas.openxmlformats.org/officeDocument/2006/relationships/hyperlink" Target="ArchivA\videothek\SW%20English%20Waltz%20Lesson_%20Open%20Right%20Turn%20(Konstantin).mp4" TargetMode="External"/><Relationship Id="rId28" Type="http://schemas.openxmlformats.org/officeDocument/2006/relationships/hyperlink" Target="ArchivA\videothek\SW%20Backcheck%20Z&#246;gerwechsel.mp4" TargetMode="External"/><Relationship Id="rId36" Type="http://schemas.openxmlformats.org/officeDocument/2006/relationships/hyperlink" Target="ArchivA\videothek\SW%20Kristof%20Rd%20Z&#246;gWe%20Chas%20Ronde%20Endlauf%20II.mp4" TargetMode="External"/><Relationship Id="rId10" Type="http://schemas.openxmlformats.org/officeDocument/2006/relationships/hyperlink" Target="ArchivA\videothek\SW%20L2%20A%20Rust26%20ADTV.mp4" TargetMode="External"/><Relationship Id="rId19" Type="http://schemas.openxmlformats.org/officeDocument/2006/relationships/hyperlink" Target="ArchivA\videothek\SW%20Bianca%20Oversway.MOV" TargetMode="External"/><Relationship Id="rId31" Type="http://schemas.openxmlformats.org/officeDocument/2006/relationships/hyperlink" Target="ArchivA\videothek\SW%20Oversway.mp4" TargetMode="External"/><Relationship Id="rId4" Type="http://schemas.openxmlformats.org/officeDocument/2006/relationships/hyperlink" Target="https://youtu.be/SFZnF86v0Lg" TargetMode="External"/><Relationship Id="rId9" Type="http://schemas.openxmlformats.org/officeDocument/2006/relationships/hyperlink" Target="ArchivA\videothek\SW%20Rust25%20MHull%20.mp4" TargetMode="External"/><Relationship Id="rId14" Type="http://schemas.openxmlformats.org/officeDocument/2006/relationships/hyperlink" Target="ArchivA\videothek\SW%20HaHa%20Slow%20Waltz%202015%2005.wmv" TargetMode="External"/><Relationship Id="rId22" Type="http://schemas.openxmlformats.org/officeDocument/2006/relationships/hyperlink" Target="ArchivA\videothek\SW%20Bianca%20Windm&#252;hle.mp4" TargetMode="External"/><Relationship Id="rId27" Type="http://schemas.openxmlformats.org/officeDocument/2006/relationships/hyperlink" Target="ArchivA\videothek\SW%20Backcheck%20Outside%20Change.mp4" TargetMode="External"/><Relationship Id="rId30" Type="http://schemas.openxmlformats.org/officeDocument/2006/relationships/hyperlink" Target="ArchivA\videothek\SW%20Krist&#243;f%20Stern%20Basictraining%20Krist&#243;f.mp4" TargetMode="External"/><Relationship Id="rId35" Type="http://schemas.openxmlformats.org/officeDocument/2006/relationships/hyperlink" Target="ArchivA\videothek\SW%20Kristof%20Rd%20Z&#246;gWe%20Chas%20Ronde%20Endlauf%20I.mp4" TargetMode="External"/><Relationship Id="rId8" Type="http://schemas.openxmlformats.org/officeDocument/2006/relationships/hyperlink" Target="https://www.youtube.com/watch?v=R7KchmqEyOw" TargetMode="External"/><Relationship Id="rId3" Type="http://schemas.openxmlformats.org/officeDocument/2006/relationships/hyperlink" Target="https://www.youtube.com/watch?v=OiMRm3qTPcg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../../../AppData/Roaming/Microsoft/Excel/Archiv/Archiv/ArchivA/videothek/AS%20SW%20Learn%20to%20Waltz%20Dance%20-%20The%20Walkaround%20Turn1.mp4" TargetMode="External"/><Relationship Id="rId2" Type="http://schemas.openxmlformats.org/officeDocument/2006/relationships/hyperlink" Target="../../../AppData/Roaming/Microsoft/Excel/Archiv/Archiv/ArchivA/videothek/AS%20SW%20L2%20Rust26.mp4" TargetMode="External"/><Relationship Id="rId1" Type="http://schemas.openxmlformats.org/officeDocument/2006/relationships/hyperlink" Target="../../../AppData/Roaming/Microsoft/Excel/Archiv/Archiv/ArchivA/videothek/AS%20SW%20Demo%20L4%20Rust26.mp4" TargetMode="External"/><Relationship Id="rId5" Type="http://schemas.openxmlformats.org/officeDocument/2006/relationships/hyperlink" Target="../../../AppData/Roaming/Microsoft/Excel/Archiv/Archiv/ArchivA/videothek/AS%20SW%20Learn%20to%20dance%20Waltz%20Butterfly%20Fallaway%20Spin.mp4" TargetMode="External"/><Relationship Id="rId4" Type="http://schemas.openxmlformats.org/officeDocument/2006/relationships/hyperlink" Target="../../../AppData/Roaming/Microsoft/Excel/Archiv/Archiv/ArchivA/videothek/AS%20SW%20Learn%20to%20dance%20Waltz%20Butterfly%20Fallaway%20Spin.mp4" TargetMode="Externa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watch?v=NyBPjhCQnT4" TargetMode="External"/><Relationship Id="rId13" Type="http://schemas.openxmlformats.org/officeDocument/2006/relationships/hyperlink" Target="ArchivA\videothek\TG%20L1-2%20A%20Rust26%20RFrieling.mp4" TargetMode="External"/><Relationship Id="rId18" Type="http://schemas.openxmlformats.org/officeDocument/2006/relationships/printerSettings" Target="../printerSettings/printerSettings11.bin"/><Relationship Id="rId3" Type="http://schemas.openxmlformats.org/officeDocument/2006/relationships/hyperlink" Target="https://www.youtube.com/watch?v=XJCntxh9fpc%20%20%20%20%20%20%20ab%20Minute%202:08" TargetMode="External"/><Relationship Id="rId7" Type="http://schemas.openxmlformats.org/officeDocument/2006/relationships/hyperlink" Target="https://www.youtube.com/watch?v=Tw7zJY0_MMM" TargetMode="External"/><Relationship Id="rId12" Type="http://schemas.openxmlformats.org/officeDocument/2006/relationships/hyperlink" Target="ArchivA\videothek\TG%205Step%20Rust25%20EnglMan.mp4" TargetMode="External"/><Relationship Id="rId17" Type="http://schemas.openxmlformats.org/officeDocument/2006/relationships/hyperlink" Target="ArchivA\videothek\TG%20Hans%20Wiener%20Walzer%20LinksDrehung.AVI" TargetMode="External"/><Relationship Id="rId2" Type="http://schemas.openxmlformats.org/officeDocument/2006/relationships/hyperlink" Target="https://www.youtube.com/watch?v=vt0fuTzPdXM" TargetMode="External"/><Relationship Id="rId16" Type="http://schemas.openxmlformats.org/officeDocument/2006/relationships/hyperlink" Target="ArchivA\videothek\TG%20Krist&#243;f%20Workshop%20am%2028.3.26.mp4" TargetMode="External"/><Relationship Id="rId1" Type="http://schemas.openxmlformats.org/officeDocument/2006/relationships/hyperlink" Target="https://www.youtube.com/watch?v=gQrHNRC-S7U" TargetMode="External"/><Relationship Id="rId6" Type="http://schemas.openxmlformats.org/officeDocument/2006/relationships/hyperlink" Target="https://www.youtube.com/watch?v=Tw7zJY0_MMM" TargetMode="External"/><Relationship Id="rId11" Type="http://schemas.openxmlformats.org/officeDocument/2006/relationships/hyperlink" Target="ArchivA\videothek\TG%20Rust25%20AKiefer.mp4" TargetMode="External"/><Relationship Id="rId5" Type="http://schemas.openxmlformats.org/officeDocument/2006/relationships/hyperlink" Target="https://www.youtube.com/watch?v=QA2GeuRZmqg" TargetMode="External"/><Relationship Id="rId15" Type="http://schemas.openxmlformats.org/officeDocument/2006/relationships/hyperlink" Target="ArchivA\videothek\TG%20L1-2%20B%20Rust26%20RFrieling%20Notitz.jpg" TargetMode="External"/><Relationship Id="rId10" Type="http://schemas.openxmlformats.org/officeDocument/2006/relationships/hyperlink" Target="ArchivA\videothek\TG%20Rust25%20ADTV.mp4" TargetMode="External"/><Relationship Id="rId4" Type="http://schemas.openxmlformats.org/officeDocument/2006/relationships/hyperlink" Target="https://www.youtube.com/watch?v=iVIoZhapxfs" TargetMode="External"/><Relationship Id="rId9" Type="http://schemas.openxmlformats.org/officeDocument/2006/relationships/hyperlink" Target="https://www.youtube.com/watch?v=WpgcXLElWPo" TargetMode="External"/><Relationship Id="rId14" Type="http://schemas.openxmlformats.org/officeDocument/2006/relationships/hyperlink" Target="ArchivA\videothek\TG%20L1-2%20B%20Rust26%20Frieling.mp4" TargetMode="Externa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hyperlink" Target="../../../AppData/Roaming/Microsoft/Excel/Archiv/Archiv/videothek/WW%20L2-3%20Rust26%20RFrieling.mp4" TargetMode="External"/><Relationship Id="rId3" Type="http://schemas.openxmlformats.org/officeDocument/2006/relationships/hyperlink" Target="https://youtu.be/uaxLFh0acRs" TargetMode="External"/><Relationship Id="rId7" Type="http://schemas.openxmlformats.org/officeDocument/2006/relationships/hyperlink" Target="../../../AppData/Roaming/Microsoft/Excel/Archiv/Archiv/videothek/WW%20L1-2%20Pendelfiguren%20Rust26%20ADTV.mp4" TargetMode="External"/><Relationship Id="rId2" Type="http://schemas.openxmlformats.org/officeDocument/2006/relationships/hyperlink" Target="https://www.youtube.com/watch?v=OiMRm3qTPcg" TargetMode="External"/><Relationship Id="rId1" Type="http://schemas.openxmlformats.org/officeDocument/2006/relationships/hyperlink" Target="https://youtu.be/3wcxbZjdGGA" TargetMode="External"/><Relationship Id="rId6" Type="http://schemas.openxmlformats.org/officeDocument/2006/relationships/hyperlink" Target="https://www.youtube.com/watch?v=NDenZ1rH6GU" TargetMode="External"/><Relationship Id="rId5" Type="http://schemas.openxmlformats.org/officeDocument/2006/relationships/hyperlink" Target="https://www.youtube.com/watch?v=NDenZ1rH6GU" TargetMode="External"/><Relationship Id="rId4" Type="http://schemas.openxmlformats.org/officeDocument/2006/relationships/hyperlink" Target="https://www.youtube.com/watch?v=fH__CSFSjKQ" TargetMode="External"/><Relationship Id="rId9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../../../AppData/Roaming/Microsoft/Excel/Archiv/Archiv/ArchivA/videothek/SS%20A+F%2020181220_215339.mp4" TargetMode="External"/><Relationship Id="rId13" Type="http://schemas.openxmlformats.org/officeDocument/2006/relationships/hyperlink" Target="../../../AppData/Roaming/Microsoft/Excel/Archiv/Archiv/ArchivA/videothek/SS%20A+F%2020190331_151000.mp4" TargetMode="External"/><Relationship Id="rId18" Type="http://schemas.openxmlformats.org/officeDocument/2006/relationships/hyperlink" Target="../../../AppData/Roaming/Microsoft/Excel/Archiv/Archiv/ArchivA/videothek/SS%20A+F%2020190331_151207.mp4" TargetMode="External"/><Relationship Id="rId3" Type="http://schemas.openxmlformats.org/officeDocument/2006/relationships/hyperlink" Target="../../../AppData/Roaming/Microsoft/Excel/Archiv/Archiv/ArchivA/videothek/SS%20L1%20B%20Rust26%20RFasiello.mp4" TargetMode="External"/><Relationship Id="rId21" Type="http://schemas.openxmlformats.org/officeDocument/2006/relationships/hyperlink" Target="../../../AppData/Roaming/Microsoft/Excel/Archiv/Archiv/ArchivA/videothek/SS%20A+F%20IMG_2529.MOV" TargetMode="External"/><Relationship Id="rId7" Type="http://schemas.openxmlformats.org/officeDocument/2006/relationships/hyperlink" Target="../../../AppData/Roaming/Microsoft/Excel/Archiv/Archiv/ArchivA/videothek/SS%20A+F%2020181220_215152.mp4" TargetMode="External"/><Relationship Id="rId12" Type="http://schemas.openxmlformats.org/officeDocument/2006/relationships/hyperlink" Target="../../../AppData/Roaming/Microsoft/Excel/Archiv/Archiv/ArchivA/videothek/SS%20A+F%2020190331_145707.mp4" TargetMode="External"/><Relationship Id="rId17" Type="http://schemas.openxmlformats.org/officeDocument/2006/relationships/hyperlink" Target="../../../AppData/Roaming/Microsoft/Excel/Archiv/Archiv/ArchivA/videothek/SS%20A+F%2020190331_151157.mp4" TargetMode="External"/><Relationship Id="rId25" Type="http://schemas.openxmlformats.org/officeDocument/2006/relationships/hyperlink" Target="../../../AppData/Roaming/Microsoft/Excel/Archiv/Archiv/ArchivA/videothek/SS%20A+F%20Salsa-Andrea&amp;Frank%20IV.mp4" TargetMode="External"/><Relationship Id="rId2" Type="http://schemas.openxmlformats.org/officeDocument/2006/relationships/hyperlink" Target="../../../AppData/Roaming/Microsoft/Excel/Archiv/Archiv/ArchivA/videothek/SS%20L1%20A%20Rust26%20RFasiello.mp4" TargetMode="External"/><Relationship Id="rId16" Type="http://schemas.openxmlformats.org/officeDocument/2006/relationships/hyperlink" Target="../../../AppData/Roaming/Microsoft/Excel/Archiv/Archiv/ArchivA/videothek/SS%20A+F%2020190331_151105.mp4" TargetMode="External"/><Relationship Id="rId20" Type="http://schemas.openxmlformats.org/officeDocument/2006/relationships/hyperlink" Target="../../../AppData/Roaming/Microsoft/Excel/Archiv/Archiv/ArchivA/videothek/SS%20A+F%2020190331_151250.mp4" TargetMode="External"/><Relationship Id="rId1" Type="http://schemas.openxmlformats.org/officeDocument/2006/relationships/hyperlink" Target="../../../AppData/Roaming/Microsoft/Excel/Archiv/Archiv/ArchivA/videothek/SS%20A+F%20Salsa-Andrea&amp;Frank%20V.mp4" TargetMode="External"/><Relationship Id="rId6" Type="http://schemas.openxmlformats.org/officeDocument/2006/relationships/hyperlink" Target="../../../AppData/Roaming/Microsoft/Excel/Archiv/Archiv/ArchivA/videothek/SS%20A+F%2020180628_213137.mp4" TargetMode="External"/><Relationship Id="rId11" Type="http://schemas.openxmlformats.org/officeDocument/2006/relationships/hyperlink" Target="../../../AppData/Roaming/Microsoft/Excel/Archiv/Archiv/ArchivA/videothek/SS%20A+F%2020190331_145646.mp4" TargetMode="External"/><Relationship Id="rId24" Type="http://schemas.openxmlformats.org/officeDocument/2006/relationships/hyperlink" Target="../../../AppData/Roaming/Microsoft/Excel/Archiv/Archiv/ArchivA/videothek/SS%20A+F%20Salsa-Andrea&amp;Frank%20III.mp4" TargetMode="External"/><Relationship Id="rId5" Type="http://schemas.openxmlformats.org/officeDocument/2006/relationships/hyperlink" Target="../../../AppData/Roaming/Microsoft/Excel/Archiv/Archiv/ArchivA/videothek/SS%20A+F%20180914TanzenSalsa.MOV" TargetMode="External"/><Relationship Id="rId15" Type="http://schemas.openxmlformats.org/officeDocument/2006/relationships/hyperlink" Target="../../../AppData/Roaming/Microsoft/Excel/Archiv/Archiv/ArchivA/videothek/SS%20A+F%2020190331_151045.mp4" TargetMode="External"/><Relationship Id="rId23" Type="http://schemas.openxmlformats.org/officeDocument/2006/relationships/hyperlink" Target="../../../AppData/Roaming/Microsoft/Excel/Archiv/Archiv/ArchivA/videothek/SS%20A+F%20Salsa-Andrea&amp;Frank%20II.mp4" TargetMode="External"/><Relationship Id="rId10" Type="http://schemas.openxmlformats.org/officeDocument/2006/relationships/hyperlink" Target="../../../AppData/Roaming/Microsoft/Excel/Archiv/Archiv/ArchivA/videothek/SS%20A+F%2020190330_170545.mp4" TargetMode="External"/><Relationship Id="rId19" Type="http://schemas.openxmlformats.org/officeDocument/2006/relationships/hyperlink" Target="../../../AppData/Roaming/Microsoft/Excel/Archiv/Archiv/ArchivA/videothek/SS%20A+F%2020190331_151231.mp4" TargetMode="External"/><Relationship Id="rId4" Type="http://schemas.openxmlformats.org/officeDocument/2006/relationships/hyperlink" Target="../../../AppData/Roaming/Microsoft/Excel/Archiv/Archiv/ArchivA/videothek/SS%20L1-2%20Rust26%20ADTV.mp4" TargetMode="External"/><Relationship Id="rId9" Type="http://schemas.openxmlformats.org/officeDocument/2006/relationships/hyperlink" Target="../../../AppData/Roaming/Microsoft/Excel/Archiv/Archiv/ArchivA/videothek/SS%20A+F%202019-08-15.mp4" TargetMode="External"/><Relationship Id="rId14" Type="http://schemas.openxmlformats.org/officeDocument/2006/relationships/hyperlink" Target="../../../AppData/Roaming/Microsoft/Excel/Archiv/Archiv/ArchivA/videothek/SS%20A+F%2020190331_151010.mp4" TargetMode="External"/><Relationship Id="rId22" Type="http://schemas.openxmlformats.org/officeDocument/2006/relationships/hyperlink" Target="../../../AppData/Roaming/Microsoft/Excel/Archiv/Archiv/ArchivA/videothek/SS%20A+F%20Salsa-Andrea&amp;Frank%20I.mp4" TargetMode="Externa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hyperlink" Target="../../../AppData/Roaming/Microsoft/Excel/Archiv/Archiv/ArchivA/videothek/LAT%20ChaCha%20Solo%20(Footwork).mp4" TargetMode="External"/><Relationship Id="rId13" Type="http://schemas.openxmlformats.org/officeDocument/2006/relationships/hyperlink" Target="../../../AppData/Roaming/Microsoft/Excel/Archiv/Archiv/ArchivA/videothek/LAT%20Dreh&#252;bung%20Nr%201.mp4" TargetMode="External"/><Relationship Id="rId18" Type="http://schemas.openxmlformats.org/officeDocument/2006/relationships/hyperlink" Target="../../../AppData/Roaming/Microsoft/Excel/Archiv/Archiv/ArchivA/videothek/LAT%20Dreh&#252;bung%20Nr.6%20Eine%20Folge.mp4" TargetMode="External"/><Relationship Id="rId26" Type="http://schemas.openxmlformats.org/officeDocument/2006/relationships/printerSettings" Target="../printerSettings/printerSettings13.bin"/><Relationship Id="rId3" Type="http://schemas.openxmlformats.org/officeDocument/2006/relationships/hyperlink" Target="../../../AppData/Roaming/Microsoft/Excel/Archiv/Archiv/ArchivA/videothek/LAT%20Armbewegung%201.mp4" TargetMode="External"/><Relationship Id="rId21" Type="http://schemas.openxmlformats.org/officeDocument/2006/relationships/hyperlink" Target="../../../AppData/Roaming/Microsoft/Excel/Archiv/Archiv/ArchivA/videothek/LAT%20Latein%20Fu&#223;technik.mp4" TargetMode="External"/><Relationship Id="rId7" Type="http://schemas.openxmlformats.org/officeDocument/2006/relationships/hyperlink" Target="../../../AppData/Roaming/Microsoft/Excel/Archiv/Archiv/ArchivA/videothek/LAT%20Armbewegung_4.mp4" TargetMode="External"/><Relationship Id="rId12" Type="http://schemas.openxmlformats.org/officeDocument/2006/relationships/hyperlink" Target="../../../AppData/Roaming/Microsoft/Excel/Archiv/Archiv/ArchivA/videothek/LAT%20Drehtechnik%203.mp4" TargetMode="External"/><Relationship Id="rId17" Type="http://schemas.openxmlformats.org/officeDocument/2006/relationships/hyperlink" Target="../../../AppData/Roaming/Microsoft/Excel/Archiv/Archiv/ArchivA/videothek/LAT%20Dreh&#252;bung%20Nr%205.mp4" TargetMode="External"/><Relationship Id="rId25" Type="http://schemas.openxmlformats.org/officeDocument/2006/relationships/hyperlink" Target="../../../AppData/Roaming/Microsoft/Excel/Archiv/Archiv/ArchivA/videothek/LAT%201%20Chucharacha%20Fu&#223;technik.mp4" TargetMode="External"/><Relationship Id="rId2" Type="http://schemas.openxmlformats.org/officeDocument/2006/relationships/hyperlink" Target="../../../AppData/Roaming/Microsoft/Excel/Archiv/Archiv/ArchivA/videothek/LAT%203%20Chucharacha%20H&#252;ftbewegung.mp4" TargetMode="External"/><Relationship Id="rId16" Type="http://schemas.openxmlformats.org/officeDocument/2006/relationships/hyperlink" Target="../../../AppData/Roaming/Microsoft/Excel/Archiv/Archiv/ArchivA/videothek/LAT%20Dreh&#252;bung%20Nr%204.mp4" TargetMode="External"/><Relationship Id="rId20" Type="http://schemas.openxmlformats.org/officeDocument/2006/relationships/hyperlink" Target="../../../AppData/Roaming/Microsoft/Excel/Archiv/Archiv/ArchivA/videothek/LAT%20Langsamer%20Walzer%20Swing%20and%20Shape.mp4" TargetMode="External"/><Relationship Id="rId1" Type="http://schemas.openxmlformats.org/officeDocument/2006/relationships/hyperlink" Target="../../../AppData/Roaming/Microsoft/Excel/Archiv/Archiv/ArchivA/videothek/LAT%202%20Chucharacha%20Timing.mp4" TargetMode="External"/><Relationship Id="rId6" Type="http://schemas.openxmlformats.org/officeDocument/2006/relationships/hyperlink" Target="../../../AppData/Roaming/Microsoft/Excel/Archiv/Archiv/ArchivA/videothek/LAT%20Armbewegung%204.mp4" TargetMode="External"/><Relationship Id="rId11" Type="http://schemas.openxmlformats.org/officeDocument/2006/relationships/hyperlink" Target="../../../AppData/Roaming/Microsoft/Excel/Archiv/Archiv/ArchivA/videothek/LAT%20Drehtechnik%202.mp4" TargetMode="External"/><Relationship Id="rId24" Type="http://schemas.openxmlformats.org/officeDocument/2006/relationships/hyperlink" Target="../../../AppData/Roaming/Microsoft/Excel/Archiv/Archiv/ArchivA/videothek/LAT%20Samba%20Basic%20&amp;%20Bounce.mp4" TargetMode="External"/><Relationship Id="rId5" Type="http://schemas.openxmlformats.org/officeDocument/2006/relationships/hyperlink" Target="../../../AppData/Roaming/Microsoft/Excel/Archiv/Archiv/ArchivA/videothek/LAT%20Armbewegung%203.mp4" TargetMode="External"/><Relationship Id="rId15" Type="http://schemas.openxmlformats.org/officeDocument/2006/relationships/hyperlink" Target="../../../AppData/Roaming/Microsoft/Excel/Archiv/Archiv/ArchivA/videothek/LAT%20Dreh&#252;bung%20Nr%203.mp4" TargetMode="External"/><Relationship Id="rId23" Type="http://schemas.openxmlformats.org/officeDocument/2006/relationships/hyperlink" Target="../../../AppData/Roaming/Microsoft/Excel/Archiv/Archiv/ArchivA/videothek/LAT%20SAM%20Voltas,%20Botafogo.mp4" TargetMode="External"/><Relationship Id="rId10" Type="http://schemas.openxmlformats.org/officeDocument/2006/relationships/hyperlink" Target="../../../AppData/Roaming/Microsoft/Excel/Archiv/Archiv/ArchivA/videothek/LAT%20Drehtechnik%201.mp4" TargetMode="External"/><Relationship Id="rId19" Type="http://schemas.openxmlformats.org/officeDocument/2006/relationships/hyperlink" Target="../../../AppData/Roaming/Microsoft/Excel/Archiv/Archiv/ArchivA/videothek/LAT%20Jive%20Grundtechnik.mp4" TargetMode="External"/><Relationship Id="rId4" Type="http://schemas.openxmlformats.org/officeDocument/2006/relationships/hyperlink" Target="../../../AppData/Roaming/Microsoft/Excel/Archiv/Archiv/ArchivA/videothek/LAT%20Armbewegung%202.mp4" TargetMode="External"/><Relationship Id="rId9" Type="http://schemas.openxmlformats.org/officeDocument/2006/relationships/hyperlink" Target="../../../AppData/Roaming/Microsoft/Excel/Archiv/Archiv/ArchivA/videothek/LAT%20ChaCha%20Solo%20(H&#252;ftrotation).mp4" TargetMode="External"/><Relationship Id="rId14" Type="http://schemas.openxmlformats.org/officeDocument/2006/relationships/hyperlink" Target="../../../AppData/Roaming/Microsoft/Excel/Archiv/Archiv/ArchivA/videothek/LAT%20Dreh&#252;bung%20Nr%202.mp4" TargetMode="External"/><Relationship Id="rId22" Type="http://schemas.openxmlformats.org/officeDocument/2006/relationships/hyperlink" Target="../../../AppData/Roaming/Microsoft/Excel/Archiv/Archiv/ArchivA/videothek/LAT%20Rumba%20H&#252;fte.mp4" TargetMode="Externa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hyperlink" Target="../../../AppData/Roaming/Microsoft/Excel/Archiv/Archiv/ArchivA/videothek/ALL%20Gehirn-Gymnastik%203%20-%20YouTube.mp4" TargetMode="External"/><Relationship Id="rId2" Type="http://schemas.openxmlformats.org/officeDocument/2006/relationships/hyperlink" Target="../../../AppData/Roaming/Microsoft/Excel/Archiv/Archiv/ArchivA/videothek/ALL%20Gehirn-Gymnastik%202%20YouTube.mp4" TargetMode="External"/><Relationship Id="rId1" Type="http://schemas.openxmlformats.org/officeDocument/2006/relationships/hyperlink" Target="../../../AppData/Roaming/Microsoft/Excel/Archiv/Archiv/ArchivA/videothek/ALL%20Gehirn-Gymnastik%201%20YouTube.mp4" TargetMode="External"/><Relationship Id="rId4" Type="http://schemas.openxmlformats.org/officeDocument/2006/relationships/hyperlink" Target="../../../AppData/Roaming/Microsoft/Excel/Archiv/Archiv/ArchivA/videothek/ALL%20Tanzmusik.mp4" TargetMode="Externa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4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93CA0-8D8D-48A4-9DAE-97783006917C}">
  <sheetPr codeName="Tabelle26">
    <pageSetUpPr fitToPage="1"/>
  </sheetPr>
  <dimension ref="A1:D318"/>
  <sheetViews>
    <sheetView zoomScaleNormal="100" zoomScaleSheetLayoutView="112" workbookViewId="0">
      <selection activeCell="G3" sqref="G3"/>
    </sheetView>
  </sheetViews>
  <sheetFormatPr baseColWidth="10" defaultColWidth="11.44140625" defaultRowHeight="24.9" customHeight="1"/>
  <cols>
    <col min="1" max="1" width="4.77734375" style="298" customWidth="1"/>
    <col min="2" max="2" width="30.77734375" style="299" customWidth="1"/>
    <col min="3" max="3" width="12.77734375" style="299" customWidth="1"/>
    <col min="4" max="5" width="40.77734375" style="299" customWidth="1"/>
    <col min="6" max="6" width="4.77734375" style="299" customWidth="1"/>
    <col min="7" max="7" width="30.77734375" style="299" customWidth="1"/>
    <col min="8" max="8" width="12.77734375" style="299" customWidth="1"/>
    <col min="9" max="9" width="40.77734375" style="299" customWidth="1"/>
    <col min="10" max="16384" width="11.44140625" style="299"/>
  </cols>
  <sheetData>
    <row r="1" spans="1:4" s="343" customFormat="1" ht="20.399999999999999">
      <c r="A1" s="342" t="s">
        <v>749</v>
      </c>
      <c r="D1" s="342" t="s">
        <v>787</v>
      </c>
    </row>
    <row r="2" spans="1:4" s="343" customFormat="1" ht="19.95" customHeight="1">
      <c r="A2" s="344"/>
    </row>
    <row r="3" spans="1:4" s="343" customFormat="1" ht="30" customHeight="1">
      <c r="A3" s="340" t="s">
        <v>713</v>
      </c>
    </row>
    <row r="4" spans="1:4" ht="25.05" customHeight="1">
      <c r="A4" s="303" t="s">
        <v>745</v>
      </c>
      <c r="B4" s="302" t="s">
        <v>68</v>
      </c>
      <c r="C4" s="301" t="s">
        <v>712</v>
      </c>
      <c r="D4" s="302"/>
    </row>
    <row r="5" spans="1:4" ht="25.05" customHeight="1">
      <c r="A5" s="303" t="s">
        <v>745</v>
      </c>
      <c r="B5" s="302"/>
      <c r="C5" s="301" t="s">
        <v>712</v>
      </c>
      <c r="D5" s="302"/>
    </row>
    <row r="6" spans="1:4" ht="25.05" customHeight="1">
      <c r="A6" s="303" t="s">
        <v>745</v>
      </c>
      <c r="B6" s="302" t="s">
        <v>11</v>
      </c>
      <c r="C6" s="301" t="s">
        <v>712</v>
      </c>
      <c r="D6" s="302"/>
    </row>
    <row r="7" spans="1:4" ht="25.05" customHeight="1">
      <c r="A7" s="303" t="s">
        <v>745</v>
      </c>
      <c r="B7" s="302" t="s">
        <v>7</v>
      </c>
      <c r="C7" s="301" t="s">
        <v>712</v>
      </c>
      <c r="D7" s="302"/>
    </row>
    <row r="8" spans="1:4" s="343" customFormat="1" ht="25.05" customHeight="1">
      <c r="A8" s="303" t="s">
        <v>745</v>
      </c>
      <c r="B8" s="302" t="s">
        <v>32</v>
      </c>
      <c r="C8" s="301" t="s">
        <v>712</v>
      </c>
      <c r="D8" s="302" t="s">
        <v>617</v>
      </c>
    </row>
    <row r="9" spans="1:4" s="343" customFormat="1" ht="25.05" customHeight="1">
      <c r="A9" s="332" t="s">
        <v>745</v>
      </c>
      <c r="B9" s="302" t="s">
        <v>91</v>
      </c>
      <c r="C9" s="301" t="s">
        <v>712</v>
      </c>
      <c r="D9" s="302"/>
    </row>
    <row r="10" spans="1:4" ht="25.05" customHeight="1">
      <c r="A10" s="303" t="s">
        <v>745</v>
      </c>
      <c r="B10" s="302" t="s">
        <v>43</v>
      </c>
      <c r="C10" s="301" t="s">
        <v>712</v>
      </c>
      <c r="D10" s="302"/>
    </row>
    <row r="11" spans="1:4" ht="25.05" customHeight="1">
      <c r="A11" s="303" t="s">
        <v>745</v>
      </c>
      <c r="B11" s="302" t="s">
        <v>214</v>
      </c>
      <c r="C11" s="301" t="s">
        <v>712</v>
      </c>
      <c r="D11" s="302" t="s">
        <v>667</v>
      </c>
    </row>
    <row r="12" spans="1:4" ht="25.05" customHeight="1">
      <c r="A12" s="303" t="s">
        <v>745</v>
      </c>
      <c r="B12" s="302" t="s">
        <v>31</v>
      </c>
      <c r="C12" s="301" t="s">
        <v>712</v>
      </c>
      <c r="D12" s="302"/>
    </row>
    <row r="13" spans="1:4" s="343" customFormat="1" ht="25.05" customHeight="1">
      <c r="A13" s="347"/>
      <c r="B13" s="345"/>
      <c r="C13" s="346"/>
      <c r="D13" s="345"/>
    </row>
    <row r="14" spans="1:4" s="343" customFormat="1" ht="30" customHeight="1">
      <c r="A14" s="341" t="s">
        <v>714</v>
      </c>
      <c r="B14" s="345"/>
      <c r="C14" s="346"/>
      <c r="D14" s="345"/>
    </row>
    <row r="15" spans="1:4" ht="25.05" customHeight="1">
      <c r="A15" s="303" t="s">
        <v>742</v>
      </c>
      <c r="B15" s="302" t="s">
        <v>0</v>
      </c>
      <c r="C15" s="301" t="s">
        <v>712</v>
      </c>
      <c r="D15" s="302" t="s">
        <v>30</v>
      </c>
    </row>
    <row r="16" spans="1:4" s="343" customFormat="1" ht="25.05" customHeight="1">
      <c r="A16" s="303" t="s">
        <v>742</v>
      </c>
      <c r="B16" s="302" t="s">
        <v>22</v>
      </c>
      <c r="C16" s="301" t="s">
        <v>712</v>
      </c>
      <c r="D16" s="302" t="s">
        <v>9</v>
      </c>
    </row>
    <row r="17" spans="1:4" s="343" customFormat="1" ht="25.05" customHeight="1">
      <c r="A17" s="332" t="s">
        <v>742</v>
      </c>
      <c r="B17" s="302" t="s">
        <v>8</v>
      </c>
      <c r="C17" s="301" t="s">
        <v>712</v>
      </c>
      <c r="D17" s="302"/>
    </row>
    <row r="18" spans="1:4" ht="25.05" customHeight="1">
      <c r="A18" s="303" t="s">
        <v>742</v>
      </c>
      <c r="B18" s="302" t="s">
        <v>7</v>
      </c>
      <c r="C18" s="301" t="s">
        <v>712</v>
      </c>
      <c r="D18" s="302"/>
    </row>
    <row r="19" spans="1:4" ht="25.05" customHeight="1">
      <c r="A19" s="303" t="s">
        <v>742</v>
      </c>
      <c r="B19" s="302" t="s">
        <v>6</v>
      </c>
      <c r="C19" s="301" t="s">
        <v>712</v>
      </c>
      <c r="D19" s="302"/>
    </row>
    <row r="20" spans="1:4" s="343" customFormat="1" ht="25.05" customHeight="1">
      <c r="A20" s="303" t="s">
        <v>742</v>
      </c>
      <c r="B20" s="302" t="s">
        <v>655</v>
      </c>
      <c r="C20" s="301" t="s">
        <v>712</v>
      </c>
      <c r="D20" s="302" t="s">
        <v>656</v>
      </c>
    </row>
    <row r="21" spans="1:4" s="343" customFormat="1" ht="30" customHeight="1">
      <c r="A21" s="332" t="s">
        <v>742</v>
      </c>
      <c r="B21" s="302"/>
      <c r="C21" s="300" t="s">
        <v>771</v>
      </c>
      <c r="D21" s="302" t="s">
        <v>108</v>
      </c>
    </row>
    <row r="22" spans="1:4" s="343" customFormat="1" ht="25.05" customHeight="1">
      <c r="A22" s="303" t="s">
        <v>742</v>
      </c>
      <c r="B22" s="302" t="s">
        <v>701</v>
      </c>
      <c r="C22" s="301" t="s">
        <v>712</v>
      </c>
      <c r="D22" s="302" t="s">
        <v>16</v>
      </c>
    </row>
    <row r="23" spans="1:4" s="343" customFormat="1" ht="30" customHeight="1">
      <c r="A23" s="332" t="s">
        <v>742</v>
      </c>
      <c r="B23" s="302"/>
      <c r="C23" s="301" t="s">
        <v>712</v>
      </c>
      <c r="D23" s="302" t="s">
        <v>706</v>
      </c>
    </row>
    <row r="24" spans="1:4" ht="25.05" customHeight="1">
      <c r="A24" s="303" t="s">
        <v>742</v>
      </c>
      <c r="B24" s="302"/>
      <c r="C24" s="301" t="s">
        <v>712</v>
      </c>
      <c r="D24" s="302"/>
    </row>
    <row r="25" spans="1:4" ht="25.05" customHeight="1">
      <c r="A25" s="303" t="s">
        <v>742</v>
      </c>
      <c r="B25" s="302" t="s">
        <v>38</v>
      </c>
      <c r="C25" s="301" t="s">
        <v>712</v>
      </c>
      <c r="D25" s="302"/>
    </row>
    <row r="26" spans="1:4" ht="27.6">
      <c r="A26" s="303" t="s">
        <v>742</v>
      </c>
      <c r="B26" s="302"/>
      <c r="C26" s="301" t="s">
        <v>712</v>
      </c>
      <c r="D26" s="302" t="s">
        <v>663</v>
      </c>
    </row>
    <row r="27" spans="1:4" ht="25.05" customHeight="1">
      <c r="A27" s="303" t="s">
        <v>742</v>
      </c>
      <c r="B27" s="302" t="s">
        <v>657</v>
      </c>
      <c r="C27" s="301" t="s">
        <v>712</v>
      </c>
      <c r="D27" s="302"/>
    </row>
    <row r="28" spans="1:4" ht="25.05" customHeight="1">
      <c r="A28" s="303" t="s">
        <v>742</v>
      </c>
      <c r="B28" s="302"/>
      <c r="C28" s="301" t="s">
        <v>712</v>
      </c>
      <c r="D28" s="302" t="s">
        <v>660</v>
      </c>
    </row>
    <row r="29" spans="1:4" s="343" customFormat="1" ht="25.05" customHeight="1">
      <c r="A29" s="347"/>
      <c r="B29" s="345"/>
      <c r="C29" s="346"/>
      <c r="D29" s="345"/>
    </row>
    <row r="30" spans="1:4" s="343" customFormat="1" ht="30" customHeight="1">
      <c r="A30" s="341" t="s">
        <v>715</v>
      </c>
      <c r="B30" s="345"/>
      <c r="C30" s="346"/>
      <c r="D30" s="345"/>
    </row>
    <row r="31" spans="1:4" s="343" customFormat="1" ht="25.05" customHeight="1">
      <c r="A31" s="303" t="s">
        <v>743</v>
      </c>
      <c r="B31" s="302" t="s">
        <v>0</v>
      </c>
      <c r="C31" s="301" t="s">
        <v>712</v>
      </c>
      <c r="D31" s="302"/>
    </row>
    <row r="32" spans="1:4" s="343" customFormat="1" ht="25.05" customHeight="1">
      <c r="A32" s="332" t="s">
        <v>743</v>
      </c>
      <c r="B32" s="302" t="s">
        <v>26</v>
      </c>
      <c r="C32" s="301" t="s">
        <v>712</v>
      </c>
      <c r="D32" s="302"/>
    </row>
    <row r="33" spans="1:4" ht="25.05" customHeight="1">
      <c r="A33" s="303" t="s">
        <v>743</v>
      </c>
      <c r="B33" s="302" t="s">
        <v>5</v>
      </c>
      <c r="C33" s="301" t="s">
        <v>712</v>
      </c>
      <c r="D33" s="302"/>
    </row>
    <row r="34" spans="1:4" ht="25.05" customHeight="1">
      <c r="A34" s="303" t="s">
        <v>743</v>
      </c>
      <c r="B34" s="302"/>
      <c r="C34" s="301" t="s">
        <v>712</v>
      </c>
      <c r="D34" s="302" t="s">
        <v>218</v>
      </c>
    </row>
    <row r="35" spans="1:4" ht="25.05" customHeight="1">
      <c r="A35" s="303" t="s">
        <v>743</v>
      </c>
      <c r="B35" s="302"/>
      <c r="C35" s="301" t="s">
        <v>712</v>
      </c>
      <c r="D35" s="302" t="s">
        <v>219</v>
      </c>
    </row>
    <row r="36" spans="1:4" ht="27.6">
      <c r="A36" s="303" t="s">
        <v>743</v>
      </c>
      <c r="B36" s="302"/>
      <c r="C36" s="301" t="s">
        <v>712</v>
      </c>
      <c r="D36" s="302" t="s">
        <v>221</v>
      </c>
    </row>
    <row r="37" spans="1:4" s="343" customFormat="1" ht="25.05" customHeight="1">
      <c r="A37" s="303" t="s">
        <v>743</v>
      </c>
      <c r="B37" s="302" t="s">
        <v>69</v>
      </c>
      <c r="C37" s="301" t="s">
        <v>712</v>
      </c>
      <c r="D37" s="302"/>
    </row>
    <row r="38" spans="1:4" s="343" customFormat="1" ht="30" customHeight="1">
      <c r="A38" s="357"/>
      <c r="B38" s="345"/>
      <c r="C38" s="346"/>
      <c r="D38" s="345"/>
    </row>
    <row r="39" spans="1:4" s="343" customFormat="1" ht="30" customHeight="1">
      <c r="A39" s="341" t="s">
        <v>716</v>
      </c>
      <c r="B39" s="345"/>
      <c r="C39" s="346"/>
      <c r="D39" s="345"/>
    </row>
    <row r="40" spans="1:4" ht="25.05" customHeight="1">
      <c r="A40" s="303" t="s">
        <v>748</v>
      </c>
      <c r="B40" s="302" t="s">
        <v>0</v>
      </c>
      <c r="C40" s="301" t="s">
        <v>712</v>
      </c>
      <c r="D40" s="302"/>
    </row>
    <row r="41" spans="1:4" ht="25.05" customHeight="1">
      <c r="A41" s="332" t="s">
        <v>748</v>
      </c>
      <c r="B41" s="302" t="s">
        <v>13</v>
      </c>
      <c r="C41" s="301" t="s">
        <v>712</v>
      </c>
      <c r="D41" s="302"/>
    </row>
    <row r="42" spans="1:4" s="343" customFormat="1" ht="25.05" customHeight="1">
      <c r="A42" s="303" t="s">
        <v>748</v>
      </c>
      <c r="B42" s="302" t="s">
        <v>695</v>
      </c>
      <c r="C42" s="301" t="s">
        <v>771</v>
      </c>
      <c r="D42" s="302" t="s">
        <v>696</v>
      </c>
    </row>
    <row r="43" spans="1:4" s="343" customFormat="1" ht="30" customHeight="1">
      <c r="A43" s="357"/>
      <c r="B43" s="345"/>
      <c r="C43" s="346"/>
      <c r="D43" s="345"/>
    </row>
    <row r="44" spans="1:4" s="343" customFormat="1" ht="30" customHeight="1">
      <c r="A44" s="341" t="s">
        <v>717</v>
      </c>
      <c r="B44" s="345"/>
      <c r="C44" s="346"/>
      <c r="D44" s="345"/>
    </row>
    <row r="45" spans="1:4" ht="25.05" customHeight="1">
      <c r="A45" s="303" t="s">
        <v>740</v>
      </c>
      <c r="B45" s="302" t="s">
        <v>0</v>
      </c>
      <c r="C45" s="301" t="s">
        <v>712</v>
      </c>
      <c r="D45" s="302" t="s">
        <v>34</v>
      </c>
    </row>
    <row r="46" spans="1:4" ht="25.05" customHeight="1">
      <c r="A46" s="332" t="s">
        <v>740</v>
      </c>
      <c r="B46" s="302" t="s">
        <v>35</v>
      </c>
      <c r="C46" s="301" t="s">
        <v>712</v>
      </c>
      <c r="D46" s="302"/>
    </row>
    <row r="47" spans="1:4" s="343" customFormat="1" ht="25.05" customHeight="1">
      <c r="A47" s="303" t="s">
        <v>740</v>
      </c>
      <c r="B47" s="302" t="s">
        <v>1</v>
      </c>
      <c r="C47" s="301" t="s">
        <v>712</v>
      </c>
      <c r="D47" s="302"/>
    </row>
    <row r="48" spans="1:4" s="343" customFormat="1" ht="25.05" customHeight="1">
      <c r="A48" s="332" t="s">
        <v>740</v>
      </c>
      <c r="B48" s="302" t="s">
        <v>40</v>
      </c>
      <c r="C48" s="301" t="s">
        <v>712</v>
      </c>
      <c r="D48" s="302"/>
    </row>
    <row r="49" spans="1:4" s="343" customFormat="1" ht="25.05" customHeight="1">
      <c r="A49" s="303" t="s">
        <v>740</v>
      </c>
      <c r="B49" s="302" t="s">
        <v>41</v>
      </c>
      <c r="C49" s="301" t="s">
        <v>712</v>
      </c>
      <c r="D49" s="302"/>
    </row>
    <row r="50" spans="1:4" s="343" customFormat="1" ht="27.6">
      <c r="A50" s="332" t="s">
        <v>740</v>
      </c>
      <c r="B50" s="302" t="s">
        <v>768</v>
      </c>
      <c r="C50" s="301" t="s">
        <v>712</v>
      </c>
      <c r="D50" s="302" t="s">
        <v>635</v>
      </c>
    </row>
    <row r="51" spans="1:4" ht="25.05" customHeight="1">
      <c r="A51" s="332" t="s">
        <v>740</v>
      </c>
      <c r="B51" s="302"/>
      <c r="C51" s="301" t="s">
        <v>712</v>
      </c>
      <c r="D51" s="302" t="s">
        <v>636</v>
      </c>
    </row>
    <row r="52" spans="1:4" ht="25.05" customHeight="1">
      <c r="A52" s="303" t="s">
        <v>740</v>
      </c>
      <c r="B52" s="302"/>
      <c r="C52" s="301" t="s">
        <v>712</v>
      </c>
      <c r="D52" s="302" t="s">
        <v>769</v>
      </c>
    </row>
    <row r="53" spans="1:4" ht="30" customHeight="1">
      <c r="A53" s="332" t="s">
        <v>740</v>
      </c>
      <c r="B53" s="302"/>
      <c r="C53" s="301" t="s">
        <v>712</v>
      </c>
      <c r="D53" s="302" t="s">
        <v>637</v>
      </c>
    </row>
    <row r="54" spans="1:4" ht="25.05" customHeight="1">
      <c r="A54" s="303" t="s">
        <v>740</v>
      </c>
      <c r="B54" s="302"/>
      <c r="C54" s="301" t="s">
        <v>712</v>
      </c>
      <c r="D54" s="302" t="s">
        <v>640</v>
      </c>
    </row>
    <row r="55" spans="1:4" ht="25.05" customHeight="1">
      <c r="A55" s="303" t="s">
        <v>740</v>
      </c>
      <c r="B55" s="302" t="s">
        <v>5</v>
      </c>
      <c r="C55" s="301" t="s">
        <v>712</v>
      </c>
      <c r="D55" s="302" t="s">
        <v>37</v>
      </c>
    </row>
    <row r="56" spans="1:4" ht="25.05" customHeight="1">
      <c r="A56" s="303" t="s">
        <v>740</v>
      </c>
      <c r="B56" s="302" t="s">
        <v>36</v>
      </c>
      <c r="C56" s="301" t="s">
        <v>712</v>
      </c>
      <c r="D56" s="302"/>
    </row>
    <row r="57" spans="1:4" s="343" customFormat="1" ht="25.05" customHeight="1">
      <c r="A57" s="303" t="s">
        <v>740</v>
      </c>
      <c r="B57" s="302" t="s">
        <v>778</v>
      </c>
      <c r="C57" s="300" t="s">
        <v>771</v>
      </c>
      <c r="D57" s="302" t="s">
        <v>776</v>
      </c>
    </row>
    <row r="58" spans="1:4" s="343" customFormat="1" ht="30" customHeight="1">
      <c r="A58" s="356"/>
    </row>
    <row r="59" spans="1:4" s="343" customFormat="1" ht="30" customHeight="1">
      <c r="A59" s="341" t="s">
        <v>718</v>
      </c>
      <c r="B59" s="345"/>
      <c r="C59" s="346"/>
      <c r="D59" s="345"/>
    </row>
    <row r="60" spans="1:4" ht="25.05" customHeight="1">
      <c r="A60" s="303" t="s">
        <v>746</v>
      </c>
      <c r="B60" s="302" t="s">
        <v>39</v>
      </c>
      <c r="C60" s="301" t="s">
        <v>712</v>
      </c>
      <c r="D60" s="302"/>
    </row>
    <row r="61" spans="1:4" ht="25.05" customHeight="1">
      <c r="A61" s="303" t="s">
        <v>746</v>
      </c>
      <c r="B61" s="302" t="s">
        <v>45</v>
      </c>
      <c r="C61" s="301" t="s">
        <v>712</v>
      </c>
      <c r="D61" s="302"/>
    </row>
    <row r="62" spans="1:4" ht="25.05" customHeight="1">
      <c r="A62" s="303" t="s">
        <v>746</v>
      </c>
      <c r="B62" s="302" t="s">
        <v>24</v>
      </c>
      <c r="C62" s="301" t="s">
        <v>712</v>
      </c>
      <c r="D62" s="302"/>
    </row>
    <row r="63" spans="1:4" ht="27.6">
      <c r="A63" s="303" t="s">
        <v>746</v>
      </c>
      <c r="B63" s="302" t="s">
        <v>46</v>
      </c>
      <c r="C63" s="301" t="s">
        <v>712</v>
      </c>
      <c r="D63" s="302"/>
    </row>
    <row r="64" spans="1:4" ht="25.05" customHeight="1">
      <c r="A64" s="303" t="s">
        <v>746</v>
      </c>
      <c r="B64" s="302" t="s">
        <v>4</v>
      </c>
      <c r="C64" s="301" t="s">
        <v>712</v>
      </c>
      <c r="D64" s="302"/>
    </row>
    <row r="65" spans="1:4" ht="27.6">
      <c r="A65" s="303" t="s">
        <v>746</v>
      </c>
      <c r="B65" s="302" t="s">
        <v>33</v>
      </c>
      <c r="C65" s="301" t="s">
        <v>712</v>
      </c>
      <c r="D65" s="302"/>
    </row>
    <row r="66" spans="1:4" ht="25.05" customHeight="1">
      <c r="A66" s="303" t="s">
        <v>746</v>
      </c>
      <c r="B66" s="302" t="s">
        <v>141</v>
      </c>
      <c r="C66" s="301" t="s">
        <v>712</v>
      </c>
      <c r="D66" s="302"/>
    </row>
    <row r="67" spans="1:4" ht="96.6">
      <c r="A67" s="303" t="s">
        <v>746</v>
      </c>
      <c r="B67" s="302" t="s">
        <v>751</v>
      </c>
      <c r="C67" s="300" t="s">
        <v>771</v>
      </c>
      <c r="D67" s="302" t="s">
        <v>48</v>
      </c>
    </row>
    <row r="68" spans="1:4" s="343" customFormat="1" ht="69">
      <c r="A68" s="303" t="s">
        <v>746</v>
      </c>
      <c r="B68" s="302" t="s">
        <v>738</v>
      </c>
      <c r="C68" s="300" t="s">
        <v>771</v>
      </c>
      <c r="D68" s="302" t="s">
        <v>739</v>
      </c>
    </row>
    <row r="69" spans="1:4" s="343" customFormat="1" ht="30" customHeight="1">
      <c r="A69" s="356"/>
    </row>
    <row r="70" spans="1:4" s="343" customFormat="1" ht="30" customHeight="1">
      <c r="A70" s="341" t="s">
        <v>719</v>
      </c>
      <c r="B70" s="345"/>
      <c r="C70" s="346"/>
      <c r="D70" s="345"/>
    </row>
    <row r="71" spans="1:4" ht="25.05" customHeight="1">
      <c r="A71" s="303" t="s">
        <v>741</v>
      </c>
      <c r="B71" s="302" t="s">
        <v>733</v>
      </c>
      <c r="C71" s="301" t="s">
        <v>712</v>
      </c>
      <c r="D71" s="302"/>
    </row>
    <row r="72" spans="1:4" ht="25.05" customHeight="1">
      <c r="A72" s="303" t="s">
        <v>741</v>
      </c>
      <c r="B72" s="302"/>
      <c r="C72" s="301" t="s">
        <v>712</v>
      </c>
      <c r="D72" s="302"/>
    </row>
    <row r="73" spans="1:4" ht="25.05" customHeight="1">
      <c r="A73" s="303" t="s">
        <v>741</v>
      </c>
      <c r="B73" s="302" t="s">
        <v>3</v>
      </c>
      <c r="C73" s="301" t="s">
        <v>712</v>
      </c>
      <c r="D73" s="302"/>
    </row>
    <row r="74" spans="1:4" ht="25.05" customHeight="1">
      <c r="A74" s="303" t="s">
        <v>741</v>
      </c>
      <c r="B74" s="302" t="s">
        <v>2</v>
      </c>
      <c r="C74" s="301" t="s">
        <v>712</v>
      </c>
      <c r="D74" s="302" t="s">
        <v>9</v>
      </c>
    </row>
    <row r="75" spans="1:4" ht="25.05" customHeight="1">
      <c r="A75" s="303" t="s">
        <v>741</v>
      </c>
      <c r="B75" s="302" t="s">
        <v>42</v>
      </c>
      <c r="C75" s="301" t="s">
        <v>712</v>
      </c>
      <c r="D75" s="302"/>
    </row>
    <row r="76" spans="1:4" ht="25.05" customHeight="1">
      <c r="A76" s="303" t="s">
        <v>741</v>
      </c>
      <c r="B76" s="302" t="s">
        <v>21</v>
      </c>
      <c r="C76" s="301" t="s">
        <v>712</v>
      </c>
      <c r="D76" s="302"/>
    </row>
    <row r="77" spans="1:4" ht="25.05" customHeight="1">
      <c r="A77" s="303" t="s">
        <v>741</v>
      </c>
      <c r="B77" s="302"/>
      <c r="C77" s="301" t="s">
        <v>712</v>
      </c>
      <c r="D77" s="302"/>
    </row>
    <row r="78" spans="1:4" ht="25.05" customHeight="1">
      <c r="A78" s="303" t="s">
        <v>741</v>
      </c>
      <c r="B78" s="302" t="s">
        <v>750</v>
      </c>
      <c r="C78" s="301" t="s">
        <v>712</v>
      </c>
      <c r="D78" s="302" t="s">
        <v>216</v>
      </c>
    </row>
    <row r="79" spans="1:4" s="343" customFormat="1" ht="30" customHeight="1">
      <c r="A79" s="303" t="s">
        <v>741</v>
      </c>
      <c r="B79" s="302"/>
      <c r="C79" s="301" t="s">
        <v>712</v>
      </c>
      <c r="D79" s="302"/>
    </row>
    <row r="80" spans="1:4" s="343" customFormat="1" ht="30" customHeight="1">
      <c r="A80" s="356"/>
    </row>
    <row r="81" spans="1:4" s="343" customFormat="1" ht="30" customHeight="1">
      <c r="A81" s="341" t="s">
        <v>720</v>
      </c>
      <c r="B81" s="345"/>
      <c r="C81" s="346"/>
      <c r="D81" s="345"/>
    </row>
    <row r="82" spans="1:4" ht="25.05" customHeight="1">
      <c r="A82" s="303" t="s">
        <v>744</v>
      </c>
      <c r="B82" s="302" t="s">
        <v>10</v>
      </c>
      <c r="C82" s="301" t="s">
        <v>712</v>
      </c>
      <c r="D82" s="302" t="s">
        <v>9</v>
      </c>
    </row>
    <row r="83" spans="1:4" ht="25.05" customHeight="1">
      <c r="A83" s="303" t="s">
        <v>744</v>
      </c>
      <c r="B83" s="302" t="s">
        <v>25</v>
      </c>
      <c r="C83" s="301" t="s">
        <v>712</v>
      </c>
      <c r="D83" s="302" t="s">
        <v>16</v>
      </c>
    </row>
    <row r="84" spans="1:4" ht="25.05" customHeight="1">
      <c r="A84" s="303" t="s">
        <v>744</v>
      </c>
      <c r="B84" s="302" t="s">
        <v>12</v>
      </c>
      <c r="C84" s="301" t="s">
        <v>712</v>
      </c>
      <c r="D84" s="302"/>
    </row>
    <row r="85" spans="1:4" ht="25.05" customHeight="1">
      <c r="A85" s="303" t="s">
        <v>744</v>
      </c>
      <c r="B85" s="302" t="s">
        <v>20</v>
      </c>
      <c r="C85" s="301" t="s">
        <v>712</v>
      </c>
      <c r="D85" s="302"/>
    </row>
    <row r="86" spans="1:4" s="343" customFormat="1" ht="30" customHeight="1">
      <c r="A86" s="303" t="s">
        <v>744</v>
      </c>
      <c r="B86" s="302"/>
      <c r="C86" s="301" t="s">
        <v>712</v>
      </c>
      <c r="D86" s="302"/>
    </row>
    <row r="87" spans="1:4" s="343" customFormat="1" ht="30" customHeight="1">
      <c r="A87" s="356"/>
    </row>
    <row r="88" spans="1:4" s="343" customFormat="1" ht="30" customHeight="1">
      <c r="A88" s="340" t="s">
        <v>721</v>
      </c>
    </row>
    <row r="89" spans="1:4" s="343" customFormat="1" ht="30" customHeight="1">
      <c r="A89" s="356"/>
    </row>
    <row r="90" spans="1:4" s="343" customFormat="1" ht="30" customHeight="1">
      <c r="A90" s="341" t="s">
        <v>722</v>
      </c>
      <c r="B90" s="345"/>
      <c r="C90" s="346"/>
      <c r="D90" s="345"/>
    </row>
    <row r="91" spans="1:4" ht="25.05" customHeight="1">
      <c r="A91" s="303" t="s">
        <v>747</v>
      </c>
      <c r="B91" s="302" t="s">
        <v>19</v>
      </c>
      <c r="C91" s="301" t="s">
        <v>712</v>
      </c>
      <c r="D91" s="302" t="s">
        <v>29</v>
      </c>
    </row>
    <row r="92" spans="1:4" ht="25.05" customHeight="1">
      <c r="A92" s="303" t="s">
        <v>747</v>
      </c>
      <c r="B92" s="302" t="s">
        <v>18</v>
      </c>
      <c r="C92" s="301" t="s">
        <v>712</v>
      </c>
      <c r="D92" s="302"/>
    </row>
    <row r="93" spans="1:4" ht="25.05" customHeight="1">
      <c r="A93" s="303" t="s">
        <v>747</v>
      </c>
      <c r="B93" s="302" t="s">
        <v>17</v>
      </c>
      <c r="C93" s="301" t="s">
        <v>712</v>
      </c>
      <c r="D93" s="302"/>
    </row>
    <row r="94" spans="1:4" ht="30" customHeight="1"/>
    <row r="95" spans="1:4" ht="30" customHeight="1"/>
    <row r="96" spans="1:4" ht="30" customHeight="1"/>
    <row r="97" ht="30" customHeight="1"/>
    <row r="98" ht="38.1" customHeight="1"/>
    <row r="99" ht="25.05" customHeight="1"/>
    <row r="100" ht="25.05" customHeight="1"/>
    <row r="101" ht="25.05" customHeight="1"/>
    <row r="102" ht="20.100000000000001" customHeight="1"/>
    <row r="103" ht="30" customHeight="1"/>
    <row r="104" ht="36.6" customHeight="1"/>
    <row r="105" ht="19.95" customHeight="1"/>
    <row r="106" ht="30" customHeight="1"/>
    <row r="107" ht="36.6" customHeight="1"/>
    <row r="108" ht="19.95" customHeight="1"/>
    <row r="109" ht="30" customHeight="1"/>
    <row r="110" ht="36.6" customHeight="1"/>
    <row r="111" ht="19.95" customHeight="1"/>
    <row r="112" ht="13.8"/>
    <row r="113" ht="38.1" customHeight="1"/>
    <row r="114" ht="19.95" customHeight="1"/>
    <row r="115" ht="19.95" customHeight="1"/>
    <row r="116" ht="36.6" customHeight="1"/>
    <row r="117" ht="36.6" customHeight="1"/>
    <row r="118" ht="36.6" customHeight="1"/>
    <row r="119" ht="53.1" customHeight="1"/>
    <row r="120" ht="19.95" customHeight="1"/>
    <row r="121" ht="19.95" customHeight="1"/>
    <row r="122" ht="36.6" customHeight="1"/>
    <row r="123" ht="19.95" customHeight="1"/>
    <row r="124" ht="19.95" customHeight="1"/>
    <row r="125" ht="13.8"/>
    <row r="126" ht="30" customHeight="1"/>
    <row r="127" ht="19.95" customHeight="1"/>
    <row r="128" ht="36.6" customHeight="1"/>
    <row r="129" ht="19.95" customHeight="1"/>
    <row r="130" ht="13.8"/>
    <row r="131" ht="36.6" customHeight="1"/>
    <row r="132" ht="19.95" customHeight="1"/>
    <row r="133" ht="19.95" customHeight="1"/>
    <row r="134" ht="36.6" customHeight="1"/>
    <row r="135" ht="19.95" customHeight="1"/>
    <row r="136" ht="19.95" customHeight="1"/>
    <row r="137" ht="38.1" customHeight="1"/>
    <row r="138" ht="19.95" customHeight="1"/>
    <row r="139" ht="19.95" customHeight="1"/>
    <row r="140" ht="38.1" customHeight="1"/>
    <row r="141" ht="19.95" customHeight="1"/>
    <row r="142" ht="19.95" customHeight="1"/>
    <row r="143" ht="38.1" customHeight="1"/>
    <row r="144" ht="19.95" customHeight="1"/>
    <row r="145" ht="19.95" customHeight="1"/>
    <row r="146" ht="36.6" customHeight="1"/>
    <row r="147" ht="19.95" customHeight="1"/>
    <row r="148" ht="19.95" customHeight="1"/>
    <row r="149" ht="113.1" customHeight="1"/>
    <row r="150" ht="19.95" customHeight="1"/>
    <row r="151" ht="19.95" customHeight="1"/>
    <row r="152" ht="83.1" customHeight="1"/>
    <row r="153" ht="19.95" customHeight="1"/>
    <row r="154" ht="19.95" customHeight="1"/>
    <row r="155" ht="19.95" customHeight="1"/>
    <row r="156" ht="30" customHeight="1"/>
    <row r="157" ht="13.8"/>
    <row r="158" ht="36.6" customHeight="1"/>
    <row r="159" ht="19.95" customHeight="1"/>
    <row r="160" ht="13.8"/>
    <row r="161" ht="36.6" customHeight="1"/>
    <row r="162" ht="36.6" customHeight="1"/>
    <row r="163" ht="13.8"/>
    <row r="164" ht="19.95" customHeight="1"/>
    <row r="165" ht="36.6" customHeight="1"/>
    <row r="166" ht="19.95" customHeight="1"/>
    <row r="167" ht="19.95" customHeight="1"/>
    <row r="168" ht="36.6" customHeight="1"/>
    <row r="169" ht="19.95" customHeight="1"/>
    <row r="170" ht="13.8"/>
    <row r="171" ht="36.6" customHeight="1"/>
    <row r="172" ht="13.8"/>
    <row r="173" ht="13.8"/>
    <row r="174" ht="36.6" customHeight="1"/>
    <row r="175" ht="38.1" customHeight="1"/>
    <row r="176" ht="19.95" customHeight="1"/>
    <row r="177" ht="19.95" customHeight="1"/>
    <row r="178" ht="36.6" customHeight="1"/>
    <row r="179" ht="19.95" customHeight="1"/>
    <row r="180" ht="30" customHeight="1"/>
    <row r="181" ht="19.95" customHeight="1"/>
    <row r="182" ht="36.6" customHeight="1"/>
    <row r="183" ht="19.95" customHeight="1"/>
    <row r="184" ht="19.95" customHeight="1"/>
    <row r="185" ht="36.6" customHeight="1"/>
    <row r="186" ht="19.95" customHeight="1"/>
    <row r="187" ht="19.95" customHeight="1"/>
    <row r="188" ht="36.6" customHeight="1"/>
    <row r="189" ht="19.95" customHeight="1"/>
    <row r="190" ht="19.95" customHeight="1"/>
    <row r="191" ht="36.6" customHeight="1"/>
    <row r="192" ht="19.95" customHeight="1"/>
    <row r="193" ht="19.95" customHeight="1"/>
    <row r="194" ht="36.6" customHeight="1"/>
    <row r="195" ht="19.95" customHeight="1"/>
    <row r="196" ht="30" customHeight="1"/>
    <row r="197" ht="19.95" customHeight="1"/>
    <row r="198" ht="19.95" customHeight="1"/>
    <row r="199" ht="30" customHeight="1"/>
    <row r="200" ht="19.95" customHeight="1"/>
    <row r="201" ht="38.1" customHeight="1"/>
    <row r="202" ht="19.95" customHeight="1"/>
    <row r="203" ht="19.95" customHeight="1"/>
    <row r="204" ht="36.6" customHeight="1"/>
    <row r="205" ht="19.95" customHeight="1"/>
    <row r="206" ht="19.95" customHeight="1"/>
    <row r="207" ht="36.6" customHeight="1"/>
    <row r="208" ht="19.95" customHeight="1"/>
    <row r="209" ht="19.95" customHeight="1"/>
    <row r="210" ht="19.95" customHeight="1"/>
    <row r="211" ht="30" customHeight="1"/>
    <row r="212" ht="19.95" customHeight="1"/>
    <row r="213" ht="19.95" customHeight="1"/>
    <row r="214" ht="30" customHeight="1"/>
    <row r="215" ht="19.95" customHeight="1"/>
    <row r="216" ht="19.95" customHeight="1"/>
    <row r="217" ht="30" customHeight="1"/>
    <row r="218" ht="19.95" customHeight="1"/>
    <row r="219" ht="19.95" customHeight="1"/>
    <row r="220" ht="19.95" customHeight="1"/>
    <row r="221" ht="19.95" customHeight="1"/>
    <row r="222" ht="19.95" customHeight="1"/>
    <row r="223" ht="19.95" customHeight="1"/>
    <row r="224" ht="19.95" customHeight="1"/>
    <row r="225" ht="19.95" customHeight="1"/>
    <row r="226" ht="19.95" customHeight="1"/>
    <row r="227" ht="19.95" customHeight="1"/>
    <row r="228" ht="19.95" customHeight="1"/>
    <row r="229" ht="19.95" customHeight="1"/>
    <row r="230" ht="19.95" customHeight="1"/>
    <row r="231" ht="19.95" customHeight="1"/>
    <row r="232" ht="19.95" customHeight="1"/>
    <row r="233" ht="19.95" customHeight="1"/>
    <row r="234" ht="19.95" customHeight="1"/>
    <row r="235" ht="19.95" customHeight="1"/>
    <row r="236" ht="19.95" customHeight="1"/>
    <row r="237" ht="13.8"/>
    <row r="238" ht="13.8"/>
    <row r="239" ht="13.8"/>
    <row r="240" ht="19.95" customHeight="1"/>
    <row r="241" ht="19.95" customHeight="1"/>
    <row r="242" ht="19.95" customHeight="1"/>
    <row r="243" ht="19.95" customHeight="1"/>
    <row r="244" ht="19.95" customHeight="1"/>
    <row r="245" ht="19.95" customHeight="1"/>
    <row r="246" ht="19.95" customHeight="1"/>
    <row r="247" ht="19.95" customHeight="1"/>
    <row r="248" ht="19.95" customHeight="1"/>
    <row r="249" ht="19.95" customHeight="1"/>
    <row r="250" ht="19.95" customHeight="1"/>
    <row r="251" ht="19.95" customHeight="1"/>
    <row r="252" ht="19.95" customHeight="1"/>
    <row r="253" ht="19.95" customHeight="1"/>
    <row r="254" ht="13.8"/>
    <row r="255" ht="19.95" customHeight="1"/>
    <row r="256" ht="13.8"/>
    <row r="257" ht="19.95" customHeight="1"/>
    <row r="258" ht="19.95" customHeight="1"/>
    <row r="259" ht="19.95" customHeight="1"/>
    <row r="260" ht="19.95" customHeight="1"/>
    <row r="261" ht="13.8"/>
    <row r="262" ht="19.95" customHeight="1"/>
    <row r="263" ht="19.95" customHeight="1"/>
    <row r="264" ht="19.95" customHeight="1"/>
    <row r="265" ht="19.95" customHeight="1"/>
    <row r="266" ht="19.95" customHeight="1"/>
    <row r="267" ht="19.95" customHeight="1"/>
    <row r="268" ht="19.95" customHeight="1"/>
    <row r="269" ht="19.95" customHeight="1"/>
    <row r="270" ht="19.95" customHeight="1"/>
    <row r="271" ht="19.95" customHeight="1"/>
    <row r="272" ht="19.95" customHeight="1"/>
    <row r="273" ht="19.95" customHeight="1"/>
    <row r="274" ht="19.95" customHeight="1"/>
    <row r="275" ht="19.95" customHeight="1"/>
    <row r="276" ht="19.95" customHeight="1"/>
    <row r="277" ht="19.95" customHeight="1"/>
    <row r="278" ht="19.95" customHeight="1"/>
    <row r="279" ht="19.95" customHeight="1"/>
    <row r="280" ht="19.95" customHeight="1"/>
    <row r="281" ht="19.95" customHeight="1"/>
    <row r="282" ht="19.95" customHeight="1"/>
    <row r="283" ht="19.95" customHeight="1"/>
    <row r="284" ht="19.95" customHeight="1"/>
    <row r="285" ht="19.95" customHeight="1"/>
    <row r="286" ht="19.95" customHeight="1"/>
    <row r="287" ht="19.95" customHeight="1"/>
    <row r="288" ht="19.95" customHeight="1"/>
    <row r="289" ht="13.8"/>
    <row r="290" ht="19.95" customHeight="1"/>
    <row r="291" ht="19.95" customHeight="1"/>
    <row r="292" ht="19.95" customHeight="1"/>
    <row r="293" ht="19.95" customHeight="1"/>
    <row r="294" ht="19.95" customHeight="1"/>
    <row r="295" ht="19.95" customHeight="1"/>
    <row r="296" ht="19.95" customHeight="1"/>
    <row r="297" ht="19.95" customHeight="1"/>
    <row r="298" ht="19.95" customHeight="1"/>
    <row r="299" ht="19.95" customHeight="1"/>
    <row r="300" ht="19.95" customHeight="1"/>
    <row r="301" ht="19.95" customHeight="1"/>
    <row r="302" ht="19.95" customHeight="1"/>
    <row r="303" ht="19.95" customHeight="1"/>
    <row r="304" ht="19.95" customHeight="1"/>
    <row r="305" ht="19.95" customHeight="1"/>
    <row r="306" ht="20.100000000000001" customHeight="1"/>
    <row r="307" ht="20.100000000000001" customHeight="1"/>
    <row r="308" ht="20.100000000000001" customHeight="1"/>
    <row r="309" ht="20.100000000000001" customHeight="1"/>
    <row r="310" ht="20.100000000000001" customHeight="1"/>
    <row r="311" ht="20.100000000000001" customHeight="1"/>
    <row r="312" ht="20.100000000000001" customHeight="1"/>
    <row r="313" ht="20.100000000000001" customHeight="1"/>
    <row r="314" ht="20.100000000000001" customHeight="1"/>
    <row r="315" ht="20.100000000000001" customHeight="1"/>
    <row r="316" ht="20.100000000000001" customHeight="1"/>
    <row r="317" ht="20.100000000000001" customHeight="1"/>
    <row r="318" ht="20.100000000000001" customHeight="1"/>
  </sheetData>
  <hyperlinks>
    <hyperlink ref="C4" r:id="rId1" xr:uid="{CBAEE11F-6E7A-4423-986A-B9F777506344}"/>
    <hyperlink ref="C5" r:id="rId2" xr:uid="{B854C726-2012-475B-8018-4F7F449F1813}"/>
    <hyperlink ref="C6" r:id="rId3" xr:uid="{796493D0-3DD1-45DC-83A5-B682E1243774}"/>
    <hyperlink ref="C7" r:id="rId4" xr:uid="{3F5CA7B8-3829-48A1-9D61-6AF2E6B3AF5B}"/>
    <hyperlink ref="C8" r:id="rId5" xr:uid="{A6BD57A1-6BA1-4C7E-AE4E-0C88144A571A}"/>
    <hyperlink ref="C9" r:id="rId6" xr:uid="{ACA9CD14-97D3-4454-BE6E-65F1CE1D5E26}"/>
    <hyperlink ref="C10" r:id="rId7" xr:uid="{86019F5F-E9E7-40F1-B4A3-C8A499F7C290}"/>
    <hyperlink ref="C11" r:id="rId8" xr:uid="{9465A59E-5597-4694-B43E-92E5691CD407}"/>
    <hyperlink ref="C12" r:id="rId9" xr:uid="{201976A4-F060-440B-83F1-DAF0C4274AA2}"/>
    <hyperlink ref="C15" r:id="rId10" xr:uid="{9FDCF9B9-A1E5-429F-BE12-976B6DC904AE}"/>
    <hyperlink ref="C16" r:id="rId11" xr:uid="{BABF085A-489E-464B-BFA2-C3E54FD0E6A8}"/>
    <hyperlink ref="C17" r:id="rId12" xr:uid="{F3532FC5-11DA-4D71-BDE0-5A040F807022}"/>
    <hyperlink ref="C18" r:id="rId13" xr:uid="{8ECE99A5-6146-4569-A224-9A8369990F26}"/>
    <hyperlink ref="C19" r:id="rId14" xr:uid="{4EAF0168-D77E-40AC-96BD-6203E6224715}"/>
    <hyperlink ref="C20" r:id="rId15" xr:uid="{9B5B4D9A-6906-40E8-9FE0-CE1D1B94D1C1}"/>
    <hyperlink ref="C22" r:id="rId16" xr:uid="{F0BA1D15-8EE1-467F-9A73-36CD96085466}"/>
    <hyperlink ref="C23" r:id="rId17" xr:uid="{22D64F20-4767-4A16-B870-5705A62DB59E}"/>
    <hyperlink ref="C24" r:id="rId18" xr:uid="{25FAF8DE-E83B-43D7-B54F-1FA66229B59F}"/>
    <hyperlink ref="C25" r:id="rId19" xr:uid="{13AF10F6-C3B1-42F8-9A76-07478AF050E0}"/>
    <hyperlink ref="C26" r:id="rId20" xr:uid="{FFCE114F-4F23-4B10-8984-55F664D1D529}"/>
    <hyperlink ref="C27" r:id="rId21" xr:uid="{86FFD494-4169-470F-B947-8BAB1D19A96F}"/>
    <hyperlink ref="C28" r:id="rId22" xr:uid="{0F83D882-A6E4-4B47-86DD-4C0B3E28AD18}"/>
    <hyperlink ref="C31" r:id="rId23" xr:uid="{86478EB0-FC50-48CB-9AD2-D0FFA22A2312}"/>
    <hyperlink ref="C32" r:id="rId24" xr:uid="{6C1B9E97-FEDA-4E19-9E4F-4CA46C9D36E8}"/>
    <hyperlink ref="C33" r:id="rId25" xr:uid="{789C5885-A192-4E41-9C14-E0F5B732E542}"/>
    <hyperlink ref="C34" r:id="rId26" xr:uid="{268DCE31-64C5-4E4B-9CAF-6D344B579DE9}"/>
    <hyperlink ref="C35" r:id="rId27" xr:uid="{6A226DD5-C6A0-4FDC-9C9A-F280EBF50B12}"/>
    <hyperlink ref="C36" r:id="rId28" xr:uid="{5F0A6BFD-90A9-4882-B00A-6E6770ABC1C8}"/>
    <hyperlink ref="C37" r:id="rId29" xr:uid="{8A2ACBC3-57D7-41CF-BC68-38899A2ED882}"/>
    <hyperlink ref="C40" r:id="rId30" xr:uid="{6955EC2D-925E-4180-8D3D-DB21F32D1953}"/>
    <hyperlink ref="C41" r:id="rId31" xr:uid="{38763C1F-732F-4A33-9C2D-6EDCCDB54D90}"/>
    <hyperlink ref="C45" r:id="rId32" xr:uid="{4245CC84-EBAB-4E6A-A4DE-C140094A3902}"/>
    <hyperlink ref="C46" r:id="rId33" xr:uid="{37B88CD9-0ABD-4B7C-8CCD-9259810965B7}"/>
    <hyperlink ref="C47" r:id="rId34" xr:uid="{717629B7-FED6-4273-97AD-3B00590F7211}"/>
    <hyperlink ref="C48" r:id="rId35" xr:uid="{D9C171BA-7702-418E-B444-BA333EE84173}"/>
    <hyperlink ref="C49" r:id="rId36" xr:uid="{57D6BB36-CA43-4AE9-9496-896524EE3CBE}"/>
    <hyperlink ref="C50" r:id="rId37" xr:uid="{3E727098-B95B-49F2-BFF2-10F414B3679F}"/>
    <hyperlink ref="C51" r:id="rId38" xr:uid="{01500DE0-8B3D-4FD7-8823-B752EE5EBD5D}"/>
    <hyperlink ref="C52" r:id="rId39" xr:uid="{E2DEA4D5-96C9-497A-B524-22F5415A5A53}"/>
    <hyperlink ref="C53" r:id="rId40" xr:uid="{3492CA66-AC1F-4BFA-9B63-A9151EB5A24F}"/>
    <hyperlink ref="C54" r:id="rId41" xr:uid="{E12D2F2D-16CE-48EB-B198-5C1BF81CB2AF}"/>
    <hyperlink ref="C55" r:id="rId42" xr:uid="{BAFAB99B-03C0-4461-A02D-CB300FCADA28}"/>
    <hyperlink ref="C56" r:id="rId43" xr:uid="{C32D2BFC-2D4B-4931-AD1E-F690810DBFF8}"/>
    <hyperlink ref="C60" r:id="rId44" xr:uid="{993C9182-D151-4F08-AC00-7A96F219088B}"/>
    <hyperlink ref="C61" r:id="rId45" xr:uid="{CBD17D48-5C2D-423B-95AB-C19494E76478}"/>
    <hyperlink ref="C62" r:id="rId46" xr:uid="{F69FFAB1-DF0E-4B34-8EA1-65E3355685BF}"/>
    <hyperlink ref="C63" r:id="rId47" xr:uid="{E5E2B296-B91E-4F8B-B07B-A152F5021EED}"/>
    <hyperlink ref="C64" r:id="rId48" xr:uid="{D163D182-247C-49EF-BEA4-543B02EB0B7E}"/>
    <hyperlink ref="C65" r:id="rId49" xr:uid="{8397EEE3-0C14-424A-8D1F-5246C4F2606C}"/>
    <hyperlink ref="C66" r:id="rId50" xr:uid="{6485E3FA-185A-4D39-90D1-33984C4A14CB}"/>
    <hyperlink ref="C71" r:id="rId51" xr:uid="{58CCAF14-8088-4CE0-8B1D-718D253E6374}"/>
    <hyperlink ref="C72" r:id="rId52" xr:uid="{816AA7C2-1569-4207-B77B-BEC3C7C3EBA7}"/>
    <hyperlink ref="C73" r:id="rId53" xr:uid="{53CE30B6-1A14-4FF1-8698-69C868E8AF37}"/>
    <hyperlink ref="C74" r:id="rId54" xr:uid="{DBA59F55-6C25-46CD-AFE6-69FBC70415F2}"/>
    <hyperlink ref="C75" r:id="rId55" xr:uid="{A850CE9F-82ED-48AA-88A9-7C5E4742B007}"/>
    <hyperlink ref="C76" r:id="rId56" xr:uid="{310438DB-1CDB-4EA9-BBC9-9704890042E6}"/>
    <hyperlink ref="C77" r:id="rId57" xr:uid="{37CDEF7E-22BC-41CE-83CC-4603F8786AA6}"/>
    <hyperlink ref="C78" r:id="rId58" xr:uid="{E876CD89-91BE-4C19-99F3-71E569ACE8D6}"/>
    <hyperlink ref="C79" r:id="rId59" xr:uid="{6EA895B1-9248-4E79-93B0-46C7A99AEB84}"/>
    <hyperlink ref="C82" r:id="rId60" xr:uid="{E7FE2636-928F-447B-87F4-C9B50DB89AD1}"/>
    <hyperlink ref="C83" r:id="rId61" xr:uid="{1D2A628A-7E08-4624-B0FC-13E07B0B653B}"/>
    <hyperlink ref="C84" r:id="rId62" xr:uid="{356D1D6C-630A-41F8-99EC-B1A1885D8865}"/>
    <hyperlink ref="C85" r:id="rId63" xr:uid="{345DC02E-F872-4F05-B2AA-E1E1D17F524C}"/>
    <hyperlink ref="C86" r:id="rId64" xr:uid="{6362FE71-DFE1-4856-89EC-2A1A37AFD02D}"/>
    <hyperlink ref="C91" r:id="rId65" xr:uid="{01F7B8FA-6D37-4CC4-870D-1945EB18BE22}"/>
    <hyperlink ref="C92" r:id="rId66" xr:uid="{FDD56777-0020-4378-8589-F8FE4E293E27}"/>
    <hyperlink ref="C93" r:id="rId67" xr:uid="{745FB588-A321-4952-A370-A022DE72EB32}"/>
  </hyperlinks>
  <pageMargins left="0.4724409448818897" right="0.39370078740157477" top="0.4724409448818897" bottom="0.4724409448818897" header="0.3" footer="0.3"/>
  <pageSetup paperSize="9" fitToHeight="0" orientation="portrait" r:id="rId68"/>
  <headerFooter>
    <oddHeader>&amp;H'</oddHeader>
    <oddFooter>&amp;H'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39BC8-DD9C-4555-8DD8-4937A10BE30C}">
  <sheetPr codeName="Tabelle19">
    <pageSetUpPr fitToPage="1"/>
  </sheetPr>
  <dimension ref="A1:I217"/>
  <sheetViews>
    <sheetView view="pageBreakPreview" topLeftCell="A5" zoomScale="80" zoomScaleNormal="100" zoomScaleSheetLayoutView="80" workbookViewId="0">
      <selection activeCell="D23" sqref="D23:D24"/>
    </sheetView>
  </sheetViews>
  <sheetFormatPr baseColWidth="10" defaultColWidth="11.44140625" defaultRowHeight="13.8"/>
  <cols>
    <col min="1" max="1" width="4.77734375" style="298" customWidth="1"/>
    <col min="2" max="2" width="40.77734375" style="299" customWidth="1"/>
    <col min="3" max="3" width="4.77734375" style="299" customWidth="1"/>
    <col min="4" max="4" width="40.77734375" style="299" customWidth="1"/>
    <col min="5" max="5" width="16.77734375" style="299" customWidth="1"/>
    <col min="6" max="6" width="4.77734375" style="299" customWidth="1"/>
    <col min="7" max="7" width="40.77734375" style="299" customWidth="1"/>
    <col min="8" max="8" width="4.77734375" style="299" customWidth="1"/>
    <col min="9" max="9" width="40.77734375" style="299" customWidth="1"/>
    <col min="10" max="16384" width="11.44140625" style="299"/>
  </cols>
  <sheetData>
    <row r="1" spans="1:9" ht="19.95" customHeight="1">
      <c r="A1" s="307" t="s">
        <v>788</v>
      </c>
    </row>
    <row r="2" spans="1:9" s="343" customFormat="1" ht="20.100000000000001" customHeight="1">
      <c r="A2" s="344"/>
    </row>
    <row r="3" spans="1:9" s="343" customFormat="1" ht="19.95" customHeight="1">
      <c r="A3" s="340" t="s">
        <v>713</v>
      </c>
      <c r="C3" s="340" t="s">
        <v>714</v>
      </c>
      <c r="F3" s="340" t="s">
        <v>719</v>
      </c>
      <c r="H3" s="340" t="s">
        <v>720</v>
      </c>
    </row>
    <row r="4" spans="1:9" ht="25.05" customHeight="1">
      <c r="A4" s="308"/>
      <c r="B4" s="309" t="s">
        <v>68</v>
      </c>
      <c r="C4" s="309"/>
      <c r="D4" s="309" t="s">
        <v>0</v>
      </c>
      <c r="E4" s="309"/>
      <c r="F4" s="309"/>
      <c r="G4" s="309" t="s">
        <v>733</v>
      </c>
      <c r="H4" s="309"/>
      <c r="I4" s="309" t="s">
        <v>10</v>
      </c>
    </row>
    <row r="5" spans="1:9" ht="25.05" customHeight="1">
      <c r="A5" s="308"/>
      <c r="B5" s="309" t="s">
        <v>11</v>
      </c>
      <c r="C5" s="309"/>
      <c r="D5" s="309" t="s">
        <v>22</v>
      </c>
      <c r="E5" s="309"/>
      <c r="F5" s="309"/>
      <c r="G5" s="309" t="s">
        <v>3</v>
      </c>
      <c r="H5" s="309"/>
      <c r="I5" s="309" t="s">
        <v>25</v>
      </c>
    </row>
    <row r="6" spans="1:9" ht="25.05" customHeight="1">
      <c r="A6" s="308"/>
      <c r="B6" s="309" t="s">
        <v>7</v>
      </c>
      <c r="C6" s="309"/>
      <c r="D6" s="309" t="s">
        <v>8</v>
      </c>
      <c r="E6" s="309"/>
      <c r="F6" s="309"/>
      <c r="G6" s="309" t="s">
        <v>2</v>
      </c>
      <c r="H6" s="309"/>
      <c r="I6" s="309" t="s">
        <v>12</v>
      </c>
    </row>
    <row r="7" spans="1:9" ht="25.05" customHeight="1">
      <c r="A7" s="308"/>
      <c r="B7" s="309" t="s">
        <v>32</v>
      </c>
      <c r="C7" s="309"/>
      <c r="D7" s="309" t="s">
        <v>7</v>
      </c>
      <c r="E7" s="309"/>
      <c r="F7" s="309"/>
      <c r="G7" s="309" t="s">
        <v>42</v>
      </c>
      <c r="H7" s="309"/>
      <c r="I7" s="309" t="s">
        <v>20</v>
      </c>
    </row>
    <row r="8" spans="1:9" ht="25.05" customHeight="1">
      <c r="A8" s="308"/>
      <c r="B8" s="309" t="s">
        <v>91</v>
      </c>
      <c r="C8" s="309"/>
      <c r="D8" s="309" t="s">
        <v>6</v>
      </c>
      <c r="E8" s="309"/>
      <c r="F8" s="309"/>
      <c r="G8" s="309" t="s">
        <v>21</v>
      </c>
      <c r="H8" s="309"/>
      <c r="I8" s="309"/>
    </row>
    <row r="9" spans="1:9" ht="25.05" customHeight="1">
      <c r="A9" s="308"/>
      <c r="B9" s="309" t="s">
        <v>43</v>
      </c>
      <c r="C9" s="309"/>
      <c r="D9" s="309" t="s">
        <v>655</v>
      </c>
      <c r="E9" s="309"/>
      <c r="F9" s="309"/>
      <c r="G9" s="309" t="s">
        <v>750</v>
      </c>
      <c r="H9" s="309"/>
      <c r="I9" s="309"/>
    </row>
    <row r="10" spans="1:9" ht="25.05" customHeight="1">
      <c r="A10" s="308"/>
      <c r="B10" s="309" t="s">
        <v>214</v>
      </c>
      <c r="C10" s="309"/>
      <c r="D10" s="309" t="s">
        <v>701</v>
      </c>
      <c r="E10" s="309"/>
      <c r="F10" s="309"/>
      <c r="G10" s="309"/>
      <c r="H10" s="309"/>
      <c r="I10" s="309"/>
    </row>
    <row r="11" spans="1:9" ht="25.05" customHeight="1">
      <c r="A11" s="308"/>
      <c r="B11" s="309" t="s">
        <v>31</v>
      </c>
      <c r="C11" s="309"/>
      <c r="D11" s="309" t="s">
        <v>38</v>
      </c>
      <c r="E11" s="309"/>
      <c r="F11" s="309"/>
      <c r="G11" s="309"/>
      <c r="H11" s="309"/>
      <c r="I11" s="309"/>
    </row>
    <row r="12" spans="1:9" ht="25.05" customHeight="1">
      <c r="A12" s="308"/>
      <c r="B12" s="309"/>
      <c r="C12" s="309"/>
      <c r="D12" s="309" t="s">
        <v>657</v>
      </c>
      <c r="E12" s="309"/>
      <c r="F12" s="309"/>
      <c r="G12" s="309"/>
      <c r="H12" s="309"/>
      <c r="I12" s="309"/>
    </row>
    <row r="13" spans="1:9" ht="20.100000000000001" customHeight="1"/>
    <row r="14" spans="1:9" ht="20.100000000000001" customHeight="1"/>
    <row r="15" spans="1:9" ht="17.100000000000001" customHeight="1"/>
    <row r="16" spans="1:9" ht="17.100000000000001" customHeight="1"/>
    <row r="17" spans="1:9" ht="19.95" customHeight="1"/>
    <row r="18" spans="1:9" ht="16.95" customHeight="1"/>
    <row r="19" spans="1:9" ht="16.95" customHeight="1"/>
    <row r="20" spans="1:9" s="343" customFormat="1" ht="16.95" customHeight="1">
      <c r="A20" s="344"/>
    </row>
    <row r="21" spans="1:9" s="343" customFormat="1" ht="19.95" customHeight="1">
      <c r="A21" s="340" t="s">
        <v>715</v>
      </c>
      <c r="C21" s="340" t="s">
        <v>716</v>
      </c>
      <c r="F21" s="340" t="s">
        <v>718</v>
      </c>
      <c r="H21" s="340" t="s">
        <v>717</v>
      </c>
    </row>
    <row r="22" spans="1:9" ht="25.05" customHeight="1">
      <c r="A22" s="308"/>
      <c r="B22" s="309" t="s">
        <v>0</v>
      </c>
      <c r="C22" s="309"/>
      <c r="D22" s="309" t="s">
        <v>0</v>
      </c>
      <c r="E22" s="309"/>
      <c r="F22" s="309"/>
      <c r="G22" s="309" t="s">
        <v>39</v>
      </c>
      <c r="H22" s="309"/>
      <c r="I22" s="309" t="s">
        <v>0</v>
      </c>
    </row>
    <row r="23" spans="1:9" ht="25.05" customHeight="1">
      <c r="A23" s="308"/>
      <c r="B23" s="309" t="s">
        <v>26</v>
      </c>
      <c r="C23" s="309"/>
      <c r="D23" s="309" t="s">
        <v>13</v>
      </c>
      <c r="E23" s="309"/>
      <c r="F23" s="309"/>
      <c r="G23" s="309" t="s">
        <v>45</v>
      </c>
      <c r="H23" s="309"/>
      <c r="I23" s="309" t="s">
        <v>35</v>
      </c>
    </row>
    <row r="24" spans="1:9" ht="25.05" customHeight="1">
      <c r="A24" s="308"/>
      <c r="B24" s="309" t="s">
        <v>5</v>
      </c>
      <c r="C24" s="309"/>
      <c r="D24" s="309" t="s">
        <v>695</v>
      </c>
      <c r="E24" s="309"/>
      <c r="F24" s="309"/>
      <c r="G24" s="309" t="s">
        <v>24</v>
      </c>
      <c r="H24" s="309"/>
      <c r="I24" s="309" t="s">
        <v>1</v>
      </c>
    </row>
    <row r="25" spans="1:9" ht="25.05" customHeight="1">
      <c r="A25" s="308"/>
      <c r="B25" s="309" t="s">
        <v>69</v>
      </c>
      <c r="C25" s="309"/>
      <c r="D25" s="309"/>
      <c r="E25" s="309"/>
      <c r="F25" s="309"/>
      <c r="G25" s="309" t="s">
        <v>46</v>
      </c>
      <c r="H25" s="309"/>
      <c r="I25" s="309" t="s">
        <v>40</v>
      </c>
    </row>
    <row r="26" spans="1:9" ht="25.05" customHeight="1">
      <c r="A26" s="308"/>
      <c r="B26" s="309"/>
      <c r="C26" s="309"/>
      <c r="D26" s="309"/>
      <c r="E26" s="309"/>
      <c r="F26" s="309"/>
      <c r="G26" s="309" t="s">
        <v>4</v>
      </c>
      <c r="H26" s="309"/>
      <c r="I26" s="309" t="s">
        <v>41</v>
      </c>
    </row>
    <row r="27" spans="1:9" ht="25.05" customHeight="1">
      <c r="A27" s="308"/>
      <c r="B27" s="309"/>
      <c r="C27" s="309"/>
      <c r="D27" s="309"/>
      <c r="E27" s="309"/>
      <c r="F27" s="309"/>
      <c r="G27" s="309" t="s">
        <v>33</v>
      </c>
      <c r="H27" s="309"/>
      <c r="I27" s="309" t="s">
        <v>768</v>
      </c>
    </row>
    <row r="28" spans="1:9" ht="25.05" customHeight="1">
      <c r="A28" s="308"/>
      <c r="B28" s="309"/>
      <c r="C28" s="309"/>
      <c r="D28" s="309"/>
      <c r="E28" s="309"/>
      <c r="F28" s="309"/>
      <c r="G28" s="309" t="s">
        <v>141</v>
      </c>
      <c r="H28" s="309"/>
      <c r="I28" s="309" t="s">
        <v>5</v>
      </c>
    </row>
    <row r="29" spans="1:9" ht="96.6">
      <c r="A29" s="308"/>
      <c r="B29" s="309"/>
      <c r="C29" s="309"/>
      <c r="D29" s="309"/>
      <c r="E29" s="309"/>
      <c r="F29" s="309"/>
      <c r="G29" s="309" t="s">
        <v>751</v>
      </c>
      <c r="H29" s="309"/>
      <c r="I29" s="309" t="s">
        <v>36</v>
      </c>
    </row>
    <row r="30" spans="1:9" ht="69">
      <c r="A30" s="308"/>
      <c r="B30" s="309"/>
      <c r="C30" s="309"/>
      <c r="D30" s="309"/>
      <c r="E30" s="309"/>
      <c r="F30" s="309"/>
      <c r="G30" s="309" t="s">
        <v>738</v>
      </c>
      <c r="H30" s="309"/>
      <c r="I30" s="309" t="s">
        <v>778</v>
      </c>
    </row>
    <row r="31" spans="1:9" ht="19.95" customHeight="1"/>
    <row r="32" spans="1:9" ht="16.95" customHeight="1"/>
    <row r="33" spans="1:9" ht="16.95" customHeight="1"/>
    <row r="34" spans="1:9" ht="16.95" customHeight="1"/>
    <row r="35" spans="1:9" ht="16.95" customHeight="1"/>
    <row r="36" spans="1:9" ht="16.95" customHeight="1"/>
    <row r="37" spans="1:9" ht="16.95" customHeight="1"/>
    <row r="38" spans="1:9" s="343" customFormat="1" ht="17.100000000000001" customHeight="1">
      <c r="A38" s="344"/>
    </row>
    <row r="39" spans="1:9" s="343" customFormat="1" ht="19.95" customHeight="1">
      <c r="A39" s="340" t="s">
        <v>721</v>
      </c>
      <c r="C39" s="340" t="s">
        <v>722</v>
      </c>
    </row>
    <row r="40" spans="1:9" ht="25.05" customHeight="1">
      <c r="A40" s="308"/>
      <c r="B40" s="309"/>
      <c r="C40" s="309"/>
      <c r="D40" s="309" t="s">
        <v>19</v>
      </c>
      <c r="E40" s="309"/>
      <c r="F40" s="309"/>
      <c r="G40" s="309"/>
      <c r="H40" s="309"/>
      <c r="I40" s="309"/>
    </row>
    <row r="41" spans="1:9" ht="25.05" customHeight="1">
      <c r="A41" s="308"/>
      <c r="B41" s="309"/>
      <c r="C41" s="309"/>
      <c r="D41" s="309" t="s">
        <v>18</v>
      </c>
      <c r="E41" s="309"/>
      <c r="F41" s="309"/>
      <c r="G41" s="309"/>
      <c r="H41" s="309"/>
      <c r="I41" s="309"/>
    </row>
    <row r="42" spans="1:9" ht="25.05" customHeight="1">
      <c r="A42" s="308"/>
      <c r="B42" s="309"/>
      <c r="C42" s="309"/>
      <c r="D42" s="309" t="s">
        <v>17</v>
      </c>
      <c r="E42" s="309"/>
      <c r="F42" s="309"/>
      <c r="G42" s="309"/>
      <c r="H42" s="309"/>
      <c r="I42" s="309"/>
    </row>
    <row r="43" spans="1:9" ht="17.100000000000001" customHeight="1"/>
    <row r="44" spans="1:9" ht="113.1" customHeight="1"/>
    <row r="45" spans="1:9" ht="19.95" customHeight="1"/>
    <row r="46" spans="1:9" ht="16.95" customHeight="1"/>
    <row r="47" spans="1:9" ht="16.95" customHeight="1"/>
    <row r="48" spans="1:9" ht="16.95" customHeight="1"/>
    <row r="49" ht="16.95" customHeight="1"/>
    <row r="50" ht="16.95" customHeight="1"/>
    <row r="51" ht="16.95" customHeight="1"/>
    <row r="52" ht="16.95" customHeight="1"/>
    <row r="53" ht="166.35" customHeight="1"/>
    <row r="54" ht="79.95" customHeight="1"/>
    <row r="55" ht="16.95" customHeight="1"/>
    <row r="56" ht="16.95" customHeight="1"/>
    <row r="57" ht="16.95" customHeight="1"/>
    <row r="58" ht="16.95" customHeight="1"/>
    <row r="59" ht="19.95" customHeight="1"/>
    <row r="60" ht="16.95" customHeight="1"/>
    <row r="61" ht="16.95" customHeight="1"/>
    <row r="62" ht="16.95" customHeight="1"/>
    <row r="63" ht="19.95" customHeight="1"/>
    <row r="64" ht="16.95" customHeight="1"/>
    <row r="65" ht="16.95" customHeight="1"/>
    <row r="66" ht="16.95" customHeight="1"/>
    <row r="67" ht="16.95" customHeight="1"/>
    <row r="68" ht="16.95" customHeight="1"/>
    <row r="69" ht="16.95" customHeight="1"/>
    <row r="70" ht="16.95" customHeight="1"/>
    <row r="71" ht="108.75" customHeight="1"/>
    <row r="72" ht="79.95" customHeight="1"/>
    <row r="73" ht="20.100000000000001" customHeight="1"/>
    <row r="74" ht="20.100000000000001" customHeight="1"/>
    <row r="75" ht="19.95" customHeight="1"/>
    <row r="76" ht="16.95" customHeight="1"/>
    <row r="77" ht="16.95" customHeight="1"/>
    <row r="78" ht="16.95" customHeight="1"/>
    <row r="79" ht="16.95" customHeight="1"/>
    <row r="80" ht="16.95" customHeight="1"/>
    <row r="81" ht="16.95" customHeight="1"/>
    <row r="82" ht="24.9" customHeight="1"/>
    <row r="84" ht="24.9" customHeight="1"/>
    <row r="85" ht="24.9" customHeight="1"/>
    <row r="86" ht="30" customHeight="1"/>
    <row r="87" ht="24.9" customHeight="1"/>
    <row r="88" ht="38.1" customHeight="1"/>
    <row r="89" ht="24.9" customHeight="1"/>
    <row r="90" ht="24.9" customHeight="1"/>
    <row r="92" ht="24.9" customHeight="1"/>
    <row r="93" ht="24.9" customHeight="1"/>
    <row r="94" ht="30" customHeight="1"/>
    <row r="95" ht="24.9" customHeight="1"/>
    <row r="96" ht="24.9" customHeight="1"/>
    <row r="97" ht="30" customHeight="1"/>
    <row r="98" ht="24.9" customHeight="1"/>
    <row r="99" ht="38.1" customHeight="1"/>
    <row r="100" ht="24.9" customHeight="1"/>
    <row r="101" ht="24.9" customHeight="1"/>
    <row r="102" ht="24.9" customHeight="1"/>
    <row r="103" ht="30" customHeight="1"/>
    <row r="104" ht="24.9" customHeight="1"/>
    <row r="105" ht="24.9" customHeight="1"/>
    <row r="106" ht="30" customHeight="1"/>
    <row r="107" ht="30" customHeight="1"/>
    <row r="108" ht="24.9" customHeight="1"/>
    <row r="109" ht="30" customHeight="1"/>
    <row r="110" ht="24.9" customHeight="1"/>
    <row r="111" ht="24.9" customHeight="1"/>
    <row r="112" ht="24.9" customHeight="1"/>
    <row r="113" ht="30" customHeight="1"/>
    <row r="114" ht="24.9" customHeight="1"/>
    <row r="116" ht="24.9" customHeight="1"/>
    <row r="118" ht="24.9" customHeight="1"/>
    <row r="119" ht="30" customHeight="1"/>
    <row r="120" ht="24.9" customHeight="1"/>
    <row r="122" ht="24.9" customHeight="1"/>
    <row r="123" ht="24.9" customHeight="1"/>
    <row r="124" ht="38.1" customHeight="1"/>
    <row r="126" ht="24.9" customHeight="1"/>
    <row r="128" ht="24.9" customHeight="1"/>
    <row r="129" ht="24.9" customHeight="1"/>
    <row r="130" ht="24.9" customHeight="1"/>
    <row r="132" ht="24.9" customHeight="1"/>
    <row r="134" ht="24.9" customHeight="1"/>
    <row r="135" ht="24.9" customHeight="1"/>
    <row r="136" ht="38.1" customHeight="1"/>
    <row r="138" ht="24.9" customHeight="1"/>
    <row r="140" ht="24.9" customHeight="1"/>
    <row r="141" ht="24.9" customHeight="1"/>
    <row r="142" ht="24.9" customHeight="1"/>
    <row r="144" ht="24.9" customHeight="1"/>
    <row r="146" ht="24.9" customHeight="1"/>
    <row r="147" ht="24.9" customHeight="1"/>
    <row r="148" ht="24.9" customHeight="1"/>
    <row r="150" ht="24.9" customHeight="1"/>
    <row r="152" ht="24.9" customHeight="1"/>
    <row r="153" ht="83.1" customHeight="1"/>
    <row r="154" ht="83.1" customHeight="1"/>
    <row r="156" ht="83.1" customHeight="1"/>
    <row r="158" ht="24.9" customHeight="1"/>
    <row r="159" ht="24.9" customHeight="1"/>
    <row r="160" ht="24.9" customHeight="1"/>
    <row r="162" ht="24.9" customHeight="1"/>
    <row r="163" ht="24.9" customHeight="1"/>
    <row r="164" ht="24.9" customHeight="1"/>
    <row r="166" ht="24.9" customHeight="1"/>
    <row r="168" ht="24.9" customHeight="1"/>
    <row r="169" ht="24.9" customHeight="1"/>
    <row r="170" ht="24.9" customHeight="1"/>
    <row r="172" ht="24.9" customHeight="1"/>
    <row r="174" ht="24.9" customHeight="1"/>
    <row r="176" ht="24.9" customHeight="1"/>
    <row r="178" ht="24.9" customHeight="1"/>
    <row r="180" ht="24.9" customHeight="1"/>
    <row r="182" ht="24.9" customHeight="1"/>
    <row r="183" ht="24.9" customHeight="1"/>
    <row r="186" ht="24.9" customHeight="1"/>
    <row r="189" ht="24.9" customHeight="1"/>
    <row r="192" ht="24.9" customHeight="1"/>
    <row r="196" ht="30" customHeight="1"/>
    <row r="199" ht="30" customHeight="1"/>
    <row r="202" ht="24.9" customHeight="1"/>
    <row r="205" ht="24.9" customHeight="1"/>
    <row r="208" ht="24.9" customHeight="1"/>
    <row r="211" ht="30" customHeight="1"/>
    <row r="214" ht="30" customHeight="1"/>
    <row r="217" ht="30" customHeight="1"/>
  </sheetData>
  <pageMargins left="0.78740157480314954" right="0.39370078740157477" top="0.4724409448818897" bottom="0.4724409448818897" header="0.31496062992125984" footer="0.31496062992125984"/>
  <pageSetup paperSize="9" scale="67" fitToHeight="0" orientation="landscape" horizontalDpi="0" verticalDpi="0" r:id="rId1"/>
  <headerFooter>
    <oddHeader>&amp;H'</oddHeader>
    <oddFooter>&amp;H'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69DF40-DBE1-460A-87DE-162758ADEFE4}">
  <sheetPr codeName="Tabelle1"/>
  <dimension ref="A1:S39"/>
  <sheetViews>
    <sheetView workbookViewId="0">
      <pane ySplit="1" topLeftCell="A13" activePane="bottomLeft" state="frozen"/>
      <selection activeCell="L1" sqref="L1:L1048576"/>
      <selection pane="bottomLeft" activeCell="R20" sqref="R20"/>
    </sheetView>
  </sheetViews>
  <sheetFormatPr baseColWidth="10" defaultColWidth="11.44140625" defaultRowHeight="20.100000000000001" customHeight="1"/>
  <cols>
    <col min="1" max="1" width="8.33203125" style="12" customWidth="1"/>
    <col min="2" max="10" width="3.6640625" style="12" bestFit="1" customWidth="1"/>
    <col min="11" max="11" width="6.6640625" bestFit="1" customWidth="1"/>
    <col min="12" max="12" width="32.44140625" style="13" bestFit="1" customWidth="1"/>
    <col min="13" max="13" width="30.5546875" style="14" bestFit="1" customWidth="1"/>
    <col min="14" max="14" width="15.44140625" style="147" customWidth="1"/>
    <col min="15" max="15" width="16.6640625" style="14" bestFit="1" customWidth="1"/>
    <col min="16" max="16" width="4.44140625" style="14" bestFit="1" customWidth="1"/>
    <col min="17" max="17" width="11.44140625" style="14"/>
    <col min="18" max="18" width="13.6640625" style="81" customWidth="1"/>
    <col min="19" max="19" width="11.44140625" style="214"/>
    <col min="20" max="16384" width="11.44140625" style="14"/>
  </cols>
  <sheetData>
    <row r="1" spans="1:19" s="11" customFormat="1" ht="81" customHeight="1">
      <c r="A1" s="21" t="s">
        <v>96</v>
      </c>
      <c r="B1" s="259" t="s">
        <v>109</v>
      </c>
      <c r="C1" s="259" t="s">
        <v>136</v>
      </c>
      <c r="D1" s="259" t="s">
        <v>137</v>
      </c>
      <c r="E1" s="259" t="s">
        <v>224</v>
      </c>
      <c r="F1" s="259" t="s">
        <v>138</v>
      </c>
      <c r="G1" s="259" t="s">
        <v>146</v>
      </c>
      <c r="H1" s="259" t="s">
        <v>195</v>
      </c>
      <c r="I1" s="259" t="s">
        <v>235</v>
      </c>
      <c r="J1" s="259" t="s">
        <v>223</v>
      </c>
      <c r="K1" s="259" t="s">
        <v>390</v>
      </c>
      <c r="L1" s="22" t="s">
        <v>70</v>
      </c>
      <c r="M1" s="23" t="s">
        <v>71</v>
      </c>
      <c r="N1" s="144" t="s">
        <v>14</v>
      </c>
      <c r="O1" s="24" t="s">
        <v>97</v>
      </c>
      <c r="S1" s="16"/>
    </row>
    <row r="2" spans="1:19" s="11" customFormat="1" ht="20.100000000000001" customHeight="1">
      <c r="A2" s="27" t="s">
        <v>104</v>
      </c>
      <c r="B2" s="5"/>
      <c r="C2" s="5"/>
      <c r="D2" s="5"/>
      <c r="E2" s="5"/>
      <c r="F2" s="5"/>
      <c r="G2" s="5"/>
      <c r="H2" s="5"/>
      <c r="I2" s="5"/>
      <c r="J2" s="5"/>
      <c r="K2" s="182"/>
      <c r="L2" s="6"/>
      <c r="M2" s="7"/>
      <c r="N2" s="145"/>
      <c r="S2" s="16"/>
    </row>
    <row r="3" spans="1:19" s="11" customFormat="1" ht="20.100000000000001" customHeight="1">
      <c r="A3" s="28" t="s">
        <v>102</v>
      </c>
      <c r="B3" s="8" t="s">
        <v>72</v>
      </c>
      <c r="C3" s="8" t="s">
        <v>72</v>
      </c>
      <c r="D3" s="8" t="s">
        <v>72</v>
      </c>
      <c r="E3" s="8"/>
      <c r="F3" s="8"/>
      <c r="G3" s="8"/>
      <c r="H3" s="8"/>
      <c r="I3" s="8"/>
      <c r="J3" s="8"/>
      <c r="K3" s="182"/>
      <c r="L3" s="9" t="s">
        <v>68</v>
      </c>
      <c r="M3" s="86"/>
      <c r="N3" s="133" t="s">
        <v>77</v>
      </c>
      <c r="P3" s="291" t="s">
        <v>302</v>
      </c>
      <c r="Q3" s="213" t="s">
        <v>576</v>
      </c>
      <c r="S3" s="16"/>
    </row>
    <row r="4" spans="1:19" s="11" customFormat="1" ht="20.100000000000001" customHeight="1">
      <c r="A4" s="28" t="s">
        <v>101</v>
      </c>
      <c r="B4" s="8" t="s">
        <v>72</v>
      </c>
      <c r="C4" s="305" t="s">
        <v>72</v>
      </c>
      <c r="D4" s="305" t="s">
        <v>72</v>
      </c>
      <c r="E4" s="8"/>
      <c r="F4" s="8"/>
      <c r="G4" s="8"/>
      <c r="H4" s="8"/>
      <c r="I4" s="8"/>
      <c r="J4" s="8"/>
      <c r="K4" s="182"/>
      <c r="L4" s="9"/>
      <c r="M4" s="7"/>
      <c r="N4" s="133" t="s">
        <v>107</v>
      </c>
      <c r="O4" s="164"/>
      <c r="P4" s="291" t="s">
        <v>302</v>
      </c>
      <c r="Q4" s="213" t="s">
        <v>577</v>
      </c>
      <c r="S4" s="16"/>
    </row>
    <row r="5" spans="1:19" s="11" customFormat="1" ht="20.100000000000001" customHeight="1">
      <c r="A5" s="28" t="s">
        <v>102</v>
      </c>
      <c r="B5" s="8" t="s">
        <v>72</v>
      </c>
      <c r="C5" s="260" t="s">
        <v>72</v>
      </c>
      <c r="D5" s="260" t="s">
        <v>72</v>
      </c>
      <c r="E5" s="8"/>
      <c r="F5" s="8"/>
      <c r="G5" s="8"/>
      <c r="H5" s="8"/>
      <c r="I5" s="8"/>
      <c r="J5" s="8"/>
      <c r="K5" s="182"/>
      <c r="L5" s="9" t="s">
        <v>11</v>
      </c>
      <c r="M5" s="7"/>
      <c r="N5" s="133" t="s">
        <v>106</v>
      </c>
      <c r="P5" s="291" t="s">
        <v>302</v>
      </c>
      <c r="Q5" s="213" t="s">
        <v>578</v>
      </c>
      <c r="S5" s="16"/>
    </row>
    <row r="6" spans="1:19" s="11" customFormat="1" ht="20.100000000000001" customHeight="1">
      <c r="A6" s="28" t="s">
        <v>102</v>
      </c>
      <c r="B6" s="8" t="s">
        <v>72</v>
      </c>
      <c r="C6" s="260" t="s">
        <v>72</v>
      </c>
      <c r="D6" s="260" t="s">
        <v>72</v>
      </c>
      <c r="E6" s="8"/>
      <c r="F6" s="8"/>
      <c r="G6" s="8"/>
      <c r="H6" s="8"/>
      <c r="I6" s="8"/>
      <c r="J6" s="8"/>
      <c r="K6" s="182"/>
      <c r="L6" s="9" t="s">
        <v>7</v>
      </c>
      <c r="M6" s="7"/>
      <c r="N6" s="133" t="s">
        <v>78</v>
      </c>
      <c r="P6" s="157" t="s">
        <v>302</v>
      </c>
      <c r="Q6" s="230" t="s">
        <v>579</v>
      </c>
      <c r="S6" s="16"/>
    </row>
    <row r="7" spans="1:19" s="11" customFormat="1" ht="20.100000000000001" customHeight="1">
      <c r="A7" s="28" t="s">
        <v>102</v>
      </c>
      <c r="B7" s="8" t="s">
        <v>72</v>
      </c>
      <c r="C7" s="260"/>
      <c r="D7" s="232" t="s">
        <v>72</v>
      </c>
      <c r="E7" s="8"/>
      <c r="F7" s="8"/>
      <c r="G7" s="8"/>
      <c r="H7" s="8"/>
      <c r="I7" s="8"/>
      <c r="J7" s="8"/>
      <c r="K7" s="182"/>
      <c r="L7" s="9" t="s">
        <v>32</v>
      </c>
      <c r="M7" s="228" t="s">
        <v>617</v>
      </c>
      <c r="N7" s="133" t="s">
        <v>79</v>
      </c>
      <c r="P7" s="157" t="s">
        <v>302</v>
      </c>
      <c r="Q7" s="213" t="s">
        <v>580</v>
      </c>
      <c r="S7" s="16"/>
    </row>
    <row r="8" spans="1:19" s="11" customFormat="1" ht="20.100000000000001" customHeight="1">
      <c r="A8" s="287" t="s">
        <v>102</v>
      </c>
      <c r="B8" s="232" t="s">
        <v>72</v>
      </c>
      <c r="C8" s="8"/>
      <c r="D8" s="232" t="s">
        <v>72</v>
      </c>
      <c r="E8" s="8"/>
      <c r="F8" s="8"/>
      <c r="G8" s="8"/>
      <c r="H8" s="8"/>
      <c r="I8" s="8"/>
      <c r="J8" s="8"/>
      <c r="K8" s="182"/>
      <c r="L8" s="229" t="s">
        <v>91</v>
      </c>
      <c r="M8" s="228"/>
      <c r="N8" s="133" t="s">
        <v>618</v>
      </c>
      <c r="O8" s="230" t="s">
        <v>619</v>
      </c>
      <c r="P8" s="157" t="s">
        <v>302</v>
      </c>
      <c r="Q8" s="213" t="s">
        <v>581</v>
      </c>
      <c r="S8" s="16"/>
    </row>
    <row r="9" spans="1:19" s="11" customFormat="1" ht="20.100000000000001" customHeight="1">
      <c r="A9" s="28" t="s">
        <v>102</v>
      </c>
      <c r="B9" s="8" t="s">
        <v>72</v>
      </c>
      <c r="C9" s="8"/>
      <c r="D9" s="260" t="s">
        <v>72</v>
      </c>
      <c r="E9" s="8"/>
      <c r="F9" s="8"/>
      <c r="G9" s="8"/>
      <c r="H9" s="8"/>
      <c r="I9" s="8"/>
      <c r="J9" s="8"/>
      <c r="K9" s="182"/>
      <c r="L9" s="9" t="s">
        <v>43</v>
      </c>
      <c r="M9" s="228"/>
      <c r="N9" s="133" t="s">
        <v>80</v>
      </c>
      <c r="P9" s="157" t="s">
        <v>302</v>
      </c>
      <c r="Q9" s="230" t="s">
        <v>582</v>
      </c>
      <c r="S9" s="16"/>
    </row>
    <row r="10" spans="1:19" s="11" customFormat="1" ht="20.100000000000001" customHeight="1">
      <c r="A10" s="287" t="s">
        <v>102</v>
      </c>
      <c r="B10" s="297" t="s">
        <v>72</v>
      </c>
      <c r="C10" s="8"/>
      <c r="D10" s="297" t="s">
        <v>72</v>
      </c>
      <c r="E10" s="8"/>
      <c r="F10" s="8"/>
      <c r="G10" s="8"/>
      <c r="H10" s="8"/>
      <c r="I10" s="8"/>
      <c r="J10" s="8"/>
      <c r="K10" s="182"/>
      <c r="L10" s="9" t="s">
        <v>214</v>
      </c>
      <c r="M10" s="257" t="s">
        <v>667</v>
      </c>
      <c r="N10" s="133" t="s">
        <v>303</v>
      </c>
      <c r="O10" s="257" t="s">
        <v>668</v>
      </c>
      <c r="P10" s="157" t="s">
        <v>302</v>
      </c>
      <c r="Q10" s="213" t="s">
        <v>583</v>
      </c>
      <c r="S10" s="16"/>
    </row>
    <row r="11" spans="1:19" s="11" customFormat="1" ht="20.100000000000001" customHeight="1">
      <c r="A11" s="29" t="s">
        <v>100</v>
      </c>
      <c r="B11" s="8" t="s">
        <v>72</v>
      </c>
      <c r="C11" s="183"/>
      <c r="D11" s="8"/>
      <c r="E11" s="8"/>
      <c r="F11" s="8"/>
      <c r="G11" s="8"/>
      <c r="H11" s="8"/>
      <c r="I11" s="8"/>
      <c r="J11" s="8"/>
      <c r="K11" s="182"/>
      <c r="L11" s="9"/>
      <c r="M11" s="7"/>
      <c r="N11" s="146"/>
      <c r="P11" s="156"/>
      <c r="Q11" s="213" t="s">
        <v>584</v>
      </c>
      <c r="S11" s="16"/>
    </row>
    <row r="12" spans="1:19" s="11" customFormat="1" ht="20.100000000000001" customHeight="1">
      <c r="A12" s="28" t="s">
        <v>102</v>
      </c>
      <c r="B12" s="8" t="s">
        <v>72</v>
      </c>
      <c r="C12" s="8"/>
      <c r="D12" s="305" t="s">
        <v>72</v>
      </c>
      <c r="E12" s="8"/>
      <c r="F12" s="8"/>
      <c r="G12" s="8"/>
      <c r="H12" s="8"/>
      <c r="I12" s="8"/>
      <c r="J12" s="8"/>
      <c r="K12" s="182"/>
      <c r="L12" s="9" t="s">
        <v>31</v>
      </c>
      <c r="M12" s="177"/>
      <c r="N12" s="133" t="s">
        <v>81</v>
      </c>
      <c r="P12" s="157" t="s">
        <v>302</v>
      </c>
      <c r="Q12" s="230" t="s">
        <v>585</v>
      </c>
      <c r="S12" s="16"/>
    </row>
    <row r="13" spans="1:19" s="11" customFormat="1" ht="20.100000000000001" customHeight="1">
      <c r="A13" s="28" t="s">
        <v>102</v>
      </c>
      <c r="B13" s="8" t="s">
        <v>72</v>
      </c>
      <c r="C13" s="8"/>
      <c r="D13" s="8"/>
      <c r="E13" s="8"/>
      <c r="F13" s="8"/>
      <c r="G13" s="85" t="s">
        <v>72</v>
      </c>
      <c r="H13" s="85"/>
      <c r="I13" s="134"/>
      <c r="J13" s="85"/>
      <c r="K13" s="182"/>
      <c r="L13" s="9" t="s">
        <v>147</v>
      </c>
      <c r="M13" s="176" t="s">
        <v>369</v>
      </c>
      <c r="N13" s="133" t="s">
        <v>691</v>
      </c>
      <c r="P13" s="157" t="s">
        <v>302</v>
      </c>
      <c r="Q13" s="213" t="s">
        <v>586</v>
      </c>
      <c r="S13" s="16"/>
    </row>
    <row r="14" spans="1:19" s="11" customFormat="1" ht="20.100000000000001" customHeight="1">
      <c r="A14" s="28" t="s">
        <v>102</v>
      </c>
      <c r="B14" s="8" t="s">
        <v>72</v>
      </c>
      <c r="C14" s="8"/>
      <c r="D14" s="8"/>
      <c r="E14" s="8"/>
      <c r="F14" s="8"/>
      <c r="G14" s="85" t="s">
        <v>72</v>
      </c>
      <c r="H14" s="85"/>
      <c r="I14" s="85"/>
      <c r="J14" s="85"/>
      <c r="K14" s="182"/>
      <c r="L14" s="311" t="s">
        <v>752</v>
      </c>
      <c r="M14" s="11" t="s">
        <v>146</v>
      </c>
      <c r="N14" s="133" t="s">
        <v>268</v>
      </c>
      <c r="P14" s="157" t="s">
        <v>302</v>
      </c>
      <c r="Q14" s="213" t="s">
        <v>587</v>
      </c>
      <c r="S14" s="16"/>
    </row>
    <row r="15" spans="1:19" s="11" customFormat="1" ht="20.100000000000001" customHeight="1">
      <c r="A15" s="28" t="s">
        <v>102</v>
      </c>
      <c r="B15" s="8" t="s">
        <v>72</v>
      </c>
      <c r="C15" s="8"/>
      <c r="D15" s="8"/>
      <c r="E15" s="8"/>
      <c r="F15" s="8"/>
      <c r="G15" s="85" t="s">
        <v>72</v>
      </c>
      <c r="H15" s="85"/>
      <c r="I15" s="85"/>
      <c r="J15" s="85"/>
      <c r="K15" s="182"/>
      <c r="L15" s="9" t="s">
        <v>184</v>
      </c>
      <c r="M15" s="11" t="s">
        <v>146</v>
      </c>
      <c r="N15" s="133" t="s">
        <v>692</v>
      </c>
      <c r="P15" s="157" t="s">
        <v>302</v>
      </c>
      <c r="Q15" s="230" t="s">
        <v>588</v>
      </c>
      <c r="S15" s="16"/>
    </row>
    <row r="16" spans="1:19" s="11" customFormat="1" ht="20.100000000000001" customHeight="1">
      <c r="A16" s="28" t="s">
        <v>102</v>
      </c>
      <c r="B16" s="8" t="s">
        <v>72</v>
      </c>
      <c r="C16" s="8"/>
      <c r="D16" s="8"/>
      <c r="E16" s="8"/>
      <c r="F16" s="8"/>
      <c r="G16" s="8" t="s">
        <v>72</v>
      </c>
      <c r="H16" s="8"/>
      <c r="I16" s="8"/>
      <c r="J16" s="8"/>
      <c r="K16" s="182"/>
      <c r="L16" s="9" t="s">
        <v>183</v>
      </c>
      <c r="M16" s="11" t="s">
        <v>146</v>
      </c>
      <c r="N16" s="133" t="s">
        <v>370</v>
      </c>
      <c r="P16" s="157" t="s">
        <v>302</v>
      </c>
      <c r="Q16" s="213" t="s">
        <v>589</v>
      </c>
      <c r="S16" s="16"/>
    </row>
    <row r="17" spans="1:19" s="11" customFormat="1" ht="20.100000000000001" customHeight="1">
      <c r="A17" s="28" t="s">
        <v>102</v>
      </c>
      <c r="B17" s="8" t="s">
        <v>72</v>
      </c>
      <c r="C17" s="8"/>
      <c r="D17" s="8"/>
      <c r="E17" s="8"/>
      <c r="F17" s="8"/>
      <c r="G17" s="8" t="s">
        <v>72</v>
      </c>
      <c r="H17" s="8"/>
      <c r="I17" s="8"/>
      <c r="J17" s="8"/>
      <c r="K17" s="182"/>
      <c r="L17" s="9" t="s">
        <v>185</v>
      </c>
      <c r="M17" s="11" t="s">
        <v>146</v>
      </c>
      <c r="N17" s="133" t="s">
        <v>693</v>
      </c>
      <c r="P17" s="157" t="s">
        <v>302</v>
      </c>
      <c r="Q17" s="213" t="s">
        <v>600</v>
      </c>
      <c r="S17" s="214" t="e">
        <f>MATCH(Q17,CCF!C:C,0)</f>
        <v>#N/A</v>
      </c>
    </row>
    <row r="18" spans="1:19" s="11" customFormat="1" ht="20.100000000000001" customHeight="1">
      <c r="A18" s="170" t="s">
        <v>102</v>
      </c>
      <c r="B18" s="169" t="s">
        <v>72</v>
      </c>
      <c r="C18" s="8"/>
      <c r="D18" s="8"/>
      <c r="E18" s="8"/>
      <c r="F18" s="8"/>
      <c r="G18" s="169" t="s">
        <v>72</v>
      </c>
      <c r="H18" s="8"/>
      <c r="I18" s="8"/>
      <c r="J18" s="8"/>
      <c r="K18" s="182"/>
      <c r="L18" s="179" t="s">
        <v>334</v>
      </c>
      <c r="M18" s="171" t="s">
        <v>335</v>
      </c>
      <c r="N18" s="133" t="s">
        <v>334</v>
      </c>
      <c r="P18" s="157" t="s">
        <v>302</v>
      </c>
      <c r="Q18" s="230" t="s">
        <v>601</v>
      </c>
      <c r="R18" s="215" t="e">
        <f>HYPERLINK("#'CCF'!A" &amp; S18, "zur Folge")</f>
        <v>#N/A</v>
      </c>
      <c r="S18" s="214" t="e">
        <f>MATCH(Q18,CCF!C:C,0)</f>
        <v>#N/A</v>
      </c>
    </row>
    <row r="19" spans="1:19" ht="20.100000000000001" customHeight="1">
      <c r="A19" s="28" t="s">
        <v>102</v>
      </c>
      <c r="B19" s="8" t="s">
        <v>72</v>
      </c>
      <c r="C19" s="20"/>
      <c r="D19" s="20"/>
      <c r="E19" s="20"/>
      <c r="F19" s="20"/>
      <c r="G19" s="20"/>
      <c r="H19" s="85" t="s">
        <v>72</v>
      </c>
      <c r="I19" s="85"/>
      <c r="J19" s="85"/>
      <c r="K19" s="184"/>
      <c r="L19" s="9" t="s">
        <v>196</v>
      </c>
      <c r="M19" s="11">
        <v>2025</v>
      </c>
      <c r="N19" s="133" t="s">
        <v>269</v>
      </c>
      <c r="P19" s="157" t="s">
        <v>302</v>
      </c>
      <c r="Q19" s="213" t="s">
        <v>602</v>
      </c>
      <c r="R19" s="215" t="e">
        <f t="shared" ref="R19:R23" si="0">HYPERLINK("#'CCF'!A" &amp; S19, "zur Folge")</f>
        <v>#N/A</v>
      </c>
      <c r="S19" s="214" t="e">
        <f>MATCH(Q19,CCF!C:C,0)</f>
        <v>#N/A</v>
      </c>
    </row>
    <row r="20" spans="1:19" ht="20.100000000000001" customHeight="1">
      <c r="A20" s="28" t="s">
        <v>102</v>
      </c>
      <c r="B20" s="8" t="s">
        <v>72</v>
      </c>
      <c r="C20" s="20"/>
      <c r="D20" s="20"/>
      <c r="E20" s="20"/>
      <c r="F20" s="20"/>
      <c r="G20" s="20"/>
      <c r="H20" s="8" t="s">
        <v>72</v>
      </c>
      <c r="I20" s="8"/>
      <c r="J20" s="8"/>
      <c r="K20" s="184"/>
      <c r="L20" s="275" t="s">
        <v>694</v>
      </c>
      <c r="M20" s="230" t="s">
        <v>620</v>
      </c>
      <c r="N20" s="133" t="s">
        <v>270</v>
      </c>
      <c r="O20" s="90"/>
      <c r="P20" s="157" t="s">
        <v>302</v>
      </c>
      <c r="Q20" s="230" t="s">
        <v>603</v>
      </c>
      <c r="R20" s="215" t="str">
        <f t="shared" si="0"/>
        <v>zur Folge</v>
      </c>
      <c r="S20" s="214">
        <f>MATCH(Q20,CCF!C:C,0)</f>
        <v>17</v>
      </c>
    </row>
    <row r="21" spans="1:19" ht="20.100000000000001" customHeight="1">
      <c r="A21" s="28" t="s">
        <v>102</v>
      </c>
      <c r="B21" s="8" t="s">
        <v>72</v>
      </c>
      <c r="C21" s="20"/>
      <c r="D21" s="20"/>
      <c r="E21" s="20"/>
      <c r="F21" s="20"/>
      <c r="G21" s="20"/>
      <c r="H21" s="8" t="s">
        <v>72</v>
      </c>
      <c r="I21" s="8"/>
      <c r="J21" s="8"/>
      <c r="K21" s="184"/>
      <c r="L21" s="9" t="s">
        <v>197</v>
      </c>
      <c r="M21" s="11">
        <v>2025</v>
      </c>
      <c r="N21" s="133" t="s">
        <v>271</v>
      </c>
      <c r="P21" s="157" t="s">
        <v>302</v>
      </c>
      <c r="Q21" s="213" t="s">
        <v>604</v>
      </c>
      <c r="R21" s="215" t="e">
        <f t="shared" si="0"/>
        <v>#N/A</v>
      </c>
      <c r="S21" s="214" t="e">
        <f>MATCH(Q21,CCF!C:C,0)</f>
        <v>#N/A</v>
      </c>
    </row>
    <row r="22" spans="1:19" ht="20.100000000000001" customHeight="1">
      <c r="A22" s="28" t="s">
        <v>102</v>
      </c>
      <c r="B22" s="8" t="s">
        <v>72</v>
      </c>
      <c r="C22" s="20"/>
      <c r="D22" s="20"/>
      <c r="E22" s="20"/>
      <c r="F22" s="20"/>
      <c r="G22" s="20"/>
      <c r="H22" s="20"/>
      <c r="I22" s="20"/>
      <c r="J22" s="20" t="s">
        <v>72</v>
      </c>
      <c r="K22" s="184"/>
      <c r="L22" s="9" t="s">
        <v>228</v>
      </c>
      <c r="M22" s="102" t="s">
        <v>232</v>
      </c>
      <c r="N22" s="133" t="s">
        <v>227</v>
      </c>
      <c r="P22" s="157" t="s">
        <v>302</v>
      </c>
      <c r="Q22" s="213" t="s">
        <v>605</v>
      </c>
      <c r="R22" s="215" t="str">
        <f t="shared" si="0"/>
        <v>zur Folge</v>
      </c>
      <c r="S22" s="214">
        <f>MATCH(Q22,CCF!C:C,0)</f>
        <v>3</v>
      </c>
    </row>
    <row r="23" spans="1:19" ht="20.100000000000001" customHeight="1">
      <c r="A23" s="28" t="s">
        <v>102</v>
      </c>
      <c r="B23" s="8" t="s">
        <v>72</v>
      </c>
      <c r="C23" s="20"/>
      <c r="D23" s="20"/>
      <c r="E23" s="20"/>
      <c r="F23" s="20"/>
      <c r="G23" s="20"/>
      <c r="H23" s="20"/>
      <c r="I23" s="20" t="s">
        <v>72</v>
      </c>
      <c r="J23" s="20"/>
      <c r="K23" s="184"/>
      <c r="L23" s="139" t="s">
        <v>285</v>
      </c>
      <c r="M23" s="11"/>
      <c r="N23" s="133" t="s">
        <v>286</v>
      </c>
      <c r="P23" s="155" t="s">
        <v>302</v>
      </c>
      <c r="Q23" s="230" t="s">
        <v>606</v>
      </c>
      <c r="R23" s="215" t="e">
        <f t="shared" si="0"/>
        <v>#N/A</v>
      </c>
      <c r="S23" s="214" t="e">
        <f>MATCH(Q23,CCF!C:C,0)</f>
        <v>#N/A</v>
      </c>
    </row>
    <row r="24" spans="1:19" ht="20.100000000000001" customHeight="1">
      <c r="A24" s="28" t="s">
        <v>102</v>
      </c>
      <c r="B24" s="8" t="s">
        <v>72</v>
      </c>
      <c r="C24" s="20"/>
      <c r="D24" s="20"/>
      <c r="E24" s="20"/>
      <c r="F24" s="20"/>
      <c r="G24" s="20"/>
      <c r="H24" s="20"/>
      <c r="I24" s="20" t="s">
        <v>72</v>
      </c>
      <c r="J24" s="20"/>
      <c r="K24" s="184"/>
      <c r="L24" s="172" t="s">
        <v>343</v>
      </c>
      <c r="M24" s="11"/>
      <c r="N24" s="133" t="s">
        <v>236</v>
      </c>
      <c r="P24" s="155" t="s">
        <v>302</v>
      </c>
      <c r="Q24" s="213" t="s">
        <v>607</v>
      </c>
      <c r="S24" s="214" t="e">
        <f>MATCH(Q24,CCF!C:C,0)</f>
        <v>#N/A</v>
      </c>
    </row>
    <row r="25" spans="1:19" ht="20.100000000000001" customHeight="1">
      <c r="A25" s="28" t="s">
        <v>102</v>
      </c>
      <c r="B25" s="8" t="s">
        <v>72</v>
      </c>
      <c r="C25" s="20"/>
      <c r="D25" s="20"/>
      <c r="E25" s="20"/>
      <c r="F25" s="20"/>
      <c r="G25" s="20"/>
      <c r="H25" s="20"/>
      <c r="I25" s="20"/>
      <c r="J25" s="20" t="s">
        <v>72</v>
      </c>
      <c r="K25" s="184"/>
      <c r="L25" s="9" t="s">
        <v>338</v>
      </c>
      <c r="M25" s="168" t="s">
        <v>337</v>
      </c>
      <c r="N25" s="133" t="s">
        <v>336</v>
      </c>
      <c r="P25" s="155" t="s">
        <v>302</v>
      </c>
      <c r="Q25" s="213" t="s">
        <v>608</v>
      </c>
      <c r="S25" s="214" t="e">
        <f>MATCH(Q25,CCF!C:C,0)</f>
        <v>#N/A</v>
      </c>
    </row>
    <row r="26" spans="1:19" ht="20.100000000000001" customHeight="1">
      <c r="A26" s="28" t="s">
        <v>102</v>
      </c>
      <c r="B26" s="20" t="s">
        <v>72</v>
      </c>
      <c r="C26" s="20"/>
      <c r="D26" s="20"/>
      <c r="E26" s="20"/>
      <c r="F26" s="20"/>
      <c r="G26" s="20"/>
      <c r="H26" s="20"/>
      <c r="I26" s="20"/>
      <c r="J26" s="20" t="s">
        <v>72</v>
      </c>
      <c r="K26" s="184"/>
      <c r="L26" s="179" t="s">
        <v>374</v>
      </c>
      <c r="M26" s="168" t="s">
        <v>339</v>
      </c>
      <c r="N26" s="133" t="s">
        <v>372</v>
      </c>
      <c r="O26" s="168" t="s">
        <v>376</v>
      </c>
      <c r="P26" s="155" t="s">
        <v>302</v>
      </c>
      <c r="Q26" s="230" t="s">
        <v>609</v>
      </c>
      <c r="S26" s="214" t="e">
        <f>MATCH(Q26,CCF!C:C,0)</f>
        <v>#N/A</v>
      </c>
    </row>
    <row r="27" spans="1:19" ht="20.100000000000001" customHeight="1">
      <c r="A27" s="180" t="s">
        <v>101</v>
      </c>
      <c r="B27" s="20" t="s">
        <v>72</v>
      </c>
      <c r="C27" s="20"/>
      <c r="D27" s="20"/>
      <c r="E27" s="20"/>
      <c r="F27" s="20"/>
      <c r="G27" s="20"/>
      <c r="H27" s="20"/>
      <c r="I27" s="20"/>
      <c r="J27" s="20" t="s">
        <v>72</v>
      </c>
      <c r="K27" s="184"/>
      <c r="L27" s="9"/>
      <c r="M27" s="168"/>
      <c r="N27" s="133" t="s">
        <v>371</v>
      </c>
      <c r="O27" s="168" t="s">
        <v>375</v>
      </c>
      <c r="P27" s="155" t="s">
        <v>302</v>
      </c>
      <c r="Q27" s="213" t="s">
        <v>610</v>
      </c>
      <c r="S27" s="214" t="e">
        <f>MATCH(Q27,CCF!C:C,0)</f>
        <v>#N/A</v>
      </c>
    </row>
    <row r="28" spans="1:19" ht="20.100000000000001" customHeight="1">
      <c r="A28" s="180" t="s">
        <v>102</v>
      </c>
      <c r="B28" s="20" t="s">
        <v>72</v>
      </c>
      <c r="C28" s="20"/>
      <c r="D28" s="20"/>
      <c r="E28" s="20"/>
      <c r="F28" s="20"/>
      <c r="G28" s="20"/>
      <c r="H28" s="20"/>
      <c r="I28" s="20"/>
      <c r="J28" s="20" t="s">
        <v>72</v>
      </c>
      <c r="K28" s="184"/>
      <c r="L28" s="9" t="s">
        <v>340</v>
      </c>
      <c r="M28" s="168" t="s">
        <v>339</v>
      </c>
      <c r="N28" s="133" t="s">
        <v>373</v>
      </c>
      <c r="P28" s="155" t="s">
        <v>302</v>
      </c>
      <c r="Q28" s="213" t="s">
        <v>611</v>
      </c>
      <c r="S28" s="214" t="e">
        <f>MATCH(Q28,CCF!C:C,0)</f>
        <v>#N/A</v>
      </c>
    </row>
    <row r="29" spans="1:19" ht="20.100000000000001" customHeight="1">
      <c r="A29" s="180" t="s">
        <v>101</v>
      </c>
      <c r="B29" s="20" t="s">
        <v>72</v>
      </c>
      <c r="C29" s="20"/>
      <c r="D29" s="20"/>
      <c r="E29" s="20"/>
      <c r="F29" s="20"/>
      <c r="G29" s="20"/>
      <c r="H29" s="20"/>
      <c r="I29" s="20"/>
      <c r="J29" s="20" t="s">
        <v>72</v>
      </c>
      <c r="K29" s="184"/>
      <c r="L29" s="9"/>
      <c r="M29" s="181"/>
      <c r="N29" s="133" t="s">
        <v>377</v>
      </c>
      <c r="O29" s="168" t="s">
        <v>376</v>
      </c>
      <c r="P29" s="155" t="s">
        <v>302</v>
      </c>
      <c r="Q29" s="230" t="s">
        <v>612</v>
      </c>
      <c r="S29" s="214" t="e">
        <f>MATCH(Q29,CCF!C:C,0)</f>
        <v>#N/A</v>
      </c>
    </row>
    <row r="30" spans="1:19" ht="20.100000000000001" customHeight="1">
      <c r="A30" s="180" t="s">
        <v>101</v>
      </c>
      <c r="B30" s="20" t="s">
        <v>72</v>
      </c>
      <c r="C30" s="20"/>
      <c r="D30" s="20"/>
      <c r="E30" s="20"/>
      <c r="F30" s="20"/>
      <c r="G30" s="20"/>
      <c r="H30" s="20"/>
      <c r="I30" s="20"/>
      <c r="J30" s="20" t="s">
        <v>72</v>
      </c>
      <c r="K30" s="184"/>
      <c r="L30" s="9"/>
      <c r="M30" s="181"/>
      <c r="N30" s="133" t="s">
        <v>378</v>
      </c>
      <c r="O30" s="168" t="s">
        <v>375</v>
      </c>
      <c r="P30" s="155" t="s">
        <v>302</v>
      </c>
      <c r="Q30" s="213" t="s">
        <v>613</v>
      </c>
      <c r="S30" s="214" t="e">
        <f>MATCH(Q30,CCF!C:C,0)</f>
        <v>#N/A</v>
      </c>
    </row>
    <row r="31" spans="1:19" ht="20.100000000000001" customHeight="1">
      <c r="A31" s="180" t="s">
        <v>101</v>
      </c>
      <c r="B31" s="20" t="s">
        <v>72</v>
      </c>
      <c r="C31" s="20"/>
      <c r="D31" s="20"/>
      <c r="E31" s="20"/>
      <c r="F31" s="20"/>
      <c r="G31" s="20"/>
      <c r="H31" s="20"/>
      <c r="I31" s="20"/>
      <c r="J31" s="20" t="s">
        <v>72</v>
      </c>
      <c r="K31" s="184"/>
      <c r="L31" s="9"/>
      <c r="M31" s="181"/>
      <c r="N31" s="133" t="s">
        <v>379</v>
      </c>
      <c r="P31" s="155" t="s">
        <v>302</v>
      </c>
      <c r="Q31" s="213" t="s">
        <v>614</v>
      </c>
      <c r="S31" s="214" t="e">
        <f>MATCH(Q31,CCF!C:C,0)</f>
        <v>#N/A</v>
      </c>
    </row>
    <row r="32" spans="1:19" ht="20.100000000000001" customHeight="1">
      <c r="A32" s="180" t="s">
        <v>101</v>
      </c>
      <c r="B32" s="20" t="s">
        <v>72</v>
      </c>
      <c r="C32" s="20"/>
      <c r="D32" s="20"/>
      <c r="E32" s="20"/>
      <c r="F32" s="20"/>
      <c r="G32" s="20"/>
      <c r="H32" s="20"/>
      <c r="I32" s="20"/>
      <c r="J32" s="20" t="s">
        <v>72</v>
      </c>
      <c r="K32" s="184"/>
      <c r="L32" s="9"/>
      <c r="M32" s="168"/>
      <c r="N32" s="133" t="s">
        <v>380</v>
      </c>
      <c r="P32" s="155" t="s">
        <v>302</v>
      </c>
      <c r="Q32" s="230" t="s">
        <v>615</v>
      </c>
      <c r="S32" s="214" t="e">
        <f>MATCH(Q32,CCF!C:C,0)</f>
        <v>#N/A</v>
      </c>
    </row>
    <row r="33" spans="1:19" ht="20.100000000000001" customHeight="1">
      <c r="A33" s="170" t="s">
        <v>102</v>
      </c>
      <c r="B33" s="20" t="s">
        <v>72</v>
      </c>
      <c r="C33" s="20"/>
      <c r="D33" s="20"/>
      <c r="E33" s="20"/>
      <c r="F33" s="20"/>
      <c r="G33" s="20"/>
      <c r="H33" s="20"/>
      <c r="I33" s="20"/>
      <c r="J33" s="20"/>
      <c r="K33" s="20" t="s">
        <v>72</v>
      </c>
      <c r="L33" s="9" t="s">
        <v>342</v>
      </c>
      <c r="M33" s="168"/>
      <c r="N33" s="133" t="s">
        <v>341</v>
      </c>
      <c r="P33" s="155" t="s">
        <v>302</v>
      </c>
      <c r="Q33" s="213" t="s">
        <v>616</v>
      </c>
      <c r="S33" s="214" t="e">
        <f>MATCH(Q33,CCF!C:C,0)</f>
        <v>#N/A</v>
      </c>
    </row>
    <row r="34" spans="1:19" ht="20.100000000000001" customHeight="1">
      <c r="A34" s="290" t="s">
        <v>102</v>
      </c>
      <c r="M34" s="11"/>
      <c r="N34" s="133" t="s">
        <v>728</v>
      </c>
      <c r="P34" s="155" t="s">
        <v>302</v>
      </c>
      <c r="Q34" s="213"/>
    </row>
    <row r="35" spans="1:19" ht="20.100000000000001" customHeight="1">
      <c r="A35" s="170" t="s">
        <v>102</v>
      </c>
      <c r="M35" s="258" t="s">
        <v>729</v>
      </c>
      <c r="N35" s="133" t="s">
        <v>730</v>
      </c>
      <c r="P35" s="155" t="s">
        <v>302</v>
      </c>
      <c r="Q35" s="230"/>
    </row>
    <row r="36" spans="1:19" ht="20.100000000000001" customHeight="1">
      <c r="A36" s="170" t="s">
        <v>102</v>
      </c>
      <c r="N36" s="133" t="s">
        <v>729</v>
      </c>
      <c r="P36" s="155" t="s">
        <v>302</v>
      </c>
      <c r="Q36" s="213"/>
    </row>
    <row r="37" spans="1:19" ht="20.100000000000001" customHeight="1">
      <c r="A37" s="170" t="s">
        <v>102</v>
      </c>
      <c r="N37" s="133"/>
      <c r="P37" s="155" t="s">
        <v>302</v>
      </c>
      <c r="Q37" s="213"/>
    </row>
    <row r="38" spans="1:19" ht="20.100000000000001" customHeight="1">
      <c r="A38" s="12" t="s">
        <v>103</v>
      </c>
      <c r="N38" s="258"/>
      <c r="P38" s="154" t="s">
        <v>302</v>
      </c>
    </row>
    <row r="39" spans="1:19" ht="20.100000000000001" customHeight="1">
      <c r="P39" s="154"/>
    </row>
  </sheetData>
  <dataConsolidate/>
  <phoneticPr fontId="55" type="noConversion"/>
  <hyperlinks>
    <hyperlink ref="N11" xr:uid="{311A5516-26D7-4C35-A172-11E955FA1CDD}"/>
    <hyperlink ref="N3" r:id="rId1" xr:uid="{29EED689-FB77-4748-89FA-371A2E465403}"/>
    <hyperlink ref="N4" r:id="rId2" location="fpstate=ive&amp;vld=cid:b55a173d,vid:xNx16-QIJ_A,st:3" display="https://www.google.com/search?client=firefox-b-d&amp;sca_esv=486c0866b8b04e5b&amp;cs=1&amp;sxsrf=AE3TifPtjptDcqbJhkrx11SFeUII7-5jPg:1762796628536&amp;q=cha+cha+cha+grundschritt+ohne+partner&amp;sa=X&amp;ved=2ahUKEwi75-iWkeiQAxVpUEEAHWOtHwYQpboHKAB6BAgDEAI&amp;biw=1920&amp;bih=947&amp;dpr=1#fpstate=ive&amp;vld=cid:b55a173d,vid:xNx16-QIJ_A,st:3" xr:uid="{AECCA9F2-E914-4D3A-87CC-78B67DE50173}"/>
    <hyperlink ref="N5" r:id="rId3" location="fpstate=ive&amp;vld=cid:b55a173d,vid:xNx16-QIJ_A,st:0" display="https://www.google.com/search?client=firefox-b-d&amp;sca_esv=486c0866b8b04e5b&amp;cs=1&amp;sxsrf=AE3TifPtjptDcqbJhkrx11SFeUII7-5jPg:1762796628536&amp;q=cha+cha+cha+grundschritt+ohne+partner&amp;sa=X&amp;ved=2ahUKEwi75-iWkeiQAxVpUEEAHWOtHwYQpboHKAB6BAgDEAI&amp;biw=1920&amp;bih=947&amp;dpr=1#fpstate=ive&amp;vld=cid:b55a173d,vid:xNx16-QIJ_A,st:0" xr:uid="{B6FE9256-4A1B-48F0-BF3F-ACE2B2DD8C1E}"/>
    <hyperlink ref="N6" r:id="rId4" xr:uid="{905D1D74-4CEE-4146-BBF9-F0D05737989F}"/>
    <hyperlink ref="N7" r:id="rId5" xr:uid="{0E5CEF79-401B-436A-835B-157C13C0BAF3}"/>
    <hyperlink ref="N8" r:id="rId6" xr:uid="{E6830D1B-C045-4CCF-BA6E-E96BA3871552}"/>
    <hyperlink ref="N9" r:id="rId7" xr:uid="{6D2CC969-78E3-481F-A40B-70038FD8997E}"/>
    <hyperlink ref="N10" r:id="rId8" xr:uid="{0BF0B26B-E6A7-4285-81D7-FC8F36C0FD2B}"/>
    <hyperlink ref="N12" r:id="rId9" xr:uid="{C34494FC-A72E-4A2A-8346-0CF45E40C626}"/>
    <hyperlink ref="N13" r:id="rId10" xr:uid="{06DF1331-2394-48A4-9EC7-E8C5559D1D99}"/>
    <hyperlink ref="N14" r:id="rId11" xr:uid="{AC4E640C-8136-405B-A691-4226736DBECA}"/>
    <hyperlink ref="N15" r:id="rId12" xr:uid="{4D799F0C-8809-4FA2-88AB-AE21757CB91D}"/>
    <hyperlink ref="N16" r:id="rId13" xr:uid="{9E7FC88A-8C83-45A0-A5B2-2E7C43288163}"/>
    <hyperlink ref="N17" r:id="rId14" xr:uid="{12D2E975-F2F3-46CB-A42F-CFB9B2C9295E}"/>
    <hyperlink ref="N18" r:id="rId15" xr:uid="{1ADCBE61-2174-4BA5-84F7-0B5F0A654680}"/>
    <hyperlink ref="N19" r:id="rId16" xr:uid="{09DF45BF-58B4-49ED-ABD1-6B7EA6AED284}"/>
    <hyperlink ref="N20" r:id="rId17" xr:uid="{3EC0BE78-931D-4556-88AD-8F213271D344}"/>
    <hyperlink ref="N21" r:id="rId18" xr:uid="{CC4B8A6A-50C6-4AC0-9866-346D94EFD62A}"/>
    <hyperlink ref="N22" r:id="rId19" xr:uid="{33DD44B4-D56E-488D-8D1E-0678A6B65B9D}"/>
    <hyperlink ref="N23" r:id="rId20" xr:uid="{9F8C3C32-E170-4220-88CB-BF801BAB847D}"/>
    <hyperlink ref="N24" r:id="rId21" xr:uid="{7DBB5CD6-D3D4-4DA5-9CEF-AB74E8DFFC48}"/>
    <hyperlink ref="N25" r:id="rId22" xr:uid="{06E25F7A-7FF7-448C-A50F-6A8D8DD171D1}"/>
    <hyperlink ref="N26" r:id="rId23" xr:uid="{5F2B31DD-B1BE-4744-B9F6-FDBD480894A6}"/>
    <hyperlink ref="N27" r:id="rId24" xr:uid="{85F75A94-3CD9-4254-87E0-F96568D1A241}"/>
    <hyperlink ref="N28" r:id="rId25" xr:uid="{5779A42E-763B-417A-8E50-6B18B44568EE}"/>
    <hyperlink ref="N29" r:id="rId26" xr:uid="{5EF48163-9B1A-4148-8731-22C2BDE95726}"/>
    <hyperlink ref="N30" r:id="rId27" xr:uid="{04D7F0C6-F24E-4859-829F-DCF839018AF3}"/>
    <hyperlink ref="N31" r:id="rId28" xr:uid="{58907CDB-95B1-4D5F-9C59-238B67BA8D5F}"/>
    <hyperlink ref="N32" r:id="rId29" xr:uid="{F2F133C4-BC68-4579-9B1E-01CBC6052189}"/>
    <hyperlink ref="N33" r:id="rId30" xr:uid="{21E23488-DB84-478A-A53B-320A7A291ADD}"/>
    <hyperlink ref="N34" r:id="rId31" xr:uid="{1EE83B68-96CE-446F-AA4C-8668C136DA97}"/>
    <hyperlink ref="N35" r:id="rId32" xr:uid="{91BA54F6-6F3F-499C-936C-7A816FEBDC69}"/>
  </hyperlinks>
  <pageMargins left="0.7" right="0.7" top="0.78740157499999996" bottom="0.78740157499999996" header="0.3" footer="0.3"/>
  <pageSetup paperSize="9" orientation="portrait" r:id="rId3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05E036-9E83-4CDA-996C-9AF5DABCC93D}">
  <sheetPr codeName="Tabelle2"/>
  <dimension ref="A1:Q35"/>
  <sheetViews>
    <sheetView workbookViewId="0">
      <pane ySplit="1" topLeftCell="A2" activePane="bottomLeft" state="frozen"/>
      <selection activeCell="A3" sqref="A3:XFD3"/>
      <selection pane="bottomLeft" activeCell="O11" sqref="O11"/>
    </sheetView>
  </sheetViews>
  <sheetFormatPr baseColWidth="10" defaultColWidth="11.5546875" defaultRowHeight="15.6"/>
  <cols>
    <col min="1" max="1" width="8.33203125" style="20" customWidth="1"/>
    <col min="2" max="10" width="3.6640625" style="38" bestFit="1" customWidth="1"/>
    <col min="11" max="11" width="6.6640625" bestFit="1" customWidth="1"/>
    <col min="12" max="12" width="26.109375" style="84" customWidth="1"/>
    <col min="13" max="13" width="12" style="17" bestFit="1" customWidth="1"/>
    <col min="14" max="14" width="21.5546875" style="17" customWidth="1"/>
    <col min="15" max="15" width="52.44140625" style="81" customWidth="1"/>
    <col min="16" max="16" width="13.88671875" style="17" bestFit="1" customWidth="1"/>
    <col min="17" max="16384" width="11.5546875" style="17"/>
  </cols>
  <sheetData>
    <row r="1" spans="1:17" s="2" customFormat="1" ht="55.2" customHeight="1">
      <c r="A1" s="21" t="s">
        <v>96</v>
      </c>
      <c r="B1" s="261" t="s">
        <v>109</v>
      </c>
      <c r="C1" s="261" t="s">
        <v>136</v>
      </c>
      <c r="D1" s="261" t="s">
        <v>137</v>
      </c>
      <c r="E1" s="261" t="s">
        <v>224</v>
      </c>
      <c r="F1" s="261" t="s">
        <v>138</v>
      </c>
      <c r="G1" s="261" t="s">
        <v>146</v>
      </c>
      <c r="H1" s="261" t="s">
        <v>195</v>
      </c>
      <c r="I1" s="261" t="s">
        <v>235</v>
      </c>
      <c r="J1" s="261" t="s">
        <v>223</v>
      </c>
      <c r="K1" s="261" t="s">
        <v>390</v>
      </c>
      <c r="L1" s="82" t="s">
        <v>70</v>
      </c>
      <c r="M1" s="25" t="s">
        <v>71</v>
      </c>
      <c r="N1" s="25" t="s">
        <v>14</v>
      </c>
      <c r="O1" s="24" t="s">
        <v>97</v>
      </c>
    </row>
    <row r="2" spans="1:17" s="2" customFormat="1" ht="25.2" customHeight="1">
      <c r="A2" s="27" t="s">
        <v>104</v>
      </c>
      <c r="B2" s="32"/>
      <c r="C2" s="32"/>
      <c r="D2" s="33"/>
      <c r="E2" s="33"/>
      <c r="F2" s="33"/>
      <c r="G2" s="33"/>
      <c r="H2" s="33"/>
      <c r="I2" s="33"/>
      <c r="J2" s="33"/>
      <c r="L2" s="83"/>
      <c r="M2" s="10"/>
      <c r="N2" s="274"/>
      <c r="O2" s="11"/>
    </row>
    <row r="3" spans="1:17" s="2" customFormat="1" ht="25.2" customHeight="1">
      <c r="A3" s="28" t="s">
        <v>102</v>
      </c>
      <c r="B3" s="41" t="s">
        <v>72</v>
      </c>
      <c r="C3" s="41" t="s">
        <v>72</v>
      </c>
      <c r="D3" s="255" t="s">
        <v>72</v>
      </c>
      <c r="E3" s="42"/>
      <c r="F3" s="42"/>
      <c r="G3" s="42"/>
      <c r="H3" s="42"/>
      <c r="I3" s="42"/>
      <c r="J3" s="42"/>
      <c r="L3" s="1" t="s">
        <v>0</v>
      </c>
      <c r="M3" s="4"/>
      <c r="N3" s="133" t="s">
        <v>148</v>
      </c>
      <c r="O3" s="11"/>
      <c r="P3" s="174" t="s">
        <v>302</v>
      </c>
      <c r="Q3" s="160" t="s">
        <v>302</v>
      </c>
    </row>
    <row r="4" spans="1:17" s="2" customFormat="1" ht="25.2" customHeight="1">
      <c r="A4" s="28" t="s">
        <v>102</v>
      </c>
      <c r="B4" s="41" t="s">
        <v>72</v>
      </c>
      <c r="C4" s="312" t="s">
        <v>72</v>
      </c>
      <c r="D4" s="255" t="s">
        <v>72</v>
      </c>
      <c r="E4" s="42"/>
      <c r="F4" s="42"/>
      <c r="G4" s="42"/>
      <c r="H4" s="42"/>
      <c r="I4" s="42"/>
      <c r="J4" s="42"/>
      <c r="L4" s="1" t="s">
        <v>26</v>
      </c>
      <c r="M4" s="4"/>
      <c r="N4" s="133" t="s">
        <v>149</v>
      </c>
      <c r="O4" s="11"/>
      <c r="P4" s="160" t="s">
        <v>302</v>
      </c>
      <c r="Q4" s="160" t="s">
        <v>302</v>
      </c>
    </row>
    <row r="5" spans="1:17" s="2" customFormat="1" ht="25.2" customHeight="1">
      <c r="A5" s="28" t="s">
        <v>102</v>
      </c>
      <c r="B5" s="41" t="s">
        <v>72</v>
      </c>
      <c r="C5" s="41"/>
      <c r="D5" s="255" t="s">
        <v>72</v>
      </c>
      <c r="E5" s="42"/>
      <c r="F5" s="42"/>
      <c r="G5" s="42"/>
      <c r="H5" s="42"/>
      <c r="I5" s="42"/>
      <c r="J5" s="42"/>
      <c r="L5" s="1" t="s">
        <v>5</v>
      </c>
      <c r="M5" s="4"/>
      <c r="N5" s="133" t="s">
        <v>150</v>
      </c>
      <c r="O5" s="11"/>
      <c r="P5" s="174" t="s">
        <v>302</v>
      </c>
      <c r="Q5" s="160" t="s">
        <v>302</v>
      </c>
    </row>
    <row r="6" spans="1:17" s="2" customFormat="1" ht="25.2" customHeight="1">
      <c r="A6" s="28" t="s">
        <v>101</v>
      </c>
      <c r="B6" s="41" t="s">
        <v>72</v>
      </c>
      <c r="C6" s="41"/>
      <c r="D6" s="255" t="s">
        <v>72</v>
      </c>
      <c r="E6" s="42"/>
      <c r="F6" s="42"/>
      <c r="G6" s="42"/>
      <c r="H6" s="42"/>
      <c r="I6" s="42"/>
      <c r="J6" s="42"/>
      <c r="L6" s="1"/>
      <c r="M6" s="4"/>
      <c r="N6" s="133" t="s">
        <v>151</v>
      </c>
      <c r="O6" s="94" t="s">
        <v>218</v>
      </c>
      <c r="P6" s="174" t="s">
        <v>302</v>
      </c>
      <c r="Q6" s="160" t="s">
        <v>302</v>
      </c>
    </row>
    <row r="7" spans="1:17" s="2" customFormat="1" ht="25.2" customHeight="1">
      <c r="A7" s="95" t="s">
        <v>101</v>
      </c>
      <c r="B7" s="41" t="s">
        <v>72</v>
      </c>
      <c r="C7" s="41"/>
      <c r="D7" s="255" t="s">
        <v>72</v>
      </c>
      <c r="E7" s="42"/>
      <c r="F7" s="42"/>
      <c r="G7" s="42"/>
      <c r="H7" s="42"/>
      <c r="I7" s="42"/>
      <c r="J7" s="42"/>
      <c r="L7" s="1"/>
      <c r="M7" s="4"/>
      <c r="N7" s="133" t="s">
        <v>217</v>
      </c>
      <c r="O7" s="94" t="s">
        <v>219</v>
      </c>
      <c r="P7" s="174" t="s">
        <v>302</v>
      </c>
      <c r="Q7" s="160" t="s">
        <v>302</v>
      </c>
    </row>
    <row r="8" spans="1:17" s="2" customFormat="1" ht="25.2" customHeight="1">
      <c r="A8" s="95" t="s">
        <v>101</v>
      </c>
      <c r="B8" s="41" t="s">
        <v>72</v>
      </c>
      <c r="C8" s="41"/>
      <c r="D8" s="255" t="s">
        <v>72</v>
      </c>
      <c r="E8" s="42"/>
      <c r="F8" s="42"/>
      <c r="G8" s="42"/>
      <c r="H8" s="42"/>
      <c r="I8" s="42"/>
      <c r="J8" s="42"/>
      <c r="L8" s="1"/>
      <c r="M8" s="4"/>
      <c r="N8" s="133" t="s">
        <v>220</v>
      </c>
      <c r="O8" s="96" t="s">
        <v>221</v>
      </c>
      <c r="P8" s="174" t="s">
        <v>302</v>
      </c>
      <c r="Q8" s="160" t="s">
        <v>302</v>
      </c>
    </row>
    <row r="9" spans="1:17" s="2" customFormat="1" ht="25.2" customHeight="1">
      <c r="A9" s="28" t="s">
        <v>102</v>
      </c>
      <c r="B9" s="41" t="s">
        <v>72</v>
      </c>
      <c r="C9" s="41"/>
      <c r="D9" s="255" t="s">
        <v>72</v>
      </c>
      <c r="E9" s="42"/>
      <c r="F9" s="42"/>
      <c r="G9" s="42"/>
      <c r="H9" s="42"/>
      <c r="I9" s="42"/>
      <c r="J9" s="42"/>
      <c r="L9" s="1" t="s">
        <v>69</v>
      </c>
      <c r="M9" s="4"/>
      <c r="N9" s="133" t="s">
        <v>152</v>
      </c>
      <c r="O9" s="11" t="s">
        <v>99</v>
      </c>
      <c r="P9" s="174" t="s">
        <v>302</v>
      </c>
      <c r="Q9" s="160" t="s">
        <v>302</v>
      </c>
    </row>
    <row r="10" spans="1:17" s="2" customFormat="1" ht="25.2" customHeight="1">
      <c r="A10" s="28" t="s">
        <v>102</v>
      </c>
      <c r="B10" s="41" t="s">
        <v>72</v>
      </c>
      <c r="C10" s="41"/>
      <c r="D10" s="42"/>
      <c r="E10" s="42"/>
      <c r="F10" s="42"/>
      <c r="G10" s="42"/>
      <c r="H10" s="42" t="s">
        <v>72</v>
      </c>
      <c r="I10" s="42"/>
      <c r="J10" s="42"/>
      <c r="L10" s="1" t="s">
        <v>198</v>
      </c>
      <c r="M10" s="4"/>
      <c r="N10" s="133" t="s">
        <v>272</v>
      </c>
      <c r="O10" s="11"/>
      <c r="P10" s="175" t="s">
        <v>302</v>
      </c>
      <c r="Q10" s="161" t="s">
        <v>302</v>
      </c>
    </row>
    <row r="11" spans="1:17" s="2" customFormat="1" ht="25.2" customHeight="1">
      <c r="A11" s="28" t="s">
        <v>102</v>
      </c>
      <c r="B11" s="41" t="s">
        <v>72</v>
      </c>
      <c r="C11" s="41"/>
      <c r="D11" s="42"/>
      <c r="E11" s="42"/>
      <c r="F11" s="42"/>
      <c r="G11" s="42" t="s">
        <v>72</v>
      </c>
      <c r="H11" s="42"/>
      <c r="I11" s="42"/>
      <c r="J11" s="42"/>
      <c r="L11" s="339" t="s">
        <v>775</v>
      </c>
      <c r="M11" s="4"/>
      <c r="N11" s="133" t="s">
        <v>273</v>
      </c>
      <c r="O11" s="11"/>
      <c r="P11" s="175" t="s">
        <v>302</v>
      </c>
      <c r="Q11" s="161" t="s">
        <v>302</v>
      </c>
    </row>
    <row r="12" spans="1:17" s="2" customFormat="1" ht="25.2" customHeight="1">
      <c r="A12" s="28" t="s">
        <v>101</v>
      </c>
      <c r="B12" s="41" t="s">
        <v>72</v>
      </c>
      <c r="C12" s="41"/>
      <c r="D12" s="42"/>
      <c r="E12" s="42"/>
      <c r="F12" s="42"/>
      <c r="G12" s="42" t="s">
        <v>72</v>
      </c>
      <c r="H12" s="42"/>
      <c r="I12" s="42"/>
      <c r="J12" s="42"/>
      <c r="L12" s="1"/>
      <c r="M12" s="4"/>
      <c r="N12" s="133" t="s">
        <v>287</v>
      </c>
      <c r="O12" s="11"/>
      <c r="P12" s="175" t="s">
        <v>302</v>
      </c>
      <c r="Q12" s="161" t="s">
        <v>302</v>
      </c>
    </row>
    <row r="13" spans="1:17" s="2" customFormat="1" ht="25.2" customHeight="1">
      <c r="A13" s="97" t="s">
        <v>102</v>
      </c>
      <c r="B13" s="41" t="s">
        <v>72</v>
      </c>
      <c r="C13" s="41"/>
      <c r="D13" s="42"/>
      <c r="E13" s="42"/>
      <c r="F13" s="42"/>
      <c r="G13" s="42"/>
      <c r="H13" s="42"/>
      <c r="I13" s="42"/>
      <c r="J13" s="99" t="s">
        <v>72</v>
      </c>
      <c r="L13" s="100" t="s">
        <v>231</v>
      </c>
      <c r="M13" s="101" t="s">
        <v>232</v>
      </c>
      <c r="N13" s="133" t="s">
        <v>230</v>
      </c>
      <c r="O13" s="11"/>
      <c r="P13" s="174" t="s">
        <v>302</v>
      </c>
      <c r="Q13" s="160" t="s">
        <v>302</v>
      </c>
    </row>
    <row r="14" spans="1:17" s="2" customFormat="1" ht="25.2" customHeight="1">
      <c r="A14" s="97" t="s">
        <v>101</v>
      </c>
      <c r="B14" s="41" t="s">
        <v>72</v>
      </c>
      <c r="C14" s="41"/>
      <c r="D14" s="42"/>
      <c r="E14" s="42"/>
      <c r="F14" s="42"/>
      <c r="G14" s="42"/>
      <c r="H14" s="42"/>
      <c r="I14" s="42"/>
      <c r="J14" s="42"/>
      <c r="L14" s="1"/>
      <c r="M14" s="4"/>
      <c r="N14" s="133" t="s">
        <v>233</v>
      </c>
      <c r="O14" s="11"/>
      <c r="P14" s="174" t="s">
        <v>302</v>
      </c>
      <c r="Q14" s="160" t="s">
        <v>302</v>
      </c>
    </row>
    <row r="15" spans="1:17" s="2" customFormat="1" ht="25.2" customHeight="1">
      <c r="A15" s="135" t="s">
        <v>102</v>
      </c>
      <c r="B15" s="41" t="s">
        <v>72</v>
      </c>
      <c r="C15" s="41"/>
      <c r="D15" s="42"/>
      <c r="E15" s="137" t="s">
        <v>72</v>
      </c>
      <c r="F15" s="42"/>
      <c r="G15" s="42"/>
      <c r="H15" s="42"/>
      <c r="I15" s="42"/>
      <c r="J15" s="42"/>
      <c r="L15" s="138" t="s">
        <v>267</v>
      </c>
      <c r="M15" s="4"/>
      <c r="N15" s="133" t="s">
        <v>274</v>
      </c>
      <c r="O15" s="11"/>
      <c r="P15" s="175" t="s">
        <v>302</v>
      </c>
      <c r="Q15" s="161" t="s">
        <v>302</v>
      </c>
    </row>
    <row r="16" spans="1:17" s="2" customFormat="1" ht="25.2" customHeight="1">
      <c r="A16" s="135" t="s">
        <v>102</v>
      </c>
      <c r="B16" s="41" t="s">
        <v>72</v>
      </c>
      <c r="C16" s="41"/>
      <c r="D16" s="42"/>
      <c r="E16" s="42"/>
      <c r="F16" s="42"/>
      <c r="G16" s="42"/>
      <c r="H16" s="42"/>
      <c r="I16" s="42"/>
      <c r="J16" s="42"/>
      <c r="K16" s="41" t="s">
        <v>72</v>
      </c>
      <c r="L16" s="1"/>
      <c r="M16" s="4"/>
      <c r="N16" s="133" t="s">
        <v>397</v>
      </c>
      <c r="O16" s="11"/>
      <c r="P16" s="175" t="s">
        <v>302</v>
      </c>
      <c r="Q16" s="161" t="s">
        <v>302</v>
      </c>
    </row>
    <row r="17" spans="1:17" s="2" customFormat="1" ht="25.2" customHeight="1">
      <c r="A17" s="135" t="s">
        <v>102</v>
      </c>
      <c r="B17" s="41" t="s">
        <v>72</v>
      </c>
      <c r="C17" s="41"/>
      <c r="D17" s="42"/>
      <c r="E17" s="42"/>
      <c r="F17" s="42"/>
      <c r="G17" s="42"/>
      <c r="H17" s="42"/>
      <c r="I17" s="42"/>
      <c r="J17" s="42"/>
      <c r="K17" s="41" t="s">
        <v>72</v>
      </c>
      <c r="L17" s="1"/>
      <c r="M17" s="4"/>
      <c r="N17" s="133" t="s">
        <v>398</v>
      </c>
      <c r="O17" s="11"/>
      <c r="P17" s="175" t="s">
        <v>302</v>
      </c>
      <c r="Q17" s="161" t="s">
        <v>302</v>
      </c>
    </row>
    <row r="18" spans="1:17" s="2" customFormat="1" ht="25.2" customHeight="1">
      <c r="A18" s="135" t="s">
        <v>102</v>
      </c>
      <c r="B18" s="41" t="s">
        <v>72</v>
      </c>
      <c r="C18" s="41"/>
      <c r="D18" s="42"/>
      <c r="E18" s="42"/>
      <c r="F18" s="42"/>
      <c r="G18" s="42"/>
      <c r="H18" s="42"/>
      <c r="I18" s="42"/>
      <c r="J18" s="42"/>
      <c r="K18" s="41" t="s">
        <v>72</v>
      </c>
      <c r="L18" s="1"/>
      <c r="M18" s="4"/>
      <c r="N18" s="133" t="s">
        <v>399</v>
      </c>
      <c r="O18" s="11"/>
      <c r="P18" s="175" t="s">
        <v>302</v>
      </c>
      <c r="Q18" s="161" t="s">
        <v>302</v>
      </c>
    </row>
    <row r="19" spans="1:17" s="2" customFormat="1" ht="25.2" customHeight="1">
      <c r="A19" s="186" t="s">
        <v>103</v>
      </c>
      <c r="B19" s="41" t="s">
        <v>72</v>
      </c>
      <c r="C19" s="41"/>
      <c r="D19" s="42"/>
      <c r="E19" s="42"/>
      <c r="F19" s="42"/>
      <c r="G19" s="42"/>
      <c r="H19" s="42"/>
      <c r="I19" s="42"/>
      <c r="J19" s="42"/>
      <c r="K19" s="41" t="s">
        <v>72</v>
      </c>
      <c r="L19" s="1"/>
      <c r="M19" s="4"/>
      <c r="N19" s="87"/>
      <c r="O19" s="11"/>
      <c r="P19" s="174"/>
      <c r="Q19" s="160"/>
    </row>
    <row r="20" spans="1:17" s="2" customFormat="1" ht="25.2" customHeight="1">
      <c r="A20" s="28"/>
      <c r="B20" s="41"/>
      <c r="C20" s="41"/>
      <c r="D20" s="42"/>
      <c r="E20" s="42"/>
      <c r="F20" s="42"/>
      <c r="G20" s="42"/>
      <c r="H20" s="42"/>
      <c r="I20" s="42"/>
      <c r="J20" s="42"/>
      <c r="K20" s="41" t="s">
        <v>72</v>
      </c>
      <c r="L20" s="1"/>
      <c r="M20" s="4"/>
      <c r="N20" s="87"/>
      <c r="O20" s="11"/>
      <c r="P20" s="31"/>
    </row>
    <row r="21" spans="1:17" s="2" customFormat="1" ht="25.2" customHeight="1">
      <c r="A21" s="28"/>
      <c r="B21" s="41"/>
      <c r="C21" s="41"/>
      <c r="D21" s="42"/>
      <c r="E21" s="42"/>
      <c r="F21" s="42"/>
      <c r="G21" s="42"/>
      <c r="H21" s="42"/>
      <c r="I21" s="42"/>
      <c r="J21" s="42"/>
      <c r="K21" s="41" t="s">
        <v>72</v>
      </c>
      <c r="L21" s="1"/>
      <c r="M21" s="4"/>
      <c r="N21" s="87"/>
      <c r="O21" s="11"/>
      <c r="P21" s="31"/>
    </row>
    <row r="22" spans="1:17" s="2" customFormat="1" ht="25.2" customHeight="1">
      <c r="A22" s="28"/>
      <c r="B22" s="41"/>
      <c r="C22" s="41"/>
      <c r="D22" s="42"/>
      <c r="E22" s="42"/>
      <c r="F22" s="42"/>
      <c r="G22" s="42"/>
      <c r="H22" s="42"/>
      <c r="I22" s="42"/>
      <c r="J22" s="42"/>
      <c r="L22" s="1"/>
      <c r="M22" s="4"/>
      <c r="N22" s="87"/>
      <c r="O22" s="11"/>
      <c r="P22" s="31"/>
    </row>
    <row r="23" spans="1:17" s="2" customFormat="1" ht="25.2" customHeight="1">
      <c r="A23" s="28"/>
      <c r="B23" s="41"/>
      <c r="C23" s="41"/>
      <c r="D23" s="42"/>
      <c r="E23" s="42"/>
      <c r="F23" s="42"/>
      <c r="G23" s="42"/>
      <c r="H23" s="42"/>
      <c r="I23" s="42"/>
      <c r="J23" s="42"/>
      <c r="L23" s="1"/>
      <c r="M23" s="4"/>
      <c r="N23" s="87"/>
      <c r="O23" s="11"/>
      <c r="P23" s="31"/>
    </row>
    <row r="24" spans="1:17" s="2" customFormat="1" ht="25.2" customHeight="1">
      <c r="A24" s="28"/>
      <c r="B24" s="41"/>
      <c r="C24" s="41"/>
      <c r="D24" s="42"/>
      <c r="E24" s="42"/>
      <c r="F24" s="42"/>
      <c r="G24" s="42"/>
      <c r="H24" s="42"/>
      <c r="I24" s="42"/>
      <c r="J24" s="42"/>
      <c r="L24" s="1"/>
      <c r="M24" s="4"/>
      <c r="N24" s="87"/>
      <c r="O24" s="11"/>
      <c r="P24" s="31"/>
    </row>
    <row r="25" spans="1:17" s="2" customFormat="1" ht="25.2" customHeight="1">
      <c r="A25" s="28"/>
      <c r="B25" s="41"/>
      <c r="C25" s="41"/>
      <c r="D25" s="42"/>
      <c r="E25" s="42"/>
      <c r="F25" s="42"/>
      <c r="G25" s="42"/>
      <c r="H25" s="42"/>
      <c r="I25" s="42"/>
      <c r="J25" s="42"/>
      <c r="L25" s="1"/>
      <c r="M25" s="4"/>
      <c r="N25" s="87"/>
      <c r="O25" s="11"/>
      <c r="P25" s="31"/>
    </row>
    <row r="26" spans="1:17" s="2" customFormat="1" ht="25.2" customHeight="1">
      <c r="A26" s="28"/>
      <c r="B26" s="41"/>
      <c r="C26" s="41"/>
      <c r="D26" s="42"/>
      <c r="E26" s="42"/>
      <c r="F26" s="42"/>
      <c r="G26" s="42"/>
      <c r="H26" s="42"/>
      <c r="I26" s="42"/>
      <c r="J26" s="42"/>
      <c r="L26" s="1"/>
      <c r="M26" s="4"/>
      <c r="N26" s="87"/>
      <c r="O26" s="11"/>
      <c r="P26" s="31"/>
    </row>
    <row r="27" spans="1:17" s="2" customFormat="1" ht="25.2" customHeight="1">
      <c r="A27" s="28"/>
      <c r="B27" s="41"/>
      <c r="C27" s="41"/>
      <c r="D27" s="42"/>
      <c r="E27" s="42"/>
      <c r="F27" s="42"/>
      <c r="G27" s="42"/>
      <c r="H27" s="42"/>
      <c r="I27" s="42"/>
      <c r="J27" s="42"/>
      <c r="L27" s="1"/>
      <c r="M27" s="4"/>
      <c r="N27" s="87"/>
      <c r="O27" s="11"/>
      <c r="P27" s="31"/>
    </row>
    <row r="28" spans="1:17" s="2" customFormat="1" ht="25.2" customHeight="1">
      <c r="A28" s="28"/>
      <c r="B28" s="41"/>
      <c r="C28" s="41"/>
      <c r="D28" s="42"/>
      <c r="E28" s="42"/>
      <c r="F28" s="42"/>
      <c r="G28" s="42"/>
      <c r="H28" s="42"/>
      <c r="I28" s="42"/>
      <c r="J28" s="42"/>
      <c r="L28" s="1"/>
      <c r="M28" s="4"/>
      <c r="N28" s="87"/>
      <c r="O28" s="11"/>
      <c r="P28" s="31"/>
    </row>
    <row r="29" spans="1:17" s="2" customFormat="1" ht="25.2" customHeight="1">
      <c r="A29" s="28"/>
      <c r="B29" s="41"/>
      <c r="C29" s="41"/>
      <c r="D29" s="42"/>
      <c r="E29" s="42"/>
      <c r="F29" s="42"/>
      <c r="G29" s="42"/>
      <c r="H29" s="42"/>
      <c r="I29" s="42"/>
      <c r="J29" s="42"/>
      <c r="L29" s="1"/>
      <c r="M29" s="4"/>
      <c r="N29" s="87"/>
      <c r="O29" s="11"/>
      <c r="P29" s="31"/>
    </row>
    <row r="30" spans="1:17">
      <c r="K30" s="184"/>
    </row>
    <row r="31" spans="1:17">
      <c r="K31" s="184"/>
    </row>
    <row r="32" spans="1:17">
      <c r="K32" s="184"/>
    </row>
    <row r="33" spans="11:11">
      <c r="K33" s="184"/>
    </row>
    <row r="34" spans="11:11">
      <c r="K34" s="184"/>
    </row>
    <row r="35" spans="11:11">
      <c r="K35" s="38"/>
    </row>
  </sheetData>
  <dataConsolidate link="1"/>
  <hyperlinks>
    <hyperlink ref="P5" r:id="rId1" display="Link" xr:uid="{69586CAB-D6EF-4E3F-A41E-C8C9E277CD58}"/>
    <hyperlink ref="N3" r:id="rId2" xr:uid="{82FC7E2B-86FA-4887-911A-30E715E90F48}"/>
    <hyperlink ref="N4" r:id="rId3" xr:uid="{2BD1F34C-67BA-446E-BC9D-5461D92F7116}"/>
    <hyperlink ref="N5" r:id="rId4" xr:uid="{88D238DE-60F8-4073-A764-ABEA07294A1B}"/>
    <hyperlink ref="N6" r:id="rId5" xr:uid="{8CA6211D-BC4C-491F-B7C5-712AFECDCA5F}"/>
    <hyperlink ref="N7" r:id="rId6" xr:uid="{2E9A5819-5ACB-465A-9612-DB566B163053}"/>
    <hyperlink ref="N8" r:id="rId7" xr:uid="{D33FEA1A-31FB-4326-BF6F-057B7E9AD2BD}"/>
    <hyperlink ref="N9" r:id="rId8" xr:uid="{164503AF-EC53-4262-95E2-AB2DF6CD8E84}"/>
    <hyperlink ref="N13" r:id="rId9" xr:uid="{E3EA1514-560E-4384-BFF2-A27165147DE1}"/>
    <hyperlink ref="N14" r:id="rId10" xr:uid="{829EAFF1-5D72-4620-9B3B-BC5B3BD465F8}"/>
    <hyperlink ref="N10" r:id="rId11" xr:uid="{9DD70C6A-9E6A-4035-A6CD-95D61AE1E73F}"/>
    <hyperlink ref="N11" r:id="rId12" xr:uid="{A5A2B19F-574D-4B68-8AA8-8A835A886022}"/>
    <hyperlink ref="N12" r:id="rId13" xr:uid="{06FD5EFA-26BB-46EB-ACD5-AC104D8A03E9}"/>
    <hyperlink ref="N15" r:id="rId14" xr:uid="{C8FA86ED-E7FE-46C4-979C-D344B78D148F}"/>
    <hyperlink ref="N16" r:id="rId15" xr:uid="{57EC16C8-C783-45AE-9D78-73ADA7E817CE}"/>
    <hyperlink ref="N17" r:id="rId16" xr:uid="{EE09CA31-FFD9-4655-A778-2816AB2B721E}"/>
    <hyperlink ref="N18" r:id="rId17" xr:uid="{3DC29F6E-7129-453C-8D4E-56F514711457}"/>
  </hyperlinks>
  <pageMargins left="0.7" right="0.7" top="0.78740157499999996" bottom="0.78740157499999996" header="0.3" footer="0.3"/>
  <pageSetup paperSize="9" orientation="portrait" r:id="rId18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8688C2-47E3-49F7-9848-4EFE723BA085}">
  <sheetPr codeName="Tabelle3"/>
  <dimension ref="A1:R72"/>
  <sheetViews>
    <sheetView workbookViewId="0">
      <pane ySplit="1" topLeftCell="A13" activePane="bottomLeft" state="frozen"/>
      <selection activeCell="A3" sqref="A3:XFD3"/>
      <selection pane="bottomLeft" activeCell="L19" sqref="L19"/>
    </sheetView>
  </sheetViews>
  <sheetFormatPr baseColWidth="10" defaultColWidth="11.5546875" defaultRowHeight="15.6"/>
  <cols>
    <col min="1" max="1" width="8.33203125" style="20" customWidth="1"/>
    <col min="2" max="10" width="3.6640625" style="38" bestFit="1" customWidth="1"/>
    <col min="11" max="11" width="6.6640625" bestFit="1" customWidth="1"/>
    <col min="12" max="12" width="37.33203125" style="84" bestFit="1" customWidth="1"/>
    <col min="13" max="13" width="24.44140625" style="84" customWidth="1"/>
    <col min="14" max="14" width="34.109375" style="143" customWidth="1"/>
    <col min="15" max="15" width="27.6640625" style="19" customWidth="1"/>
    <col min="16" max="16" width="6.33203125" style="17" customWidth="1"/>
    <col min="17" max="16384" width="11.5546875" style="17"/>
  </cols>
  <sheetData>
    <row r="1" spans="1:16" s="2" customFormat="1" ht="55.2" customHeight="1">
      <c r="A1" s="21" t="s">
        <v>96</v>
      </c>
      <c r="B1" s="259" t="s">
        <v>109</v>
      </c>
      <c r="C1" s="259" t="s">
        <v>136</v>
      </c>
      <c r="D1" s="259" t="s">
        <v>137</v>
      </c>
      <c r="E1" s="259" t="s">
        <v>224</v>
      </c>
      <c r="F1" s="259" t="s">
        <v>138</v>
      </c>
      <c r="G1" s="259" t="s">
        <v>146</v>
      </c>
      <c r="H1" s="259" t="s">
        <v>195</v>
      </c>
      <c r="I1" s="259" t="s">
        <v>235</v>
      </c>
      <c r="J1" s="259" t="s">
        <v>223</v>
      </c>
      <c r="K1" s="259" t="s">
        <v>390</v>
      </c>
      <c r="L1" s="82" t="s">
        <v>70</v>
      </c>
      <c r="M1" s="82" t="s">
        <v>71</v>
      </c>
      <c r="N1" s="141" t="s">
        <v>14</v>
      </c>
      <c r="O1" s="26" t="s">
        <v>97</v>
      </c>
    </row>
    <row r="2" spans="1:16" s="2" customFormat="1" ht="25.2" customHeight="1">
      <c r="A2" s="27" t="s">
        <v>104</v>
      </c>
      <c r="B2" s="32"/>
      <c r="C2" s="32"/>
      <c r="D2" s="33"/>
      <c r="E2" s="33"/>
      <c r="F2" s="33"/>
      <c r="G2" s="33"/>
      <c r="H2" s="33"/>
      <c r="I2" s="33"/>
      <c r="J2" s="33"/>
      <c r="L2" s="83"/>
      <c r="M2" s="93"/>
      <c r="N2" s="142"/>
      <c r="O2" s="16"/>
    </row>
    <row r="3" spans="1:16" s="2" customFormat="1" ht="25.2" customHeight="1">
      <c r="A3" s="28" t="s">
        <v>102</v>
      </c>
      <c r="B3" s="41" t="s">
        <v>72</v>
      </c>
      <c r="C3" s="263" t="s">
        <v>72</v>
      </c>
      <c r="D3" s="264" t="s">
        <v>72</v>
      </c>
      <c r="E3" s="42"/>
      <c r="F3" s="42"/>
      <c r="G3" s="42"/>
      <c r="H3" s="42"/>
      <c r="I3" s="42"/>
      <c r="J3" s="42"/>
      <c r="L3" s="1" t="s">
        <v>0</v>
      </c>
      <c r="M3" s="89" t="s">
        <v>30</v>
      </c>
      <c r="N3" s="133" t="s">
        <v>105</v>
      </c>
      <c r="O3" s="16"/>
      <c r="P3" s="161" t="s">
        <v>302</v>
      </c>
    </row>
    <row r="4" spans="1:16" s="2" customFormat="1" ht="25.2" customHeight="1">
      <c r="A4" s="28" t="s">
        <v>102</v>
      </c>
      <c r="B4" s="41" t="s">
        <v>72</v>
      </c>
      <c r="C4" s="41" t="s">
        <v>72</v>
      </c>
      <c r="D4" s="42" t="s">
        <v>72</v>
      </c>
      <c r="E4" s="42"/>
      <c r="F4" s="42"/>
      <c r="G4" s="42"/>
      <c r="H4" s="42"/>
      <c r="I4" s="42"/>
      <c r="J4" s="42"/>
      <c r="L4" s="1" t="s">
        <v>22</v>
      </c>
      <c r="M4" s="89" t="s">
        <v>9</v>
      </c>
      <c r="N4" s="133" t="s">
        <v>153</v>
      </c>
      <c r="O4" s="16"/>
      <c r="P4" s="161" t="s">
        <v>302</v>
      </c>
    </row>
    <row r="5" spans="1:16" s="2" customFormat="1" ht="25.2" customHeight="1">
      <c r="A5" s="28" t="s">
        <v>102</v>
      </c>
      <c r="B5" s="41" t="s">
        <v>72</v>
      </c>
      <c r="C5" s="41" t="s">
        <v>72</v>
      </c>
      <c r="D5" s="42" t="s">
        <v>72</v>
      </c>
      <c r="E5" s="42"/>
      <c r="F5" s="42"/>
      <c r="G5" s="42"/>
      <c r="H5" s="42"/>
      <c r="I5" s="42"/>
      <c r="J5" s="42"/>
      <c r="L5" s="1" t="s">
        <v>8</v>
      </c>
      <c r="M5" s="89"/>
      <c r="N5" s="133" t="s">
        <v>105</v>
      </c>
      <c r="O5" s="16"/>
      <c r="P5" s="161" t="s">
        <v>302</v>
      </c>
    </row>
    <row r="6" spans="1:16" s="2" customFormat="1" ht="25.2" customHeight="1">
      <c r="A6" s="28" t="s">
        <v>102</v>
      </c>
      <c r="B6" s="41" t="s">
        <v>72</v>
      </c>
      <c r="C6" s="41" t="s">
        <v>72</v>
      </c>
      <c r="D6" s="42" t="s">
        <v>72</v>
      </c>
      <c r="E6" s="42"/>
      <c r="F6" s="42"/>
      <c r="G6" s="42"/>
      <c r="H6" s="42"/>
      <c r="I6" s="42"/>
      <c r="J6" s="42"/>
      <c r="L6" s="1" t="s">
        <v>7</v>
      </c>
      <c r="M6" s="89"/>
      <c r="N6" s="133" t="s">
        <v>154</v>
      </c>
      <c r="O6" s="16"/>
      <c r="P6" s="161" t="s">
        <v>302</v>
      </c>
    </row>
    <row r="7" spans="1:16" s="2" customFormat="1" ht="25.2" customHeight="1">
      <c r="A7" s="28" t="s">
        <v>102</v>
      </c>
      <c r="B7" s="41" t="s">
        <v>72</v>
      </c>
      <c r="C7" s="36"/>
      <c r="D7" s="37"/>
      <c r="E7" s="37"/>
      <c r="F7" s="37"/>
      <c r="G7" s="37"/>
      <c r="H7" s="37"/>
      <c r="I7" s="37"/>
      <c r="J7" s="37"/>
      <c r="L7" s="250" t="s">
        <v>665</v>
      </c>
      <c r="M7" s="251" t="s">
        <v>666</v>
      </c>
      <c r="N7" s="133" t="s">
        <v>155</v>
      </c>
      <c r="O7" s="16"/>
      <c r="P7" s="161" t="s">
        <v>302</v>
      </c>
    </row>
    <row r="8" spans="1:16" s="2" customFormat="1" ht="25.2" customHeight="1">
      <c r="A8" s="28" t="s">
        <v>102</v>
      </c>
      <c r="B8" s="41" t="s">
        <v>72</v>
      </c>
      <c r="C8" s="41" t="s">
        <v>72</v>
      </c>
      <c r="D8" s="42" t="s">
        <v>72</v>
      </c>
      <c r="E8" s="42"/>
      <c r="F8" s="42"/>
      <c r="G8" s="42"/>
      <c r="H8" s="42"/>
      <c r="I8" s="42"/>
      <c r="J8" s="42"/>
      <c r="L8" s="1" t="s">
        <v>6</v>
      </c>
      <c r="M8" s="89"/>
      <c r="N8" s="133" t="s">
        <v>266</v>
      </c>
      <c r="O8" s="16"/>
      <c r="P8" s="161" t="s">
        <v>302</v>
      </c>
    </row>
    <row r="9" spans="1:16" s="2" customFormat="1" ht="25.2" customHeight="1">
      <c r="A9" s="29" t="s">
        <v>102</v>
      </c>
      <c r="B9" s="41" t="s">
        <v>72</v>
      </c>
      <c r="C9" s="41"/>
      <c r="D9" s="42" t="s">
        <v>72</v>
      </c>
      <c r="E9" s="42"/>
      <c r="F9" s="42"/>
      <c r="G9" s="42"/>
      <c r="H9" s="42"/>
      <c r="I9" s="42"/>
      <c r="J9" s="42"/>
      <c r="L9" s="250" t="s">
        <v>655</v>
      </c>
      <c r="M9" s="251" t="s">
        <v>656</v>
      </c>
      <c r="N9" s="133" t="s">
        <v>156</v>
      </c>
      <c r="O9" s="16"/>
      <c r="P9" s="161" t="s">
        <v>302</v>
      </c>
    </row>
    <row r="10" spans="1:16" s="2" customFormat="1" ht="25.2" customHeight="1">
      <c r="A10" s="247" t="s">
        <v>101</v>
      </c>
      <c r="B10" s="41" t="s">
        <v>72</v>
      </c>
      <c r="C10" s="41"/>
      <c r="D10" s="42" t="s">
        <v>72</v>
      </c>
      <c r="E10" s="42"/>
      <c r="F10" s="42"/>
      <c r="G10" s="42"/>
      <c r="H10" s="42"/>
      <c r="I10" s="42"/>
      <c r="J10" s="42"/>
      <c r="M10" s="256" t="s">
        <v>664</v>
      </c>
      <c r="N10" s="133"/>
      <c r="O10" s="1" t="s">
        <v>108</v>
      </c>
      <c r="P10" s="161" t="s">
        <v>302</v>
      </c>
    </row>
    <row r="11" spans="1:16" s="2" customFormat="1" ht="25.2" customHeight="1">
      <c r="A11" s="276" t="s">
        <v>102</v>
      </c>
      <c r="B11" s="277" t="s">
        <v>72</v>
      </c>
      <c r="C11" s="41"/>
      <c r="D11" s="278" t="s">
        <v>72</v>
      </c>
      <c r="E11" s="42"/>
      <c r="F11" s="42"/>
      <c r="G11" s="42"/>
      <c r="H11" s="42"/>
      <c r="I11" s="42"/>
      <c r="J11" s="42"/>
      <c r="L11" s="250" t="s">
        <v>701</v>
      </c>
      <c r="M11" s="279" t="s">
        <v>16</v>
      </c>
      <c r="N11" s="133" t="s">
        <v>702</v>
      </c>
      <c r="O11" s="285" t="s">
        <v>703</v>
      </c>
      <c r="P11" s="161" t="s">
        <v>302</v>
      </c>
    </row>
    <row r="12" spans="1:16" s="2" customFormat="1" ht="25.2" customHeight="1">
      <c r="A12" s="276" t="s">
        <v>101</v>
      </c>
      <c r="B12" s="277" t="s">
        <v>72</v>
      </c>
      <c r="C12" s="41"/>
      <c r="D12" s="278" t="s">
        <v>72</v>
      </c>
      <c r="E12" s="42"/>
      <c r="F12" s="42"/>
      <c r="G12" s="42"/>
      <c r="H12" s="42"/>
      <c r="I12" s="42"/>
      <c r="J12" s="42"/>
      <c r="L12" s="250"/>
      <c r="M12" s="279"/>
      <c r="N12" s="258" t="s">
        <v>705</v>
      </c>
      <c r="O12" s="285" t="s">
        <v>706</v>
      </c>
      <c r="P12" s="161" t="s">
        <v>302</v>
      </c>
    </row>
    <row r="13" spans="1:16" s="2" customFormat="1" ht="25.2" customHeight="1">
      <c r="A13" s="276" t="s">
        <v>101</v>
      </c>
      <c r="B13" s="277" t="s">
        <v>72</v>
      </c>
      <c r="C13" s="41"/>
      <c r="D13" s="278" t="s">
        <v>72</v>
      </c>
      <c r="E13" s="42"/>
      <c r="F13" s="42"/>
      <c r="G13" s="42"/>
      <c r="H13" s="42"/>
      <c r="I13" s="42"/>
      <c r="J13" s="42"/>
      <c r="L13" s="250"/>
      <c r="M13" s="279"/>
      <c r="N13" s="258" t="s">
        <v>704</v>
      </c>
      <c r="O13" s="285"/>
      <c r="P13" s="161" t="s">
        <v>302</v>
      </c>
    </row>
    <row r="14" spans="1:16" s="2" customFormat="1" ht="25.2" customHeight="1">
      <c r="A14" s="28" t="s">
        <v>102</v>
      </c>
      <c r="B14" s="41" t="s">
        <v>72</v>
      </c>
      <c r="C14" s="41"/>
      <c r="D14" s="42"/>
      <c r="E14" s="42"/>
      <c r="F14" s="42"/>
      <c r="G14" s="42"/>
      <c r="H14" s="42"/>
      <c r="I14" s="42"/>
      <c r="J14" s="42"/>
      <c r="L14" s="1" t="s">
        <v>15</v>
      </c>
      <c r="M14" s="253" t="s">
        <v>23</v>
      </c>
      <c r="N14" s="133" t="s">
        <v>157</v>
      </c>
      <c r="O14" s="16"/>
      <c r="P14" s="161" t="s">
        <v>302</v>
      </c>
    </row>
    <row r="15" spans="1:16" s="2" customFormat="1" ht="25.2" customHeight="1">
      <c r="A15" s="28" t="s">
        <v>102</v>
      </c>
      <c r="B15" s="41" t="s">
        <v>72</v>
      </c>
      <c r="C15" s="330" t="s">
        <v>72</v>
      </c>
      <c r="D15" s="42" t="s">
        <v>72</v>
      </c>
      <c r="E15" s="42"/>
      <c r="F15" s="42"/>
      <c r="G15" s="42"/>
      <c r="H15" s="42"/>
      <c r="I15" s="42"/>
      <c r="J15" s="42"/>
      <c r="L15" s="1" t="s">
        <v>38</v>
      </c>
      <c r="M15" s="89"/>
      <c r="N15" s="133" t="s">
        <v>158</v>
      </c>
      <c r="O15" s="1" t="s">
        <v>662</v>
      </c>
      <c r="P15" s="161" t="s">
        <v>302</v>
      </c>
    </row>
    <row r="16" spans="1:16" s="2" customFormat="1" ht="25.2" customHeight="1">
      <c r="A16" s="28" t="s">
        <v>101</v>
      </c>
      <c r="B16" s="2" t="s">
        <v>72</v>
      </c>
      <c r="C16" s="36"/>
      <c r="D16" s="331" t="s">
        <v>72</v>
      </c>
      <c r="E16" s="37"/>
      <c r="F16" s="37"/>
      <c r="G16" s="37"/>
      <c r="H16" s="37"/>
      <c r="I16" s="37"/>
      <c r="J16" s="37"/>
      <c r="L16" s="1"/>
      <c r="M16" s="89"/>
      <c r="N16" s="133" t="s">
        <v>661</v>
      </c>
      <c r="O16" s="304" t="s">
        <v>663</v>
      </c>
      <c r="P16" s="161" t="s">
        <v>302</v>
      </c>
    </row>
    <row r="17" spans="1:18" s="2" customFormat="1" ht="25.2" customHeight="1">
      <c r="A17" s="247" t="s">
        <v>102</v>
      </c>
      <c r="B17" s="252" t="s">
        <v>72</v>
      </c>
      <c r="C17" s="36"/>
      <c r="D17" s="331" t="s">
        <v>72</v>
      </c>
      <c r="E17" s="37"/>
      <c r="F17" s="37"/>
      <c r="G17" s="37"/>
      <c r="H17" s="37"/>
      <c r="I17" s="37"/>
      <c r="J17" s="37"/>
      <c r="L17" s="250" t="s">
        <v>657</v>
      </c>
      <c r="M17" s="89"/>
      <c r="N17" s="133" t="s">
        <v>159</v>
      </c>
      <c r="O17" s="1" t="s">
        <v>659</v>
      </c>
      <c r="P17" s="161" t="s">
        <v>302</v>
      </c>
    </row>
    <row r="18" spans="1:18" s="2" customFormat="1" ht="25.2" customHeight="1">
      <c r="A18" s="247" t="s">
        <v>101</v>
      </c>
      <c r="B18" s="252" t="s">
        <v>72</v>
      </c>
      <c r="C18" s="36"/>
      <c r="D18" s="255" t="s">
        <v>72</v>
      </c>
      <c r="E18" s="37"/>
      <c r="F18" s="37"/>
      <c r="G18" s="37"/>
      <c r="H18" s="37"/>
      <c r="I18" s="37"/>
      <c r="J18" s="37"/>
      <c r="L18" s="250"/>
      <c r="M18" s="89"/>
      <c r="N18" s="133" t="s">
        <v>658</v>
      </c>
      <c r="O18" s="1" t="s">
        <v>660</v>
      </c>
      <c r="P18" s="161" t="s">
        <v>302</v>
      </c>
    </row>
    <row r="19" spans="1:18" s="2" customFormat="1" ht="78">
      <c r="A19" s="30" t="s">
        <v>100</v>
      </c>
      <c r="B19" s="41" t="s">
        <v>72</v>
      </c>
      <c r="C19" s="330" t="s">
        <v>72</v>
      </c>
      <c r="D19" s="42" t="s">
        <v>72</v>
      </c>
      <c r="E19" s="42"/>
      <c r="F19" s="42"/>
      <c r="G19" s="42"/>
      <c r="H19" s="42"/>
      <c r="I19" s="42"/>
      <c r="J19" s="42"/>
      <c r="L19" s="89" t="s">
        <v>49</v>
      </c>
      <c r="M19" s="89" t="s">
        <v>50</v>
      </c>
      <c r="N19" s="140"/>
      <c r="O19" s="19"/>
      <c r="P19" s="160"/>
    </row>
    <row r="20" spans="1:18" s="2" customFormat="1" ht="25.2" customHeight="1">
      <c r="A20" s="28" t="s">
        <v>102</v>
      </c>
      <c r="B20" s="42" t="s">
        <v>72</v>
      </c>
      <c r="C20" s="41"/>
      <c r="D20" s="42"/>
      <c r="E20" s="42"/>
      <c r="F20" s="42"/>
      <c r="G20" s="42" t="s">
        <v>72</v>
      </c>
      <c r="H20" s="42"/>
      <c r="I20" s="42"/>
      <c r="J20" s="42"/>
      <c r="L20" s="1" t="s">
        <v>187</v>
      </c>
      <c r="M20" s="11" t="s">
        <v>146</v>
      </c>
      <c r="N20" s="133" t="s">
        <v>275</v>
      </c>
      <c r="O20" s="1"/>
      <c r="P20" s="161" t="s">
        <v>302</v>
      </c>
    </row>
    <row r="21" spans="1:18" s="2" customFormat="1" ht="25.2" customHeight="1">
      <c r="A21" s="28" t="s">
        <v>102</v>
      </c>
      <c r="B21" s="42" t="s">
        <v>72</v>
      </c>
      <c r="C21" s="41"/>
      <c r="D21" s="42"/>
      <c r="E21" s="42"/>
      <c r="F21" s="42"/>
      <c r="G21" s="42" t="s">
        <v>72</v>
      </c>
      <c r="H21" s="42"/>
      <c r="I21" s="42"/>
      <c r="J21" s="42"/>
      <c r="L21" s="1" t="s">
        <v>191</v>
      </c>
      <c r="M21" s="11" t="s">
        <v>146</v>
      </c>
      <c r="N21" s="133" t="s">
        <v>276</v>
      </c>
      <c r="O21" s="1" t="s">
        <v>188</v>
      </c>
      <c r="P21" s="187" t="s">
        <v>707</v>
      </c>
    </row>
    <row r="22" spans="1:18" s="2" customFormat="1" ht="25.2" customHeight="1">
      <c r="A22" s="28" t="s">
        <v>101</v>
      </c>
      <c r="B22" s="42" t="s">
        <v>72</v>
      </c>
      <c r="C22" s="41"/>
      <c r="D22" s="42"/>
      <c r="E22" s="42"/>
      <c r="F22" s="42"/>
      <c r="G22" s="42" t="s">
        <v>72</v>
      </c>
      <c r="H22" s="42"/>
      <c r="I22" s="42"/>
      <c r="J22" s="42"/>
      <c r="L22" s="1"/>
      <c r="M22" s="11"/>
      <c r="N22" s="133" t="s">
        <v>277</v>
      </c>
      <c r="O22" s="1" t="s">
        <v>189</v>
      </c>
      <c r="P22" s="161" t="s">
        <v>302</v>
      </c>
    </row>
    <row r="23" spans="1:18" s="2" customFormat="1" ht="25.2" customHeight="1">
      <c r="A23" s="28" t="s">
        <v>101</v>
      </c>
      <c r="B23" s="42" t="s">
        <v>72</v>
      </c>
      <c r="C23" s="41"/>
      <c r="D23" s="42"/>
      <c r="E23" s="42"/>
      <c r="F23" s="42"/>
      <c r="G23" s="42" t="s">
        <v>72</v>
      </c>
      <c r="H23" s="42"/>
      <c r="I23" s="42"/>
      <c r="J23" s="42"/>
      <c r="L23" s="1"/>
      <c r="M23" s="11"/>
      <c r="N23" s="133" t="s">
        <v>278</v>
      </c>
      <c r="O23" s="1" t="s">
        <v>190</v>
      </c>
      <c r="P23" s="161" t="s">
        <v>302</v>
      </c>
    </row>
    <row r="24" spans="1:18" s="2" customFormat="1" ht="25.2" customHeight="1">
      <c r="A24" s="28" t="s">
        <v>102</v>
      </c>
      <c r="B24" s="42" t="s">
        <v>72</v>
      </c>
      <c r="C24" s="41"/>
      <c r="D24" s="42"/>
      <c r="E24" s="42"/>
      <c r="F24" s="42"/>
      <c r="G24" s="42" t="s">
        <v>72</v>
      </c>
      <c r="H24" s="42"/>
      <c r="I24" s="42"/>
      <c r="J24" s="42"/>
      <c r="L24" s="1" t="s">
        <v>192</v>
      </c>
      <c r="M24" s="11" t="s">
        <v>146</v>
      </c>
      <c r="N24" s="133" t="s">
        <v>279</v>
      </c>
      <c r="O24" s="1"/>
      <c r="P24" s="161" t="s">
        <v>302</v>
      </c>
    </row>
    <row r="25" spans="1:18" s="2" customFormat="1" ht="25.2" customHeight="1">
      <c r="A25" s="28" t="s">
        <v>102</v>
      </c>
      <c r="B25" s="42" t="s">
        <v>72</v>
      </c>
      <c r="C25" s="41"/>
      <c r="D25" s="42"/>
      <c r="E25" s="42"/>
      <c r="F25" s="42"/>
      <c r="G25" s="42" t="s">
        <v>72</v>
      </c>
      <c r="H25" s="42"/>
      <c r="I25" s="42"/>
      <c r="J25" s="42"/>
      <c r="L25" s="1" t="s">
        <v>193</v>
      </c>
      <c r="M25" s="11" t="s">
        <v>146</v>
      </c>
      <c r="N25" s="133" t="s">
        <v>280</v>
      </c>
      <c r="O25" s="1"/>
      <c r="P25" s="187" t="s">
        <v>708</v>
      </c>
    </row>
    <row r="26" spans="1:18" s="2" customFormat="1" ht="25.2" customHeight="1">
      <c r="A26" s="28" t="s">
        <v>102</v>
      </c>
      <c r="B26" s="42" t="s">
        <v>72</v>
      </c>
      <c r="C26" s="41"/>
      <c r="D26" s="42"/>
      <c r="E26" s="42"/>
      <c r="F26" s="42"/>
      <c r="G26" s="42" t="s">
        <v>72</v>
      </c>
      <c r="H26" s="42"/>
      <c r="I26" s="42"/>
      <c r="J26" s="42"/>
      <c r="L26" s="1" t="s">
        <v>194</v>
      </c>
      <c r="M26" s="11" t="s">
        <v>146</v>
      </c>
      <c r="N26" s="133" t="s">
        <v>281</v>
      </c>
      <c r="O26" s="1"/>
      <c r="P26" s="161" t="s">
        <v>302</v>
      </c>
    </row>
    <row r="27" spans="1:18" s="2" customFormat="1" ht="25.2" customHeight="1">
      <c r="A27" s="28" t="s">
        <v>102</v>
      </c>
      <c r="B27" s="42" t="s">
        <v>72</v>
      </c>
      <c r="C27" s="41"/>
      <c r="D27" s="42"/>
      <c r="E27" s="42"/>
      <c r="F27" s="42"/>
      <c r="G27" s="42" t="s">
        <v>72</v>
      </c>
      <c r="H27" s="42"/>
      <c r="I27" s="42"/>
      <c r="J27" s="42"/>
      <c r="L27" s="1" t="s">
        <v>186</v>
      </c>
      <c r="M27" s="11" t="s">
        <v>146</v>
      </c>
      <c r="N27" s="133" t="s">
        <v>282</v>
      </c>
      <c r="O27" s="1"/>
      <c r="P27" s="161" t="s">
        <v>302</v>
      </c>
    </row>
    <row r="28" spans="1:18" s="2" customFormat="1" ht="25.2" customHeight="1">
      <c r="A28" s="28" t="s">
        <v>102</v>
      </c>
      <c r="B28" s="42" t="s">
        <v>72</v>
      </c>
      <c r="C28" s="41"/>
      <c r="D28" s="42"/>
      <c r="E28" s="42"/>
      <c r="F28" s="42"/>
      <c r="G28" s="42"/>
      <c r="H28" s="42" t="s">
        <v>72</v>
      </c>
      <c r="I28" s="42"/>
      <c r="J28" s="42"/>
      <c r="L28" s="1" t="s">
        <v>199</v>
      </c>
      <c r="M28" s="11"/>
      <c r="N28" s="133" t="s">
        <v>283</v>
      </c>
      <c r="O28" s="1"/>
      <c r="P28" s="161" t="s">
        <v>302</v>
      </c>
    </row>
    <row r="29" spans="1:18" s="2" customFormat="1" ht="25.2" customHeight="1">
      <c r="A29" s="28" t="s">
        <v>102</v>
      </c>
      <c r="B29" s="42" t="s">
        <v>72</v>
      </c>
      <c r="C29" s="41"/>
      <c r="D29" s="42"/>
      <c r="E29" s="42"/>
      <c r="F29" s="42"/>
      <c r="G29" s="42"/>
      <c r="H29" s="42" t="s">
        <v>72</v>
      </c>
      <c r="I29" s="42"/>
      <c r="J29" s="42"/>
      <c r="L29" s="1" t="s">
        <v>200</v>
      </c>
      <c r="M29" s="11"/>
      <c r="N29" s="133" t="s">
        <v>284</v>
      </c>
      <c r="P29" s="161" t="s">
        <v>302</v>
      </c>
    </row>
    <row r="30" spans="1:18" s="2" customFormat="1" ht="25.2" customHeight="1">
      <c r="A30" s="28" t="s">
        <v>102</v>
      </c>
      <c r="B30" s="42" t="s">
        <v>72</v>
      </c>
      <c r="C30" s="41"/>
      <c r="D30" s="42"/>
      <c r="E30" s="42"/>
      <c r="F30" s="42"/>
      <c r="G30" s="42"/>
      <c r="H30" s="42" t="s">
        <v>72</v>
      </c>
      <c r="I30" s="42"/>
      <c r="J30" s="42"/>
      <c r="L30" s="105" t="s">
        <v>261</v>
      </c>
      <c r="M30" s="11"/>
      <c r="N30" s="133" t="s">
        <v>288</v>
      </c>
      <c r="P30" s="161" t="s">
        <v>302</v>
      </c>
    </row>
    <row r="31" spans="1:18" s="2" customFormat="1" ht="25.2" customHeight="1">
      <c r="A31" s="28" t="s">
        <v>102</v>
      </c>
      <c r="B31" s="42" t="s">
        <v>72</v>
      </c>
      <c r="C31" s="41"/>
      <c r="D31" s="42"/>
      <c r="E31" s="42"/>
      <c r="F31" s="42"/>
      <c r="G31" s="42"/>
      <c r="H31" s="42"/>
      <c r="I31" s="42" t="s">
        <v>72</v>
      </c>
      <c r="J31" s="42"/>
      <c r="L31" s="105" t="s">
        <v>262</v>
      </c>
      <c r="M31" s="11"/>
      <c r="N31" s="133" t="s">
        <v>290</v>
      </c>
      <c r="P31" s="161" t="s">
        <v>302</v>
      </c>
    </row>
    <row r="32" spans="1:18" s="2" customFormat="1" ht="25.2" customHeight="1">
      <c r="A32" s="28" t="s">
        <v>102</v>
      </c>
      <c r="B32" s="42" t="s">
        <v>72</v>
      </c>
      <c r="C32" s="41"/>
      <c r="D32" s="42"/>
      <c r="E32" s="42"/>
      <c r="F32" s="42"/>
      <c r="G32" s="42"/>
      <c r="H32" s="42"/>
      <c r="I32" s="42" t="s">
        <v>72</v>
      </c>
      <c r="J32" s="42"/>
      <c r="L32" s="105" t="s">
        <v>263</v>
      </c>
      <c r="M32" s="11"/>
      <c r="N32" s="133" t="s">
        <v>289</v>
      </c>
      <c r="P32" s="161" t="s">
        <v>302</v>
      </c>
      <c r="R32" s="87"/>
    </row>
    <row r="33" spans="1:16" s="2" customFormat="1" ht="25.2" customHeight="1">
      <c r="A33" s="28" t="s">
        <v>102</v>
      </c>
      <c r="B33" s="162" t="s">
        <v>72</v>
      </c>
      <c r="C33" s="41"/>
      <c r="D33" s="42"/>
      <c r="E33" s="42"/>
      <c r="F33" s="42"/>
      <c r="G33" s="42"/>
      <c r="H33" s="42"/>
      <c r="I33" s="42"/>
      <c r="K33" s="158" t="s">
        <v>72</v>
      </c>
      <c r="L33" s="159" t="s">
        <v>329</v>
      </c>
      <c r="M33" s="1"/>
      <c r="N33" s="133" t="s">
        <v>330</v>
      </c>
      <c r="O33" s="16" t="s">
        <v>331</v>
      </c>
      <c r="P33" s="161" t="s">
        <v>302</v>
      </c>
    </row>
    <row r="34" spans="1:16" s="2" customFormat="1" ht="25.2" customHeight="1">
      <c r="A34" s="163" t="s">
        <v>101</v>
      </c>
      <c r="B34" s="162" t="s">
        <v>72</v>
      </c>
      <c r="C34" s="41"/>
      <c r="D34" s="42"/>
      <c r="E34" s="42"/>
      <c r="F34" s="42"/>
      <c r="G34" s="42"/>
      <c r="H34" s="42"/>
      <c r="I34" s="42"/>
      <c r="K34" s="162" t="s">
        <v>72</v>
      </c>
      <c r="M34" s="11"/>
      <c r="N34" s="133" t="s">
        <v>521</v>
      </c>
      <c r="O34" s="1"/>
      <c r="P34" s="161" t="s">
        <v>302</v>
      </c>
    </row>
    <row r="35" spans="1:16" s="2" customFormat="1" ht="25.2" customHeight="1">
      <c r="A35" s="163" t="s">
        <v>101</v>
      </c>
      <c r="B35" s="162" t="s">
        <v>72</v>
      </c>
      <c r="C35" s="41"/>
      <c r="D35" s="42"/>
      <c r="E35" s="42"/>
      <c r="F35" s="42"/>
      <c r="G35" s="42"/>
      <c r="H35" s="42"/>
      <c r="I35" s="42"/>
      <c r="K35" s="162" t="s">
        <v>72</v>
      </c>
      <c r="L35" s="189"/>
      <c r="M35" s="1"/>
      <c r="N35" s="133" t="s">
        <v>520</v>
      </c>
      <c r="O35" s="1"/>
      <c r="P35" s="161" t="s">
        <v>302</v>
      </c>
    </row>
    <row r="36" spans="1:16" s="2" customFormat="1" ht="25.2" customHeight="1">
      <c r="A36" s="163" t="s">
        <v>101</v>
      </c>
      <c r="B36" s="162" t="s">
        <v>72</v>
      </c>
      <c r="C36" s="41"/>
      <c r="D36" s="42"/>
      <c r="E36" s="42"/>
      <c r="F36" s="42"/>
      <c r="G36" s="42"/>
      <c r="H36" s="42"/>
      <c r="I36" s="42"/>
      <c r="J36" s="42"/>
      <c r="K36" s="162" t="s">
        <v>72</v>
      </c>
      <c r="L36" s="1"/>
      <c r="M36" s="11"/>
      <c r="N36" s="133" t="s">
        <v>514</v>
      </c>
      <c r="O36" s="200" t="s">
        <v>188</v>
      </c>
      <c r="P36" s="161" t="s">
        <v>302</v>
      </c>
    </row>
    <row r="37" spans="1:16" s="2" customFormat="1" ht="25.2" customHeight="1">
      <c r="A37" s="163" t="s">
        <v>101</v>
      </c>
      <c r="B37" s="162" t="s">
        <v>72</v>
      </c>
      <c r="C37" s="41"/>
      <c r="D37" s="42"/>
      <c r="E37" s="42"/>
      <c r="F37" s="42"/>
      <c r="G37" s="42"/>
      <c r="H37" s="42"/>
      <c r="I37" s="42"/>
      <c r="J37" s="42"/>
      <c r="K37" s="162" t="s">
        <v>72</v>
      </c>
      <c r="L37" s="1"/>
      <c r="M37" s="11"/>
      <c r="N37" s="133" t="s">
        <v>515</v>
      </c>
      <c r="O37" s="200" t="s">
        <v>190</v>
      </c>
      <c r="P37" s="161" t="s">
        <v>302</v>
      </c>
    </row>
    <row r="38" spans="1:16" s="2" customFormat="1" ht="25.2" customHeight="1">
      <c r="A38" s="163" t="s">
        <v>101</v>
      </c>
      <c r="B38" s="162" t="s">
        <v>72</v>
      </c>
      <c r="C38" s="41"/>
      <c r="D38" s="42"/>
      <c r="E38" s="42"/>
      <c r="F38" s="42"/>
      <c r="G38" s="42"/>
      <c r="H38" s="42"/>
      <c r="I38" s="42"/>
      <c r="K38" s="162" t="s">
        <v>72</v>
      </c>
      <c r="L38" s="1"/>
      <c r="M38" s="11"/>
      <c r="N38" s="133" t="s">
        <v>516</v>
      </c>
      <c r="O38" s="200" t="s">
        <v>189</v>
      </c>
      <c r="P38" s="161" t="s">
        <v>302</v>
      </c>
    </row>
    <row r="39" spans="1:16" s="2" customFormat="1" ht="25.2" customHeight="1">
      <c r="A39" s="163" t="s">
        <v>101</v>
      </c>
      <c r="B39" s="162" t="s">
        <v>72</v>
      </c>
      <c r="C39" s="41"/>
      <c r="D39" s="42"/>
      <c r="E39" s="42"/>
      <c r="F39" s="42"/>
      <c r="G39" s="42"/>
      <c r="H39" s="42"/>
      <c r="I39" s="42"/>
      <c r="J39" s="42"/>
      <c r="K39" s="189" t="s">
        <v>72</v>
      </c>
      <c r="L39" s="1"/>
      <c r="M39" s="1"/>
      <c r="N39" s="133" t="s">
        <v>518</v>
      </c>
      <c r="O39" s="200" t="s">
        <v>522</v>
      </c>
      <c r="P39" s="161" t="s">
        <v>302</v>
      </c>
    </row>
    <row r="40" spans="1:16" s="2" customFormat="1" ht="25.2" customHeight="1">
      <c r="A40" s="186" t="s">
        <v>102</v>
      </c>
      <c r="B40" s="162" t="s">
        <v>72</v>
      </c>
      <c r="C40" s="41"/>
      <c r="D40" s="42"/>
      <c r="E40" s="42"/>
      <c r="F40" s="42"/>
      <c r="G40" s="199" t="s">
        <v>72</v>
      </c>
      <c r="H40" s="42"/>
      <c r="I40" s="42"/>
      <c r="J40" s="42"/>
      <c r="L40" s="201" t="s">
        <v>519</v>
      </c>
      <c r="M40" s="201"/>
      <c r="N40" s="133" t="s">
        <v>517</v>
      </c>
      <c r="P40" s="187" t="s">
        <v>709</v>
      </c>
    </row>
    <row r="41" spans="1:16" s="2" customFormat="1" ht="25.2" customHeight="1">
      <c r="A41" s="186" t="s">
        <v>102</v>
      </c>
      <c r="B41" s="162" t="s">
        <v>72</v>
      </c>
      <c r="C41" s="41"/>
      <c r="D41" s="42"/>
      <c r="E41" s="42"/>
      <c r="F41" s="42"/>
      <c r="G41" s="199" t="s">
        <v>72</v>
      </c>
      <c r="H41" s="42"/>
      <c r="I41" s="42"/>
      <c r="J41" s="42"/>
      <c r="L41" s="201" t="s">
        <v>527</v>
      </c>
      <c r="M41" s="201" t="s">
        <v>536</v>
      </c>
      <c r="N41" s="133" t="s">
        <v>523</v>
      </c>
      <c r="P41" s="161" t="s">
        <v>302</v>
      </c>
    </row>
    <row r="42" spans="1:16" s="2" customFormat="1" ht="25.2" customHeight="1">
      <c r="A42" s="186" t="s">
        <v>102</v>
      </c>
      <c r="B42" s="162" t="s">
        <v>72</v>
      </c>
      <c r="C42" s="41"/>
      <c r="D42" s="42"/>
      <c r="E42" s="42"/>
      <c r="F42" s="42"/>
      <c r="G42" s="199" t="s">
        <v>72</v>
      </c>
      <c r="H42" s="42"/>
      <c r="I42" s="42"/>
      <c r="J42" s="42"/>
      <c r="L42" s="201" t="s">
        <v>531</v>
      </c>
      <c r="M42" s="201" t="s">
        <v>535</v>
      </c>
      <c r="N42" s="133" t="s">
        <v>524</v>
      </c>
      <c r="P42" s="161" t="s">
        <v>302</v>
      </c>
    </row>
    <row r="43" spans="1:16" s="2" customFormat="1" ht="25.2" customHeight="1">
      <c r="A43" s="186" t="s">
        <v>102</v>
      </c>
      <c r="B43" s="162" t="s">
        <v>72</v>
      </c>
      <c r="C43" s="41"/>
      <c r="D43" s="42"/>
      <c r="E43" s="42"/>
      <c r="F43" s="42"/>
      <c r="G43" s="199" t="s">
        <v>72</v>
      </c>
      <c r="H43" s="42"/>
      <c r="I43" s="42"/>
      <c r="J43" s="42"/>
      <c r="L43" s="201" t="s">
        <v>529</v>
      </c>
      <c r="M43" s="288" t="s">
        <v>723</v>
      </c>
      <c r="N43" s="133" t="s">
        <v>525</v>
      </c>
      <c r="P43" s="161" t="s">
        <v>302</v>
      </c>
    </row>
    <row r="44" spans="1:16" s="2" customFormat="1" ht="25.2" customHeight="1">
      <c r="A44" s="186" t="s">
        <v>102</v>
      </c>
      <c r="B44" s="162" t="s">
        <v>72</v>
      </c>
      <c r="C44" s="41"/>
      <c r="D44" s="42"/>
      <c r="E44" s="42"/>
      <c r="F44" s="42"/>
      <c r="G44" s="199" t="s">
        <v>72</v>
      </c>
      <c r="H44" s="42"/>
      <c r="I44" s="42"/>
      <c r="J44" s="42"/>
      <c r="L44" s="201" t="s">
        <v>530</v>
      </c>
      <c r="M44" s="201" t="s">
        <v>534</v>
      </c>
      <c r="N44" s="133" t="s">
        <v>526</v>
      </c>
      <c r="P44" s="161" t="s">
        <v>302</v>
      </c>
    </row>
    <row r="45" spans="1:16" s="2" customFormat="1" ht="25.2" customHeight="1">
      <c r="A45" s="186" t="s">
        <v>102</v>
      </c>
      <c r="B45" s="162" t="s">
        <v>72</v>
      </c>
      <c r="C45" s="41"/>
      <c r="D45" s="42"/>
      <c r="E45" s="42"/>
      <c r="F45" s="42"/>
      <c r="G45" s="199" t="s">
        <v>72</v>
      </c>
      <c r="H45" s="42"/>
      <c r="I45" s="42"/>
      <c r="J45" s="42"/>
      <c r="L45" s="201" t="s">
        <v>528</v>
      </c>
      <c r="M45" s="201" t="s">
        <v>533</v>
      </c>
      <c r="N45" s="133" t="s">
        <v>532</v>
      </c>
      <c r="P45" s="161" t="s">
        <v>302</v>
      </c>
    </row>
    <row r="46" spans="1:16" s="2" customFormat="1" ht="25.2" customHeight="1">
      <c r="A46" s="203" t="s">
        <v>102</v>
      </c>
      <c r="B46" s="162" t="s">
        <v>72</v>
      </c>
      <c r="C46" s="41"/>
      <c r="D46" s="42"/>
      <c r="E46" s="42"/>
      <c r="F46" s="42"/>
      <c r="G46" s="199" t="s">
        <v>72</v>
      </c>
      <c r="H46" s="42"/>
      <c r="I46" s="42"/>
      <c r="J46" s="42"/>
      <c r="L46" s="201"/>
      <c r="M46" s="201"/>
      <c r="N46" s="133" t="s">
        <v>538</v>
      </c>
      <c r="P46" s="187" t="s">
        <v>710</v>
      </c>
    </row>
    <row r="47" spans="1:16" s="2" customFormat="1" ht="25.2" customHeight="1">
      <c r="A47" s="203" t="s">
        <v>102</v>
      </c>
      <c r="B47" s="162" t="s">
        <v>72</v>
      </c>
      <c r="C47" s="41"/>
      <c r="D47" s="42"/>
      <c r="E47" s="42"/>
      <c r="F47" s="42"/>
      <c r="G47" s="199"/>
      <c r="H47" s="42"/>
      <c r="I47" s="42"/>
      <c r="J47" s="204" t="s">
        <v>72</v>
      </c>
      <c r="L47" s="201" t="s">
        <v>539</v>
      </c>
      <c r="M47" s="201" t="s">
        <v>540</v>
      </c>
      <c r="N47" s="133" t="s">
        <v>537</v>
      </c>
      <c r="P47" s="161" t="s">
        <v>302</v>
      </c>
    </row>
    <row r="48" spans="1:16" s="2" customFormat="1" ht="25.2" customHeight="1">
      <c r="A48" s="203" t="s">
        <v>102</v>
      </c>
      <c r="B48" s="162" t="s">
        <v>72</v>
      </c>
      <c r="C48" s="41"/>
      <c r="D48" s="42"/>
      <c r="E48" s="42"/>
      <c r="F48" s="42"/>
      <c r="G48" s="199"/>
      <c r="H48" s="42"/>
      <c r="I48" s="42"/>
      <c r="J48" s="42"/>
      <c r="L48" s="201" t="s">
        <v>545</v>
      </c>
      <c r="M48" s="201" t="s">
        <v>544</v>
      </c>
      <c r="N48" s="133" t="s">
        <v>541</v>
      </c>
      <c r="P48" s="161" t="s">
        <v>302</v>
      </c>
    </row>
    <row r="49" spans="1:16" s="2" customFormat="1" ht="25.2" customHeight="1">
      <c r="A49" s="203" t="s">
        <v>102</v>
      </c>
      <c r="B49" s="162" t="s">
        <v>72</v>
      </c>
      <c r="C49" s="41"/>
      <c r="D49" s="42"/>
      <c r="E49" s="42"/>
      <c r="F49" s="42"/>
      <c r="G49" s="199"/>
      <c r="H49" s="42"/>
      <c r="I49" s="42"/>
      <c r="J49" s="42"/>
      <c r="L49" s="201" t="s">
        <v>528</v>
      </c>
      <c r="M49" s="201" t="s">
        <v>543</v>
      </c>
      <c r="N49" s="133" t="s">
        <v>542</v>
      </c>
      <c r="P49" s="161" t="s">
        <v>302</v>
      </c>
    </row>
    <row r="50" spans="1:16" s="2" customFormat="1" ht="25.2" customHeight="1">
      <c r="A50" s="203" t="s">
        <v>102</v>
      </c>
      <c r="B50" s="162" t="s">
        <v>72</v>
      </c>
      <c r="C50" s="41"/>
      <c r="D50" s="42"/>
      <c r="E50" s="204" t="s">
        <v>72</v>
      </c>
      <c r="F50" s="42"/>
      <c r="G50" s="199"/>
      <c r="H50" s="42"/>
      <c r="I50" s="42"/>
      <c r="J50" s="42"/>
      <c r="L50" s="201" t="s">
        <v>547</v>
      </c>
      <c r="M50" s="202" t="s">
        <v>548</v>
      </c>
      <c r="N50" s="133" t="s">
        <v>546</v>
      </c>
      <c r="P50" s="161" t="s">
        <v>302</v>
      </c>
    </row>
    <row r="51" spans="1:16" s="2" customFormat="1" ht="25.2" customHeight="1">
      <c r="A51" s="203" t="s">
        <v>102</v>
      </c>
      <c r="B51" s="162"/>
      <c r="C51" s="41"/>
      <c r="D51" s="42"/>
      <c r="E51" s="42"/>
      <c r="F51" s="42"/>
      <c r="G51" s="199"/>
      <c r="H51" s="42"/>
      <c r="I51" s="42"/>
      <c r="J51" s="42"/>
      <c r="L51" s="201"/>
      <c r="M51" s="11"/>
      <c r="N51" s="133" t="s">
        <v>387</v>
      </c>
      <c r="P51" s="161" t="s">
        <v>302</v>
      </c>
    </row>
    <row r="52" spans="1:16" s="2" customFormat="1" ht="25.2" customHeight="1">
      <c r="A52" s="186" t="s">
        <v>103</v>
      </c>
      <c r="B52" s="162"/>
      <c r="C52" s="41"/>
      <c r="D52" s="42"/>
      <c r="E52" s="42"/>
      <c r="F52" s="42"/>
      <c r="G52" s="199"/>
      <c r="H52" s="42"/>
      <c r="I52" s="42"/>
      <c r="J52" s="42"/>
      <c r="L52" s="201"/>
      <c r="M52" s="11"/>
      <c r="N52" s="133"/>
      <c r="P52" s="160"/>
    </row>
    <row r="53" spans="1:16" s="2" customFormat="1" ht="25.2" customHeight="1">
      <c r="A53" s="186" t="s">
        <v>103</v>
      </c>
      <c r="B53" s="162"/>
      <c r="C53" s="41"/>
      <c r="D53" s="42"/>
      <c r="E53" s="42"/>
      <c r="F53" s="42"/>
      <c r="G53" s="199"/>
      <c r="H53" s="42"/>
      <c r="I53" s="42"/>
      <c r="J53" s="42"/>
      <c r="L53" s="201"/>
      <c r="M53" s="11"/>
      <c r="N53" s="133"/>
      <c r="P53" s="160"/>
    </row>
    <row r="54" spans="1:16" s="2" customFormat="1" ht="25.2" customHeight="1">
      <c r="A54" s="186" t="s">
        <v>103</v>
      </c>
      <c r="B54" s="162"/>
      <c r="C54" s="41"/>
      <c r="D54" s="42"/>
      <c r="E54" s="42"/>
      <c r="F54" s="42"/>
      <c r="G54" s="199"/>
      <c r="H54" s="42"/>
      <c r="I54" s="42"/>
      <c r="J54" s="42"/>
      <c r="L54" s="201"/>
      <c r="M54" s="11"/>
      <c r="N54" s="133"/>
      <c r="P54" s="160"/>
    </row>
    <row r="55" spans="1:16" s="2" customFormat="1" ht="25.2" customHeight="1">
      <c r="A55" s="186" t="s">
        <v>103</v>
      </c>
      <c r="B55" s="162"/>
      <c r="C55" s="41"/>
      <c r="D55" s="42"/>
      <c r="E55" s="42"/>
      <c r="F55" s="42"/>
      <c r="G55" s="199"/>
      <c r="H55" s="42"/>
      <c r="I55" s="42"/>
      <c r="J55" s="42"/>
      <c r="L55" s="201"/>
      <c r="M55" s="11"/>
      <c r="N55" s="133"/>
      <c r="P55" s="160"/>
    </row>
    <row r="56" spans="1:16" s="2" customFormat="1" ht="25.2" customHeight="1">
      <c r="A56" s="186" t="s">
        <v>103</v>
      </c>
      <c r="B56" s="162"/>
      <c r="C56" s="41"/>
      <c r="D56" s="42"/>
      <c r="E56" s="42"/>
      <c r="F56" s="42"/>
      <c r="G56" s="199"/>
      <c r="H56" s="42"/>
      <c r="I56" s="42"/>
      <c r="J56" s="42"/>
      <c r="L56" s="201"/>
      <c r="M56" s="11"/>
      <c r="N56" s="133"/>
      <c r="P56" s="160"/>
    </row>
    <row r="57" spans="1:16" s="2" customFormat="1" ht="25.2" customHeight="1">
      <c r="A57" s="186" t="s">
        <v>103</v>
      </c>
      <c r="B57" s="162"/>
      <c r="C57" s="41"/>
      <c r="D57" s="42"/>
      <c r="E57" s="42"/>
      <c r="F57" s="42"/>
      <c r="G57" s="199"/>
      <c r="H57" s="42"/>
      <c r="I57" s="42"/>
      <c r="J57" s="42"/>
      <c r="L57" s="201"/>
      <c r="M57" s="11"/>
      <c r="N57" s="133"/>
      <c r="P57" s="160"/>
    </row>
    <row r="58" spans="1:16" s="2" customFormat="1" ht="25.2" customHeight="1">
      <c r="A58" s="186" t="s">
        <v>103</v>
      </c>
      <c r="B58" s="162"/>
      <c r="C58" s="41"/>
      <c r="D58" s="42"/>
      <c r="E58" s="42"/>
      <c r="F58" s="42"/>
      <c r="G58" s="199"/>
      <c r="H58" s="42"/>
      <c r="I58" s="42"/>
      <c r="J58" s="42"/>
      <c r="L58" s="201"/>
      <c r="M58" s="11"/>
      <c r="N58" s="133"/>
      <c r="P58" s="160"/>
    </row>
    <row r="59" spans="1:16" s="2" customFormat="1" ht="25.2" customHeight="1">
      <c r="A59" s="186" t="s">
        <v>103</v>
      </c>
      <c r="B59" s="162"/>
      <c r="C59" s="41"/>
      <c r="D59" s="42"/>
      <c r="E59" s="42"/>
      <c r="F59" s="42"/>
      <c r="G59" s="199"/>
      <c r="H59" s="42"/>
      <c r="I59" s="42"/>
      <c r="J59" s="42"/>
      <c r="L59" s="201"/>
      <c r="M59" s="11"/>
      <c r="N59" s="133"/>
      <c r="P59" s="160"/>
    </row>
    <row r="60" spans="1:16" s="2" customFormat="1" ht="25.2" customHeight="1">
      <c r="A60" s="186" t="s">
        <v>103</v>
      </c>
      <c r="B60" s="162"/>
      <c r="C60" s="41"/>
      <c r="D60" s="42"/>
      <c r="E60" s="42"/>
      <c r="F60" s="42"/>
      <c r="G60" s="199"/>
      <c r="H60" s="42"/>
      <c r="I60" s="42"/>
      <c r="J60" s="42"/>
      <c r="L60" s="201"/>
      <c r="M60" s="11"/>
      <c r="N60" s="133"/>
      <c r="P60" s="160"/>
    </row>
    <row r="61" spans="1:16" s="2" customFormat="1" ht="25.2" customHeight="1">
      <c r="A61" s="186" t="s">
        <v>103</v>
      </c>
      <c r="B61" s="162"/>
      <c r="C61" s="41"/>
      <c r="D61" s="42"/>
      <c r="E61" s="42"/>
      <c r="F61" s="42"/>
      <c r="G61" s="199"/>
      <c r="H61" s="42"/>
      <c r="I61" s="42"/>
      <c r="J61" s="42"/>
      <c r="L61" s="201"/>
      <c r="M61" s="11"/>
      <c r="N61" s="133"/>
      <c r="P61" s="160"/>
    </row>
    <row r="62" spans="1:16" s="2" customFormat="1" ht="25.2" customHeight="1">
      <c r="A62" s="186" t="s">
        <v>103</v>
      </c>
      <c r="B62" s="162"/>
      <c r="C62" s="41"/>
      <c r="D62" s="42"/>
      <c r="E62" s="42"/>
      <c r="F62" s="42"/>
      <c r="G62" s="199"/>
      <c r="H62" s="42"/>
      <c r="I62" s="42"/>
      <c r="J62" s="42"/>
      <c r="L62" s="201"/>
      <c r="M62" s="11"/>
      <c r="N62" s="133"/>
      <c r="P62" s="160"/>
    </row>
    <row r="63" spans="1:16" s="2" customFormat="1" ht="25.2" customHeight="1">
      <c r="A63" s="186" t="s">
        <v>103</v>
      </c>
      <c r="B63" s="162"/>
      <c r="C63" s="41"/>
      <c r="D63" s="42"/>
      <c r="E63" s="42"/>
      <c r="F63" s="42"/>
      <c r="G63" s="199"/>
      <c r="H63" s="42"/>
      <c r="I63" s="42"/>
      <c r="J63" s="42"/>
      <c r="L63" s="201"/>
      <c r="M63" s="11"/>
      <c r="N63" s="133"/>
      <c r="P63" s="160"/>
    </row>
    <row r="64" spans="1:16" s="2" customFormat="1" ht="25.2" customHeight="1">
      <c r="A64" s="186" t="s">
        <v>103</v>
      </c>
      <c r="B64" s="162"/>
      <c r="C64" s="41"/>
      <c r="D64" s="42"/>
      <c r="E64" s="42"/>
      <c r="F64" s="42"/>
      <c r="G64" s="199"/>
      <c r="H64" s="42"/>
      <c r="I64" s="42"/>
      <c r="J64" s="42"/>
      <c r="L64" s="201"/>
      <c r="M64" s="11"/>
      <c r="N64" s="133"/>
      <c r="P64" s="160"/>
    </row>
    <row r="65" spans="1:16" s="2" customFormat="1" ht="25.2" customHeight="1">
      <c r="A65" s="186" t="s">
        <v>103</v>
      </c>
      <c r="B65" s="162"/>
      <c r="C65" s="41"/>
      <c r="D65" s="42"/>
      <c r="E65" s="42"/>
      <c r="F65" s="42"/>
      <c r="G65" s="199"/>
      <c r="H65" s="42"/>
      <c r="I65" s="42"/>
      <c r="J65" s="42"/>
      <c r="L65" s="201"/>
      <c r="M65" s="11"/>
      <c r="N65" s="133"/>
      <c r="P65" s="160"/>
    </row>
    <row r="66" spans="1:16" s="2" customFormat="1" ht="25.2" customHeight="1">
      <c r="A66" s="186" t="s">
        <v>103</v>
      </c>
      <c r="B66" s="162"/>
      <c r="C66" s="41"/>
      <c r="D66" s="42"/>
      <c r="E66" s="42"/>
      <c r="F66" s="42"/>
      <c r="G66" s="199"/>
      <c r="H66" s="42"/>
      <c r="I66" s="42"/>
      <c r="J66" s="42"/>
      <c r="L66" s="201"/>
      <c r="M66" s="11"/>
      <c r="N66" s="133"/>
      <c r="P66" s="160"/>
    </row>
    <row r="67" spans="1:16" s="2" customFormat="1" ht="25.2" customHeight="1">
      <c r="A67" s="186" t="s">
        <v>103</v>
      </c>
      <c r="B67" s="162"/>
      <c r="C67" s="41"/>
      <c r="D67" s="42"/>
      <c r="E67" s="42"/>
      <c r="F67" s="42"/>
      <c r="G67" s="199"/>
      <c r="H67" s="42"/>
      <c r="I67" s="42"/>
      <c r="J67" s="42"/>
      <c r="L67" s="201"/>
      <c r="M67" s="11"/>
      <c r="N67" s="133"/>
      <c r="P67" s="160"/>
    </row>
    <row r="68" spans="1:16" s="2" customFormat="1" ht="25.2" customHeight="1">
      <c r="A68" s="186" t="s">
        <v>103</v>
      </c>
      <c r="B68" s="162"/>
      <c r="C68" s="41"/>
      <c r="D68" s="42"/>
      <c r="E68" s="42"/>
      <c r="F68" s="42"/>
      <c r="G68" s="199"/>
      <c r="H68" s="42"/>
      <c r="I68" s="42"/>
      <c r="J68" s="42"/>
      <c r="L68" s="201"/>
      <c r="M68" s="11"/>
      <c r="N68" s="133"/>
      <c r="P68" s="160"/>
    </row>
    <row r="69" spans="1:16" s="2" customFormat="1" ht="25.2" customHeight="1">
      <c r="A69" s="186" t="s">
        <v>103</v>
      </c>
      <c r="B69" s="162"/>
      <c r="C69" s="41"/>
      <c r="D69" s="42"/>
      <c r="E69" s="42"/>
      <c r="F69" s="42"/>
      <c r="G69" s="199"/>
      <c r="H69" s="42"/>
      <c r="I69" s="42"/>
      <c r="J69" s="42"/>
      <c r="L69" s="201"/>
      <c r="M69" s="11"/>
      <c r="N69" s="133"/>
      <c r="P69" s="160"/>
    </row>
    <row r="70" spans="1:16" s="2" customFormat="1" ht="25.2" customHeight="1">
      <c r="A70" s="186" t="s">
        <v>103</v>
      </c>
      <c r="B70" s="162"/>
      <c r="C70" s="41"/>
      <c r="D70" s="42"/>
      <c r="E70" s="42"/>
      <c r="F70" s="42"/>
      <c r="G70" s="199"/>
      <c r="H70" s="42"/>
      <c r="I70" s="42"/>
      <c r="J70" s="42"/>
      <c r="L70" s="201"/>
      <c r="M70" s="11"/>
      <c r="N70" s="133"/>
      <c r="P70" s="160"/>
    </row>
    <row r="71" spans="1:16" s="2" customFormat="1" ht="25.2" customHeight="1">
      <c r="A71" s="186" t="s">
        <v>103</v>
      </c>
      <c r="B71" s="162"/>
      <c r="C71" s="41"/>
      <c r="D71" s="42"/>
      <c r="E71" s="42"/>
      <c r="F71" s="42"/>
      <c r="G71" s="199"/>
      <c r="H71" s="42"/>
      <c r="I71" s="42"/>
      <c r="J71" s="42"/>
      <c r="L71" s="201"/>
      <c r="M71" s="11"/>
      <c r="N71" s="133"/>
      <c r="P71" s="160"/>
    </row>
    <row r="72" spans="1:16" s="2" customFormat="1" ht="25.2" customHeight="1">
      <c r="A72" s="186" t="s">
        <v>103</v>
      </c>
      <c r="B72" s="162"/>
      <c r="C72" s="41"/>
      <c r="D72" s="42"/>
      <c r="E72" s="42"/>
      <c r="F72" s="42"/>
      <c r="G72" s="199"/>
      <c r="H72" s="42"/>
      <c r="I72" s="42"/>
      <c r="J72" s="42"/>
      <c r="L72" s="201"/>
      <c r="M72" s="11"/>
      <c r="N72" s="133"/>
      <c r="P72" s="160"/>
    </row>
  </sheetData>
  <phoneticPr fontId="55" type="noConversion"/>
  <hyperlinks>
    <hyperlink ref="N21" r:id="rId1" xr:uid="{3EE1CDE2-D251-4806-B502-0233030A6ED2}"/>
    <hyperlink ref="N25" r:id="rId2" xr:uid="{F56499DE-097E-4E81-8DD1-091A1CB5DE39}"/>
    <hyperlink ref="N40" r:id="rId3" xr:uid="{C3751625-9BE0-45CB-81FE-2D71BBEC8154}"/>
    <hyperlink ref="N46" r:id="rId4" xr:uid="{3E0DB871-1093-4DA4-B6F7-B78FF293DF7C}"/>
    <hyperlink ref="N3" r:id="rId5" xr:uid="{F3A337EB-7D92-4DA0-985E-D32C0C953A78}"/>
    <hyperlink ref="N4" r:id="rId6" xr:uid="{E756F82F-454E-42DC-AB7C-25FA7A126B39}"/>
    <hyperlink ref="N5" r:id="rId7" xr:uid="{41BB035D-FE3E-446A-AD88-FEB39031036D}"/>
    <hyperlink ref="N6" r:id="rId8" xr:uid="{9975FDBE-D000-4D55-AF90-FE794F9DE4AF}"/>
    <hyperlink ref="N7" r:id="rId9" xr:uid="{B980522A-C06E-44B8-9605-3F30E58F5323}"/>
    <hyperlink ref="N8" r:id="rId10" xr:uid="{5305E64E-3BB2-474B-9736-7A9552F6F378}"/>
    <hyperlink ref="N9" r:id="rId11" xr:uid="{33230593-4F8C-4E08-8C82-76CA3485C7A4}"/>
    <hyperlink ref="N11" r:id="rId12" xr:uid="{DBFA1242-D703-4534-A1A6-E91EF6DBD6A6}"/>
    <hyperlink ref="N12" r:id="rId13" xr:uid="{648FC46F-EC64-4183-96FF-66B8ED26AA94}"/>
    <hyperlink ref="N13" r:id="rId14" xr:uid="{821815FE-7CE0-41B4-963D-4C9471B7E3F1}"/>
    <hyperlink ref="N14" r:id="rId15" xr:uid="{3294A8D2-3E7A-4A78-A628-B13211376C9B}"/>
    <hyperlink ref="N15" r:id="rId16" xr:uid="{A3A8D1E3-A658-4309-8F71-10FFE828EBEE}"/>
    <hyperlink ref="N16" r:id="rId17" xr:uid="{61ECFA1E-9070-471F-B694-00FA852397BF}"/>
    <hyperlink ref="N17" r:id="rId18" xr:uid="{EABB47BA-63FC-4A03-883A-227E28373E5F}"/>
    <hyperlink ref="N18" r:id="rId19" xr:uid="{C5F0C5BE-D446-4016-8DD7-548EF4936676}"/>
    <hyperlink ref="N20" r:id="rId20" xr:uid="{954E1E93-420F-4669-B053-D329FC775B8C}"/>
    <hyperlink ref="N22" r:id="rId21" xr:uid="{2A851073-A55F-4C62-9B55-7C84ED2BB54C}"/>
    <hyperlink ref="N23" r:id="rId22" xr:uid="{01EB9E8A-ACA4-4522-9D73-FC0AA440A7E4}"/>
    <hyperlink ref="N24" r:id="rId23" xr:uid="{A28479D9-6E79-43F0-B12B-FF0141FD0853}"/>
    <hyperlink ref="N26" r:id="rId24" xr:uid="{D7157779-0281-4DFC-BD42-4A9C9BDD2CBC}"/>
    <hyperlink ref="N27" r:id="rId25" xr:uid="{7BAB5C04-3B41-4772-9F1F-88BF199E11BB}"/>
    <hyperlink ref="N28" r:id="rId26" xr:uid="{8CBC10C5-DF8A-4D2B-82FE-E8863BD82EE3}"/>
    <hyperlink ref="N29" r:id="rId27" xr:uid="{4507D2B3-BF7F-4D61-B59C-70282D8673E4}"/>
    <hyperlink ref="N30" r:id="rId28" xr:uid="{91F4B6AB-76D4-4CD1-810C-F19AE5BE30A1}"/>
    <hyperlink ref="N31" r:id="rId29" xr:uid="{1E736BE8-7F45-4FB6-8F62-3F004408E3D4}"/>
    <hyperlink ref="N32" r:id="rId30" xr:uid="{904F1319-EDB8-4467-8980-4C3FE5B0CF7B}"/>
    <hyperlink ref="N33" r:id="rId31" xr:uid="{73DCF28B-5935-4AB7-8C53-9929A9F32E28}"/>
    <hyperlink ref="N34" r:id="rId32" xr:uid="{32461A19-F9EC-4E2B-9FFB-86DB349CF9FB}"/>
    <hyperlink ref="N35" r:id="rId33" xr:uid="{045BE488-D2D7-4A01-8FDD-BFCC4D47EFBF}"/>
    <hyperlink ref="N36" r:id="rId34" xr:uid="{3A3D73FE-5554-4158-86BF-9BF54B7B68A3}"/>
    <hyperlink ref="N37" r:id="rId35" xr:uid="{9FDB0408-F74C-4927-BEF0-09F93C651A06}"/>
    <hyperlink ref="N38" r:id="rId36" xr:uid="{775DF703-AF01-4F05-BCBA-778B85A2B1A1}"/>
    <hyperlink ref="N39" r:id="rId37" xr:uid="{3881D8B1-63F0-48DF-ACB3-238BA4BFA891}"/>
    <hyperlink ref="N41" r:id="rId38" xr:uid="{135199DF-38BD-45AD-BD7E-A93304E8A1A0}"/>
    <hyperlink ref="N42" r:id="rId39" xr:uid="{93354617-31EB-4F8D-A299-519160075AED}"/>
    <hyperlink ref="N43" r:id="rId40" xr:uid="{C8EF201A-D1E1-4A51-93BD-8DD5BA328885}"/>
    <hyperlink ref="N44" r:id="rId41" xr:uid="{FD3E1534-826D-418F-9E5B-DE276DD4E980}"/>
    <hyperlink ref="N45" r:id="rId42" xr:uid="{3686965F-1B2C-45D6-8574-1D4900FDC710}"/>
    <hyperlink ref="N47" r:id="rId43" xr:uid="{2713BCE1-25BE-43F1-909B-15EBE6764D0D}"/>
    <hyperlink ref="N48" r:id="rId44" xr:uid="{15A55FBF-7A75-47E7-980A-1DF122BC0AF2}"/>
    <hyperlink ref="N49" r:id="rId45" xr:uid="{901C6742-BB86-4A07-9701-45D5D4836B09}"/>
    <hyperlink ref="N50" r:id="rId46" xr:uid="{AB3B9119-BF7E-4D66-81ED-6AFD67B38BEE}"/>
    <hyperlink ref="N51" r:id="rId47" xr:uid="{2D4A33BA-56CE-4F6C-9067-6BFAC95225A6}"/>
  </hyperlinks>
  <pageMargins left="0.7" right="0.7" top="0.78740157499999996" bottom="0.78740157499999996" header="0.3" footer="0.3"/>
  <pageSetup paperSize="9" orientation="portrait" r:id="rId48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37BECE-F425-4318-8E93-AC150C6B7373}">
  <sheetPr codeName="Tabelle4"/>
  <dimension ref="A1:P52"/>
  <sheetViews>
    <sheetView workbookViewId="0">
      <pane ySplit="1" topLeftCell="A2" activePane="bottomLeft" state="frozen"/>
      <selection activeCell="A3" sqref="A3:XFD3"/>
      <selection pane="bottomLeft" activeCell="N5" sqref="N5"/>
    </sheetView>
  </sheetViews>
  <sheetFormatPr baseColWidth="10" defaultColWidth="11.5546875" defaultRowHeight="15.6"/>
  <cols>
    <col min="1" max="1" width="6.44140625" style="20" bestFit="1" customWidth="1"/>
    <col min="2" max="10" width="3.6640625" style="38" bestFit="1" customWidth="1"/>
    <col min="11" max="11" width="6.6640625" bestFit="1" customWidth="1"/>
    <col min="12" max="12" width="33.44140625" style="84" bestFit="1" customWidth="1"/>
    <col min="13" max="13" width="10.6640625" style="17" bestFit="1" customWidth="1"/>
    <col min="14" max="14" width="41.88671875" style="17" customWidth="1"/>
    <col min="15" max="15" width="33.88671875" style="19" bestFit="1" customWidth="1"/>
    <col min="16" max="16384" width="11.5546875" style="17"/>
  </cols>
  <sheetData>
    <row r="1" spans="1:16" s="2" customFormat="1" ht="55.2" customHeight="1">
      <c r="A1" s="21" t="s">
        <v>96</v>
      </c>
      <c r="B1" s="259" t="s">
        <v>109</v>
      </c>
      <c r="C1" s="259" t="s">
        <v>136</v>
      </c>
      <c r="D1" s="259" t="s">
        <v>137</v>
      </c>
      <c r="E1" s="259" t="s">
        <v>224</v>
      </c>
      <c r="F1" s="259" t="s">
        <v>138</v>
      </c>
      <c r="G1" s="259" t="s">
        <v>146</v>
      </c>
      <c r="H1" s="259" t="s">
        <v>195</v>
      </c>
      <c r="I1" s="259" t="s">
        <v>235</v>
      </c>
      <c r="J1" s="259" t="s">
        <v>223</v>
      </c>
      <c r="K1" s="259" t="s">
        <v>390</v>
      </c>
      <c r="L1" s="82" t="s">
        <v>70</v>
      </c>
      <c r="M1" s="25" t="s">
        <v>71</v>
      </c>
      <c r="N1" s="25" t="s">
        <v>14</v>
      </c>
      <c r="O1" s="26" t="s">
        <v>97</v>
      </c>
    </row>
    <row r="2" spans="1:16" s="2" customFormat="1" ht="25.2" customHeight="1">
      <c r="A2" s="27" t="s">
        <v>104</v>
      </c>
      <c r="B2" s="32"/>
      <c r="C2" s="32"/>
      <c r="D2" s="33"/>
      <c r="E2" s="33"/>
      <c r="F2" s="33"/>
      <c r="G2" s="33"/>
      <c r="H2" s="33"/>
      <c r="I2" s="33"/>
      <c r="J2" s="33"/>
      <c r="L2" s="83"/>
      <c r="M2" s="10"/>
      <c r="N2" s="15"/>
      <c r="O2" s="16"/>
    </row>
    <row r="3" spans="1:16" s="2" customFormat="1" ht="25.2" customHeight="1">
      <c r="A3" s="28" t="s">
        <v>102</v>
      </c>
      <c r="B3" s="41" t="s">
        <v>72</v>
      </c>
      <c r="C3" s="41"/>
      <c r="D3" s="42" t="s">
        <v>72</v>
      </c>
      <c r="E3" s="42"/>
      <c r="F3" s="42"/>
      <c r="G3" s="42"/>
      <c r="H3" s="42"/>
      <c r="I3" s="42"/>
      <c r="J3" s="42"/>
      <c r="L3" s="1" t="s">
        <v>0</v>
      </c>
      <c r="M3" s="4"/>
      <c r="N3" s="133" t="s">
        <v>160</v>
      </c>
      <c r="O3" s="16"/>
      <c r="P3" s="160" t="s">
        <v>302</v>
      </c>
    </row>
    <row r="4" spans="1:16" s="2" customFormat="1" ht="25.2" customHeight="1">
      <c r="A4" s="28" t="s">
        <v>102</v>
      </c>
      <c r="B4" s="41" t="s">
        <v>72</v>
      </c>
      <c r="C4" s="41"/>
      <c r="D4" s="42" t="s">
        <v>72</v>
      </c>
      <c r="E4" s="42"/>
      <c r="F4" s="42"/>
      <c r="G4" s="42"/>
      <c r="H4" s="42"/>
      <c r="I4" s="42"/>
      <c r="J4" s="42"/>
      <c r="L4" s="1" t="s">
        <v>13</v>
      </c>
      <c r="M4" s="4"/>
      <c r="N4" s="133" t="s">
        <v>161</v>
      </c>
      <c r="O4" s="16"/>
      <c r="P4" s="160" t="s">
        <v>302</v>
      </c>
    </row>
    <row r="5" spans="1:16" s="2" customFormat="1" ht="25.2" customHeight="1">
      <c r="A5" s="276" t="s">
        <v>102</v>
      </c>
      <c r="B5" s="277" t="s">
        <v>72</v>
      </c>
      <c r="C5" s="41"/>
      <c r="D5" s="278" t="s">
        <v>72</v>
      </c>
      <c r="E5" s="42"/>
      <c r="F5" s="42"/>
      <c r="G5" s="42"/>
      <c r="H5" s="42"/>
      <c r="I5" s="42"/>
      <c r="J5" s="42"/>
      <c r="L5" s="279" t="s">
        <v>695</v>
      </c>
      <c r="M5" s="280" t="s">
        <v>696</v>
      </c>
      <c r="N5" s="133"/>
      <c r="O5" s="16"/>
      <c r="P5" s="160"/>
    </row>
    <row r="6" spans="1:16" s="2" customFormat="1" ht="25.2" customHeight="1">
      <c r="A6" s="28" t="s">
        <v>102</v>
      </c>
      <c r="B6" s="41" t="s">
        <v>72</v>
      </c>
      <c r="C6" s="41"/>
      <c r="D6" s="42"/>
      <c r="E6" s="42"/>
      <c r="F6" s="42"/>
      <c r="G6" s="42"/>
      <c r="H6" s="42" t="s">
        <v>72</v>
      </c>
      <c r="I6" s="42"/>
      <c r="J6" s="42"/>
      <c r="L6" s="1" t="s">
        <v>201</v>
      </c>
      <c r="M6" s="4"/>
      <c r="N6" s="133" t="s">
        <v>291</v>
      </c>
      <c r="O6" s="16"/>
      <c r="P6" s="161" t="s">
        <v>302</v>
      </c>
    </row>
    <row r="7" spans="1:16" s="2" customFormat="1" ht="25.2" customHeight="1">
      <c r="A7" s="28" t="s">
        <v>101</v>
      </c>
      <c r="B7" s="41" t="s">
        <v>72</v>
      </c>
      <c r="C7" s="41"/>
      <c r="D7" s="42"/>
      <c r="E7" s="42"/>
      <c r="F7" s="42"/>
      <c r="G7" s="42"/>
      <c r="H7" s="42" t="s">
        <v>72</v>
      </c>
      <c r="I7" s="42"/>
      <c r="J7" s="42"/>
      <c r="M7" s="4"/>
      <c r="N7" s="133" t="s">
        <v>292</v>
      </c>
      <c r="O7" s="1" t="s">
        <v>202</v>
      </c>
      <c r="P7" s="161" t="s">
        <v>302</v>
      </c>
    </row>
    <row r="8" spans="1:16" s="2" customFormat="1" ht="25.2" customHeight="1">
      <c r="A8" s="28" t="s">
        <v>102</v>
      </c>
      <c r="B8" s="41" t="s">
        <v>72</v>
      </c>
      <c r="C8" s="41"/>
      <c r="D8" s="42"/>
      <c r="E8" s="42"/>
      <c r="F8" s="42"/>
      <c r="G8" s="42"/>
      <c r="H8" s="42" t="s">
        <v>72</v>
      </c>
      <c r="I8" s="42"/>
      <c r="J8" s="42"/>
      <c r="L8" s="1" t="s">
        <v>203</v>
      </c>
      <c r="M8" s="4"/>
      <c r="N8" s="133" t="s">
        <v>293</v>
      </c>
      <c r="O8" s="16"/>
      <c r="P8" s="161" t="s">
        <v>302</v>
      </c>
    </row>
    <row r="9" spans="1:16" s="2" customFormat="1" ht="25.2" customHeight="1">
      <c r="A9" s="97" t="s">
        <v>102</v>
      </c>
      <c r="B9" s="98" t="s">
        <v>72</v>
      </c>
      <c r="C9" s="41"/>
      <c r="D9" s="42"/>
      <c r="E9" s="42"/>
      <c r="F9" s="42"/>
      <c r="G9" s="42"/>
      <c r="H9" s="42"/>
      <c r="I9" s="42"/>
      <c r="J9" s="99" t="s">
        <v>72</v>
      </c>
      <c r="L9" s="100" t="s">
        <v>234</v>
      </c>
      <c r="M9" s="101" t="s">
        <v>232</v>
      </c>
      <c r="N9" s="133" t="s">
        <v>294</v>
      </c>
      <c r="O9" s="16"/>
      <c r="P9" s="161" t="s">
        <v>302</v>
      </c>
    </row>
    <row r="10" spans="1:16" s="2" customFormat="1" ht="25.2" customHeight="1">
      <c r="A10" s="97" t="s">
        <v>101</v>
      </c>
      <c r="B10" s="98" t="s">
        <v>72</v>
      </c>
      <c r="C10" s="41"/>
      <c r="D10" s="42"/>
      <c r="E10" s="42"/>
      <c r="F10" s="42"/>
      <c r="G10" s="42"/>
      <c r="H10" s="42"/>
      <c r="I10" s="42"/>
      <c r="J10" s="99"/>
      <c r="L10" s="100"/>
      <c r="M10" s="4"/>
      <c r="N10" s="133" t="s">
        <v>229</v>
      </c>
      <c r="O10" s="16"/>
      <c r="P10" s="160" t="s">
        <v>302</v>
      </c>
    </row>
    <row r="11" spans="1:16" s="2" customFormat="1" ht="25.2" customHeight="1">
      <c r="A11" s="97" t="s">
        <v>102</v>
      </c>
      <c r="B11" s="98" t="s">
        <v>72</v>
      </c>
      <c r="C11" s="41"/>
      <c r="D11" s="42"/>
      <c r="E11" s="99" t="s">
        <v>72</v>
      </c>
      <c r="F11" s="42"/>
      <c r="G11" s="42"/>
      <c r="H11" s="42"/>
      <c r="I11" s="42"/>
      <c r="J11" s="42"/>
      <c r="L11" s="100" t="s">
        <v>226</v>
      </c>
      <c r="M11" s="4"/>
      <c r="N11" s="133" t="s">
        <v>295</v>
      </c>
      <c r="O11" s="16"/>
      <c r="P11" s="161" t="s">
        <v>302</v>
      </c>
    </row>
    <row r="12" spans="1:16" s="2" customFormat="1" ht="25.2" customHeight="1">
      <c r="A12" s="97" t="s">
        <v>102</v>
      </c>
      <c r="B12" s="98" t="s">
        <v>72</v>
      </c>
      <c r="C12" s="41"/>
      <c r="D12" s="42"/>
      <c r="E12" s="42"/>
      <c r="F12" s="42"/>
      <c r="G12" s="42"/>
      <c r="H12" s="42"/>
      <c r="I12" s="98" t="s">
        <v>72</v>
      </c>
      <c r="J12" s="99"/>
      <c r="L12" s="105" t="s">
        <v>240</v>
      </c>
      <c r="M12" s="4"/>
      <c r="N12" s="133" t="s">
        <v>296</v>
      </c>
      <c r="O12" s="19"/>
      <c r="P12" s="161" t="s">
        <v>302</v>
      </c>
    </row>
    <row r="13" spans="1:16" s="2" customFormat="1" ht="25.2" customHeight="1">
      <c r="A13" s="104" t="s">
        <v>101</v>
      </c>
      <c r="B13" s="98" t="s">
        <v>72</v>
      </c>
      <c r="C13" s="41"/>
      <c r="D13" s="42"/>
      <c r="E13" s="42"/>
      <c r="F13" s="42"/>
      <c r="G13" s="42"/>
      <c r="H13" s="42"/>
      <c r="I13" s="98" t="s">
        <v>72</v>
      </c>
      <c r="J13" s="42"/>
      <c r="L13" s="1"/>
      <c r="M13" s="4"/>
      <c r="N13" s="133" t="s">
        <v>297</v>
      </c>
      <c r="O13" s="1" t="s">
        <v>241</v>
      </c>
      <c r="P13" s="161" t="s">
        <v>302</v>
      </c>
    </row>
    <row r="14" spans="1:16" s="2" customFormat="1" ht="25.2" customHeight="1">
      <c r="A14" s="97" t="s">
        <v>102</v>
      </c>
      <c r="B14" s="98" t="s">
        <v>72</v>
      </c>
      <c r="C14" s="41"/>
      <c r="D14" s="42"/>
      <c r="E14" s="42"/>
      <c r="F14" s="42"/>
      <c r="G14" s="42"/>
      <c r="H14" s="42"/>
      <c r="I14" s="98" t="s">
        <v>72</v>
      </c>
      <c r="J14" s="42"/>
      <c r="L14" s="105" t="s">
        <v>242</v>
      </c>
      <c r="M14" s="4"/>
      <c r="N14" s="133" t="s">
        <v>299</v>
      </c>
      <c r="O14" s="19"/>
      <c r="P14" s="161" t="s">
        <v>302</v>
      </c>
    </row>
    <row r="15" spans="1:16" s="2" customFormat="1" ht="25.2" customHeight="1">
      <c r="A15" s="97" t="s">
        <v>102</v>
      </c>
      <c r="B15" s="98" t="s">
        <v>72</v>
      </c>
      <c r="C15" s="41"/>
      <c r="D15" s="42"/>
      <c r="E15" s="42"/>
      <c r="F15" s="42"/>
      <c r="G15" s="42"/>
      <c r="H15" s="42"/>
      <c r="I15" s="98" t="s">
        <v>72</v>
      </c>
      <c r="J15" s="42"/>
      <c r="L15" s="105" t="s">
        <v>243</v>
      </c>
      <c r="M15" s="4"/>
      <c r="N15" s="133" t="s">
        <v>298</v>
      </c>
      <c r="O15" s="19"/>
      <c r="P15" s="161" t="s">
        <v>302</v>
      </c>
    </row>
    <row r="16" spans="1:16" s="2" customFormat="1" ht="25.2" customHeight="1">
      <c r="A16" s="97" t="s">
        <v>102</v>
      </c>
      <c r="B16" s="98" t="s">
        <v>72</v>
      </c>
      <c r="C16" s="41"/>
      <c r="D16" s="42"/>
      <c r="E16" s="42"/>
      <c r="F16" s="42"/>
      <c r="G16" s="98" t="s">
        <v>72</v>
      </c>
      <c r="H16" s="42"/>
      <c r="J16" s="42"/>
      <c r="L16" s="105" t="s">
        <v>675</v>
      </c>
      <c r="M16" s="4"/>
      <c r="N16" s="133" t="s">
        <v>675</v>
      </c>
      <c r="O16" s="19"/>
      <c r="P16" s="161" t="s">
        <v>302</v>
      </c>
    </row>
    <row r="17" spans="1:16" s="2" customFormat="1" ht="25.2" customHeight="1">
      <c r="A17" s="97" t="s">
        <v>102</v>
      </c>
      <c r="B17" s="98" t="s">
        <v>72</v>
      </c>
      <c r="C17" s="41"/>
      <c r="D17" s="42"/>
      <c r="E17" s="42"/>
      <c r="F17" s="42"/>
      <c r="G17" s="98" t="s">
        <v>72</v>
      </c>
      <c r="H17" s="42"/>
      <c r="J17" s="42"/>
      <c r="L17" s="105" t="s">
        <v>676</v>
      </c>
      <c r="M17" s="4"/>
      <c r="N17" s="133" t="s">
        <v>676</v>
      </c>
      <c r="O17" s="19"/>
      <c r="P17" s="161" t="s">
        <v>302</v>
      </c>
    </row>
    <row r="18" spans="1:16" s="2" customFormat="1" ht="25.2" customHeight="1">
      <c r="A18" s="97" t="s">
        <v>102</v>
      </c>
      <c r="B18" s="98" t="s">
        <v>72</v>
      </c>
      <c r="C18" s="41"/>
      <c r="D18" s="42"/>
      <c r="E18" s="42"/>
      <c r="F18" s="270"/>
      <c r="G18" s="98" t="s">
        <v>72</v>
      </c>
      <c r="H18" s="42"/>
      <c r="J18" s="42"/>
      <c r="L18" s="105" t="s">
        <v>677</v>
      </c>
      <c r="M18" s="4"/>
      <c r="N18" s="133" t="s">
        <v>677</v>
      </c>
      <c r="O18" s="19"/>
      <c r="P18" s="161" t="s">
        <v>302</v>
      </c>
    </row>
    <row r="19" spans="1:16" s="2" customFormat="1" ht="25.2" customHeight="1">
      <c r="A19" s="97" t="s">
        <v>102</v>
      </c>
      <c r="B19" s="98" t="s">
        <v>72</v>
      </c>
      <c r="C19" s="41"/>
      <c r="D19" s="42"/>
      <c r="E19" s="42"/>
      <c r="F19" s="42"/>
      <c r="G19" s="42"/>
      <c r="H19" s="42"/>
      <c r="I19" s="42"/>
      <c r="J19" s="98" t="s">
        <v>72</v>
      </c>
      <c r="L19" s="272" t="s">
        <v>680</v>
      </c>
      <c r="M19" s="271" t="s">
        <v>339</v>
      </c>
      <c r="N19" s="133" t="s">
        <v>680</v>
      </c>
      <c r="O19" s="272" t="s">
        <v>684</v>
      </c>
      <c r="P19" s="161" t="s">
        <v>302</v>
      </c>
    </row>
    <row r="20" spans="1:16" s="2" customFormat="1" ht="25.2" customHeight="1">
      <c r="A20" s="269" t="s">
        <v>101</v>
      </c>
      <c r="B20" s="98" t="s">
        <v>72</v>
      </c>
      <c r="C20" s="41"/>
      <c r="D20" s="42"/>
      <c r="E20" s="42"/>
      <c r="F20" s="42"/>
      <c r="G20" s="42"/>
      <c r="H20" s="42"/>
      <c r="I20" s="42"/>
      <c r="J20" s="98" t="s">
        <v>72</v>
      </c>
      <c r="L20" s="105"/>
      <c r="M20" s="271" t="s">
        <v>339</v>
      </c>
      <c r="N20" s="133" t="s">
        <v>679</v>
      </c>
      <c r="O20" s="272" t="s">
        <v>685</v>
      </c>
      <c r="P20" s="161" t="s">
        <v>302</v>
      </c>
    </row>
    <row r="21" spans="1:16" s="2" customFormat="1" ht="25.2" customHeight="1">
      <c r="A21" s="269" t="s">
        <v>101</v>
      </c>
      <c r="B21" s="98" t="s">
        <v>72</v>
      </c>
      <c r="C21" s="41"/>
      <c r="D21" s="42"/>
      <c r="E21" s="42"/>
      <c r="F21" s="42"/>
      <c r="G21" s="42"/>
      <c r="H21" s="42"/>
      <c r="I21" s="42"/>
      <c r="J21" s="98" t="s">
        <v>72</v>
      </c>
      <c r="L21" s="105"/>
      <c r="M21" s="271" t="s">
        <v>339</v>
      </c>
      <c r="N21" s="133" t="s">
        <v>678</v>
      </c>
      <c r="O21" s="272" t="s">
        <v>686</v>
      </c>
      <c r="P21" s="161" t="s">
        <v>302</v>
      </c>
    </row>
    <row r="22" spans="1:16" s="2" customFormat="1" ht="25.2" customHeight="1">
      <c r="A22" s="269" t="s">
        <v>101</v>
      </c>
      <c r="B22" s="98" t="s">
        <v>72</v>
      </c>
      <c r="C22" s="41"/>
      <c r="D22" s="42"/>
      <c r="E22" s="42"/>
      <c r="F22" s="42"/>
      <c r="G22" s="42"/>
      <c r="H22" s="42"/>
      <c r="I22" s="42"/>
      <c r="J22" s="98" t="s">
        <v>72</v>
      </c>
      <c r="L22" s="105"/>
      <c r="M22" s="271" t="s">
        <v>339</v>
      </c>
      <c r="N22" s="133" t="s">
        <v>681</v>
      </c>
      <c r="O22" s="272" t="s">
        <v>687</v>
      </c>
      <c r="P22" s="161" t="s">
        <v>302</v>
      </c>
    </row>
    <row r="23" spans="1:16" s="2" customFormat="1" ht="25.2" customHeight="1">
      <c r="A23" s="97" t="s">
        <v>102</v>
      </c>
      <c r="B23" s="98" t="s">
        <v>72</v>
      </c>
      <c r="C23" s="41"/>
      <c r="D23" s="42"/>
      <c r="E23" s="42"/>
      <c r="F23" s="42"/>
      <c r="G23" s="42"/>
      <c r="H23" s="42"/>
      <c r="I23" s="42"/>
      <c r="J23" s="270" t="s">
        <v>72</v>
      </c>
      <c r="L23" s="272" t="s">
        <v>690</v>
      </c>
      <c r="M23" s="271" t="s">
        <v>339</v>
      </c>
      <c r="N23" s="133" t="s">
        <v>682</v>
      </c>
      <c r="O23" s="272" t="s">
        <v>683</v>
      </c>
      <c r="P23" s="161" t="s">
        <v>302</v>
      </c>
    </row>
    <row r="24" spans="1:16" s="2" customFormat="1" ht="25.2" customHeight="1">
      <c r="A24" s="269" t="s">
        <v>102</v>
      </c>
      <c r="B24" s="41"/>
      <c r="C24" s="41"/>
      <c r="D24" s="42"/>
      <c r="E24" s="42"/>
      <c r="F24" s="42"/>
      <c r="G24" s="42"/>
      <c r="H24" s="42"/>
      <c r="I24" s="42"/>
      <c r="J24" s="270" t="s">
        <v>72</v>
      </c>
      <c r="L24" s="105" t="s">
        <v>689</v>
      </c>
      <c r="M24" s="271" t="s">
        <v>400</v>
      </c>
      <c r="N24" s="133" t="s">
        <v>688</v>
      </c>
      <c r="O24" s="19"/>
      <c r="P24" s="161" t="s">
        <v>302</v>
      </c>
    </row>
    <row r="25" spans="1:16" s="2" customFormat="1" ht="25.2" customHeight="1">
      <c r="A25" s="269" t="s">
        <v>103</v>
      </c>
      <c r="B25" s="41"/>
      <c r="C25" s="41"/>
      <c r="D25" s="42"/>
      <c r="E25" s="42"/>
      <c r="F25" s="42"/>
      <c r="G25" s="42"/>
      <c r="H25" s="42"/>
      <c r="I25" s="42"/>
      <c r="J25" s="42"/>
      <c r="L25" s="1"/>
      <c r="M25" s="4"/>
      <c r="N25" s="17"/>
      <c r="O25" s="19"/>
      <c r="P25" s="160"/>
    </row>
    <row r="26" spans="1:16" s="2" customFormat="1" ht="25.2" customHeight="1">
      <c r="A26" s="28"/>
      <c r="B26" s="41"/>
      <c r="C26" s="41"/>
      <c r="D26" s="42"/>
      <c r="E26" s="42"/>
      <c r="F26" s="42"/>
      <c r="G26" s="42"/>
      <c r="H26" s="42"/>
      <c r="I26" s="42"/>
      <c r="J26" s="42"/>
      <c r="L26" s="1"/>
      <c r="M26" s="4"/>
      <c r="N26" s="17"/>
      <c r="O26" s="19"/>
    </row>
    <row r="27" spans="1:16" s="2" customFormat="1" ht="25.2" customHeight="1">
      <c r="A27" s="28"/>
      <c r="B27" s="41"/>
      <c r="C27" s="41"/>
      <c r="D27" s="42"/>
      <c r="E27" s="42"/>
      <c r="F27" s="42"/>
      <c r="G27" s="42"/>
      <c r="H27" s="42"/>
      <c r="I27" s="42"/>
      <c r="J27" s="42"/>
      <c r="L27" s="1"/>
      <c r="M27" s="4"/>
      <c r="N27" s="17"/>
      <c r="O27" s="19"/>
    </row>
    <row r="28" spans="1:16" s="2" customFormat="1" ht="25.2" customHeight="1">
      <c r="A28" s="28"/>
      <c r="B28" s="41"/>
      <c r="C28" s="41"/>
      <c r="D28" s="42"/>
      <c r="E28" s="42"/>
      <c r="F28" s="42"/>
      <c r="G28" s="42"/>
      <c r="H28" s="42"/>
      <c r="I28" s="42"/>
      <c r="J28" s="42"/>
      <c r="L28" s="1"/>
      <c r="M28" s="4"/>
      <c r="N28" s="17"/>
      <c r="O28" s="19"/>
    </row>
    <row r="29" spans="1:16" s="2" customFormat="1" ht="25.2" customHeight="1">
      <c r="A29" s="28"/>
      <c r="B29" s="41"/>
      <c r="C29" s="41"/>
      <c r="D29" s="42"/>
      <c r="E29" s="42"/>
      <c r="F29" s="42"/>
      <c r="G29" s="42"/>
      <c r="H29" s="42"/>
      <c r="I29" s="42"/>
      <c r="J29" s="42"/>
      <c r="L29" s="1"/>
      <c r="M29" s="4"/>
      <c r="N29" s="17"/>
      <c r="O29" s="19"/>
    </row>
    <row r="30" spans="1:16" s="2" customFormat="1" ht="25.2" customHeight="1">
      <c r="A30" s="28"/>
      <c r="B30" s="41"/>
      <c r="C30" s="41"/>
      <c r="D30" s="42"/>
      <c r="E30" s="42"/>
      <c r="F30" s="42"/>
      <c r="G30" s="42"/>
      <c r="H30" s="42"/>
      <c r="I30" s="42"/>
      <c r="J30" s="42"/>
      <c r="L30" s="1"/>
      <c r="M30" s="4"/>
      <c r="N30" s="17"/>
      <c r="O30" s="19"/>
    </row>
    <row r="31" spans="1:16" s="2" customFormat="1" ht="25.2" customHeight="1">
      <c r="A31" s="28"/>
      <c r="B31" s="41"/>
      <c r="C31" s="41"/>
      <c r="D31" s="42"/>
      <c r="E31" s="42"/>
      <c r="F31" s="42"/>
      <c r="G31" s="42"/>
      <c r="H31" s="42"/>
      <c r="I31" s="42"/>
      <c r="J31" s="42"/>
      <c r="L31" s="1"/>
      <c r="M31" s="4"/>
      <c r="N31" s="17"/>
      <c r="O31" s="19"/>
    </row>
    <row r="32" spans="1:16" s="2" customFormat="1" ht="25.2" customHeight="1">
      <c r="A32" s="28"/>
      <c r="B32" s="41"/>
      <c r="C32" s="41"/>
      <c r="D32" s="42"/>
      <c r="E32" s="42"/>
      <c r="F32" s="42"/>
      <c r="G32" s="42"/>
      <c r="H32" s="42"/>
      <c r="I32" s="42"/>
      <c r="J32" s="42"/>
      <c r="L32" s="1"/>
      <c r="M32" s="4"/>
      <c r="N32" s="17"/>
      <c r="O32" s="19"/>
    </row>
    <row r="33" spans="1:15" s="2" customFormat="1" ht="25.2" customHeight="1">
      <c r="A33" s="28"/>
      <c r="B33" s="41"/>
      <c r="C33" s="41"/>
      <c r="D33" s="42"/>
      <c r="E33" s="42"/>
      <c r="F33" s="42"/>
      <c r="G33" s="42"/>
      <c r="H33" s="42"/>
      <c r="I33" s="42"/>
      <c r="J33" s="42"/>
      <c r="L33" s="1"/>
      <c r="M33" s="4"/>
      <c r="N33" s="17"/>
      <c r="O33" s="19"/>
    </row>
    <row r="34" spans="1:15" s="2" customFormat="1" ht="25.2" customHeight="1">
      <c r="A34" s="28"/>
      <c r="B34" s="41"/>
      <c r="C34" s="41"/>
      <c r="D34" s="42"/>
      <c r="E34" s="42"/>
      <c r="F34" s="42"/>
      <c r="G34" s="42"/>
      <c r="H34" s="42"/>
      <c r="I34" s="42"/>
      <c r="J34" s="42"/>
      <c r="L34" s="1"/>
      <c r="M34" s="4"/>
      <c r="N34" s="17"/>
      <c r="O34" s="19"/>
    </row>
    <row r="35" spans="1:15" s="2" customFormat="1" ht="25.2" customHeight="1">
      <c r="A35" s="28"/>
      <c r="B35" s="41"/>
      <c r="C35" s="41"/>
      <c r="D35" s="42"/>
      <c r="E35" s="42"/>
      <c r="F35" s="42"/>
      <c r="G35" s="42"/>
      <c r="H35" s="42"/>
      <c r="I35" s="42"/>
      <c r="J35" s="42"/>
      <c r="L35" s="1"/>
      <c r="M35" s="4"/>
      <c r="N35" s="17"/>
      <c r="O35" s="19"/>
    </row>
    <row r="36" spans="1:15" s="2" customFormat="1" ht="25.2" customHeight="1">
      <c r="A36" s="28"/>
      <c r="B36" s="41"/>
      <c r="C36" s="41"/>
      <c r="D36" s="42"/>
      <c r="E36" s="42"/>
      <c r="F36" s="42"/>
      <c r="G36" s="42"/>
      <c r="H36" s="42"/>
      <c r="I36" s="42"/>
      <c r="K36" s="42"/>
      <c r="L36" s="1"/>
      <c r="M36" s="4"/>
      <c r="N36" s="17"/>
      <c r="O36" s="19"/>
    </row>
    <row r="37" spans="1:15" s="2" customFormat="1" ht="25.2" customHeight="1">
      <c r="A37" s="28"/>
      <c r="B37" s="41"/>
      <c r="C37" s="41"/>
      <c r="D37" s="42"/>
      <c r="E37" s="42"/>
      <c r="F37" s="42"/>
      <c r="G37" s="42"/>
      <c r="H37" s="42"/>
      <c r="I37" s="42"/>
      <c r="J37" s="42"/>
      <c r="L37" s="1"/>
      <c r="M37" s="4"/>
      <c r="N37" s="17"/>
      <c r="O37" s="19"/>
    </row>
    <row r="38" spans="1:15" s="2" customFormat="1" ht="25.2" customHeight="1">
      <c r="A38" s="28"/>
      <c r="B38" s="41"/>
      <c r="C38" s="41"/>
      <c r="D38" s="42"/>
      <c r="E38" s="42"/>
      <c r="F38" s="42"/>
      <c r="G38" s="42"/>
      <c r="H38" s="42"/>
      <c r="I38" s="42"/>
      <c r="J38" s="42"/>
      <c r="L38" s="1"/>
      <c r="M38" s="4"/>
      <c r="N38" s="17"/>
      <c r="O38" s="19"/>
    </row>
    <row r="39" spans="1:15" s="2" customFormat="1" ht="25.2" customHeight="1">
      <c r="A39" s="28"/>
      <c r="B39" s="41"/>
      <c r="C39" s="41"/>
      <c r="D39" s="42"/>
      <c r="E39" s="42"/>
      <c r="F39" s="42"/>
      <c r="G39" s="42"/>
      <c r="H39" s="42"/>
      <c r="I39" s="42"/>
      <c r="J39" s="42"/>
      <c r="L39" s="1"/>
      <c r="M39" s="4"/>
      <c r="N39" s="17"/>
      <c r="O39" s="19"/>
    </row>
    <row r="40" spans="1:15" s="2" customFormat="1" ht="25.2" customHeight="1">
      <c r="A40" s="28"/>
      <c r="B40" s="41"/>
      <c r="C40" s="41"/>
      <c r="D40" s="42"/>
      <c r="E40" s="42"/>
      <c r="F40" s="42"/>
      <c r="G40" s="42"/>
      <c r="H40" s="42"/>
      <c r="I40" s="42"/>
      <c r="J40" s="42"/>
      <c r="L40" s="1"/>
      <c r="M40" s="4"/>
      <c r="N40" s="17"/>
      <c r="O40" s="19"/>
    </row>
    <row r="41" spans="1:15" s="2" customFormat="1" ht="25.2" customHeight="1">
      <c r="A41" s="28"/>
      <c r="B41" s="41"/>
      <c r="C41" s="41"/>
      <c r="D41" s="42"/>
      <c r="E41" s="42"/>
      <c r="F41" s="42"/>
      <c r="G41" s="42"/>
      <c r="H41" s="42"/>
      <c r="I41" s="42"/>
      <c r="J41" s="42"/>
      <c r="L41" s="1"/>
      <c r="M41" s="4"/>
      <c r="N41" s="17"/>
      <c r="O41" s="19"/>
    </row>
    <row r="42" spans="1:15" s="2" customFormat="1" ht="25.2" customHeight="1">
      <c r="A42" s="28"/>
      <c r="B42" s="41"/>
      <c r="C42" s="41"/>
      <c r="D42" s="42"/>
      <c r="E42" s="42"/>
      <c r="F42" s="42"/>
      <c r="G42" s="42"/>
      <c r="H42" s="42"/>
      <c r="I42" s="42"/>
      <c r="J42" s="42"/>
      <c r="L42" s="1"/>
      <c r="M42" s="4"/>
      <c r="N42" s="17"/>
      <c r="O42" s="19"/>
    </row>
    <row r="43" spans="1:15" s="2" customFormat="1" ht="25.2" customHeight="1">
      <c r="A43" s="28"/>
      <c r="B43" s="41"/>
      <c r="C43" s="41"/>
      <c r="D43" s="42"/>
      <c r="E43" s="42"/>
      <c r="F43" s="42"/>
      <c r="G43" s="42"/>
      <c r="H43" s="42"/>
      <c r="I43" s="42"/>
      <c r="J43" s="42"/>
      <c r="L43" s="1"/>
      <c r="M43" s="4"/>
      <c r="N43" s="17"/>
      <c r="O43" s="19"/>
    </row>
    <row r="44" spans="1:15" s="2" customFormat="1" ht="25.2" customHeight="1">
      <c r="A44" s="28"/>
      <c r="B44" s="41"/>
      <c r="C44" s="41"/>
      <c r="D44" s="42"/>
      <c r="E44" s="42"/>
      <c r="F44" s="42"/>
      <c r="G44" s="42"/>
      <c r="H44" s="42"/>
      <c r="I44" s="42"/>
      <c r="J44" s="42"/>
      <c r="L44" s="1"/>
      <c r="M44" s="4"/>
      <c r="N44" s="17"/>
      <c r="O44" s="19"/>
    </row>
    <row r="45" spans="1:15" s="2" customFormat="1" ht="25.2" customHeight="1">
      <c r="A45" s="28"/>
      <c r="B45" s="41"/>
      <c r="C45" s="41"/>
      <c r="D45" s="42"/>
      <c r="E45" s="42"/>
      <c r="F45" s="42"/>
      <c r="G45" s="42"/>
      <c r="H45" s="42"/>
      <c r="I45" s="42"/>
      <c r="J45" s="42"/>
      <c r="L45" s="1"/>
      <c r="M45" s="4"/>
      <c r="N45" s="17"/>
      <c r="O45" s="19"/>
    </row>
    <row r="46" spans="1:15" s="2" customFormat="1" ht="25.2" customHeight="1">
      <c r="A46" s="28"/>
      <c r="B46" s="41"/>
      <c r="C46" s="41"/>
      <c r="D46" s="42"/>
      <c r="E46" s="42"/>
      <c r="F46" s="42"/>
      <c r="G46" s="42"/>
      <c r="H46" s="42"/>
      <c r="I46" s="42"/>
      <c r="J46" s="42"/>
      <c r="L46" s="1"/>
      <c r="M46" s="4"/>
      <c r="N46" s="17"/>
      <c r="O46" s="19"/>
    </row>
    <row r="47" spans="1:15" s="2" customFormat="1" ht="25.2" customHeight="1">
      <c r="A47" s="28"/>
      <c r="B47" s="41"/>
      <c r="C47" s="41"/>
      <c r="D47" s="42"/>
      <c r="E47" s="42"/>
      <c r="F47" s="42"/>
      <c r="G47" s="42"/>
      <c r="H47" s="42"/>
      <c r="I47" s="42"/>
      <c r="J47" s="42"/>
      <c r="L47" s="1"/>
      <c r="M47" s="4"/>
      <c r="N47" s="17"/>
      <c r="O47" s="19"/>
    </row>
    <row r="48" spans="1:15" s="2" customFormat="1" ht="25.2" customHeight="1">
      <c r="A48" s="28"/>
      <c r="B48" s="41"/>
      <c r="C48" s="41"/>
      <c r="D48" s="42"/>
      <c r="E48" s="42"/>
      <c r="F48" s="42"/>
      <c r="G48" s="42"/>
      <c r="H48" s="42"/>
      <c r="I48" s="42"/>
      <c r="J48" s="42"/>
      <c r="L48" s="1"/>
      <c r="M48" s="4"/>
      <c r="N48" s="17"/>
      <c r="O48" s="19"/>
    </row>
    <row r="49" spans="1:15" s="2" customFormat="1" ht="25.2" customHeight="1">
      <c r="A49" s="28"/>
      <c r="B49" s="41"/>
      <c r="C49" s="41"/>
      <c r="D49" s="42"/>
      <c r="E49" s="42"/>
      <c r="F49" s="42"/>
      <c r="G49" s="42"/>
      <c r="H49" s="42"/>
      <c r="I49" s="42"/>
      <c r="J49" s="42"/>
      <c r="L49" s="1"/>
      <c r="M49" s="4"/>
      <c r="N49" s="17"/>
      <c r="O49" s="19"/>
    </row>
    <row r="50" spans="1:15" s="2" customFormat="1" ht="25.2" customHeight="1">
      <c r="A50" s="28"/>
      <c r="B50" s="41"/>
      <c r="C50" s="41"/>
      <c r="D50" s="42"/>
      <c r="E50" s="42"/>
      <c r="F50" s="42"/>
      <c r="G50" s="42"/>
      <c r="H50" s="42"/>
      <c r="I50" s="42"/>
      <c r="J50" s="42"/>
      <c r="L50" s="1"/>
      <c r="M50" s="4"/>
      <c r="N50" s="17"/>
      <c r="O50" s="19"/>
    </row>
    <row r="51" spans="1:15" s="2" customFormat="1" ht="25.2" customHeight="1">
      <c r="A51" s="28"/>
      <c r="B51" s="41"/>
      <c r="C51" s="41"/>
      <c r="D51" s="42"/>
      <c r="E51" s="42"/>
      <c r="F51" s="42"/>
      <c r="G51" s="42"/>
      <c r="H51" s="42"/>
      <c r="I51" s="42"/>
      <c r="J51" s="42"/>
      <c r="L51" s="1"/>
      <c r="M51" s="4"/>
      <c r="N51" s="17"/>
      <c r="O51" s="19"/>
    </row>
    <row r="52" spans="1:15" s="2" customFormat="1" ht="25.2" customHeight="1">
      <c r="A52" s="28"/>
      <c r="B52" s="41"/>
      <c r="C52" s="41"/>
      <c r="D52" s="42"/>
      <c r="E52" s="42"/>
      <c r="F52" s="42"/>
      <c r="G52" s="42"/>
      <c r="H52" s="42"/>
      <c r="I52" s="42"/>
      <c r="J52" s="42"/>
      <c r="L52" s="1"/>
      <c r="M52" s="4"/>
      <c r="N52" s="17"/>
      <c r="O52" s="19"/>
    </row>
  </sheetData>
  <dataConsolidate link="1"/>
  <hyperlinks>
    <hyperlink ref="N3" r:id="rId1" xr:uid="{EB50D37F-8D81-4A2E-AA00-9FEEA72E6884}"/>
    <hyperlink ref="N4" r:id="rId2" xr:uid="{AC0EEA09-8134-4C9A-8EEE-5AC3D3861D9F}"/>
    <hyperlink ref="N10" r:id="rId3" xr:uid="{9F9B5B3C-ECE6-4694-B59F-1B25D9BDC026}"/>
    <hyperlink ref="N6" r:id="rId4" xr:uid="{FBCE2040-0DDD-4459-947B-566125371146}"/>
    <hyperlink ref="N7" r:id="rId5" xr:uid="{032EC12E-9743-43E1-810E-EE5CC0BBD582}"/>
    <hyperlink ref="N8" r:id="rId6" xr:uid="{A04BC292-6D1D-4C59-A2E0-C8B0DE93A28B}"/>
    <hyperlink ref="N9" r:id="rId7" xr:uid="{0CFF5A8D-7BD0-47AF-BEAA-6F45EF152412}"/>
    <hyperlink ref="N11" r:id="rId8" xr:uid="{D2AF82EF-B05C-4A51-B7A0-F26FD351DA1A}"/>
    <hyperlink ref="N12" r:id="rId9" xr:uid="{4BBCFB9C-2A90-43DB-854D-A1E5F57EBCDA}"/>
    <hyperlink ref="N13" r:id="rId10" xr:uid="{453C9E25-A028-4FB8-8E8F-6890FCA8AD9D}"/>
    <hyperlink ref="N14" r:id="rId11" xr:uid="{4FCB74CA-EC11-4885-A07E-4AFF44C758D2}"/>
    <hyperlink ref="N15" r:id="rId12" xr:uid="{07EC0F60-E518-4506-8AB7-063D8AA0EAA1}"/>
    <hyperlink ref="N16" r:id="rId13" xr:uid="{8AEF771F-098B-4196-A8ED-6FC0339611CA}"/>
    <hyperlink ref="N17" r:id="rId14" xr:uid="{8DEA117A-0AD4-45CE-BEB2-CC546E42BC47}"/>
    <hyperlink ref="N18" r:id="rId15" xr:uid="{E985767D-AAAE-474E-8871-793B10A00013}"/>
    <hyperlink ref="N19" r:id="rId16" xr:uid="{71277732-97E4-4F0D-A90F-6A10B6E7B23F}"/>
    <hyperlink ref="N20" r:id="rId17" xr:uid="{28D954FB-39EC-47B1-8EE8-216002BCA573}"/>
    <hyperlink ref="N21" r:id="rId18" xr:uid="{DC2822CE-3EF3-494C-8528-BFDE163D8584}"/>
    <hyperlink ref="N22" r:id="rId19" xr:uid="{0CC3649A-1A48-4419-87C4-89C66B81C7F9}"/>
    <hyperlink ref="N23" r:id="rId20" xr:uid="{B6C63A82-21DE-4A90-83C0-D72FAD60194D}"/>
    <hyperlink ref="N24" r:id="rId21" xr:uid="{BEE00C56-A8CE-4564-87D7-EF8C5F6FCF88}"/>
  </hyperlinks>
  <pageMargins left="0.7" right="0.7" top="0.78740157499999996" bottom="0.78740157499999996" header="0.3" footer="0.3"/>
  <pageSetup paperSize="9" orientation="portrait" r:id="rId2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91C55C-A7F8-49AB-8DEF-01B9541B4369}">
  <sheetPr codeName="Tabelle5"/>
  <dimension ref="A1:P56"/>
  <sheetViews>
    <sheetView workbookViewId="0">
      <pane ySplit="1" topLeftCell="A14" activePane="bottomLeft" state="frozen"/>
      <selection activeCell="A3" sqref="A3:XFD3"/>
      <selection pane="bottomLeft" activeCell="L18" sqref="L18"/>
    </sheetView>
  </sheetViews>
  <sheetFormatPr baseColWidth="10" defaultColWidth="11.5546875" defaultRowHeight="15.6"/>
  <cols>
    <col min="1" max="1" width="8.33203125" style="20" customWidth="1"/>
    <col min="2" max="2" width="3.6640625" style="38" bestFit="1" customWidth="1"/>
    <col min="3" max="4" width="7.109375" style="38" bestFit="1" customWidth="1"/>
    <col min="5" max="10" width="3.6640625" style="38" bestFit="1" customWidth="1"/>
    <col min="11" max="11" width="6.6640625" bestFit="1" customWidth="1"/>
    <col min="12" max="12" width="17.44140625" style="84" bestFit="1" customWidth="1"/>
    <col min="13" max="13" width="36.33203125" style="17" bestFit="1" customWidth="1"/>
    <col min="14" max="14" width="30.88671875" style="17" customWidth="1"/>
    <col min="15" max="15" width="16.6640625" style="19" bestFit="1" customWidth="1"/>
    <col min="16" max="16384" width="11.5546875" style="17"/>
  </cols>
  <sheetData>
    <row r="1" spans="1:16" s="2" customFormat="1" ht="55.2" customHeight="1">
      <c r="A1" s="28" t="s">
        <v>96</v>
      </c>
      <c r="B1" s="259" t="s">
        <v>109</v>
      </c>
      <c r="C1" s="259" t="s">
        <v>136</v>
      </c>
      <c r="D1" s="259" t="s">
        <v>137</v>
      </c>
      <c r="E1" s="259" t="s">
        <v>224</v>
      </c>
      <c r="F1" s="259" t="s">
        <v>138</v>
      </c>
      <c r="G1" s="259" t="s">
        <v>146</v>
      </c>
      <c r="H1" s="259" t="s">
        <v>195</v>
      </c>
      <c r="I1" s="259" t="s">
        <v>235</v>
      </c>
      <c r="J1" s="259" t="s">
        <v>223</v>
      </c>
      <c r="K1" s="259" t="s">
        <v>390</v>
      </c>
      <c r="L1" s="82" t="s">
        <v>70</v>
      </c>
      <c r="M1" s="25" t="s">
        <v>71</v>
      </c>
      <c r="N1" s="25" t="s">
        <v>14</v>
      </c>
      <c r="O1" s="26" t="s">
        <v>97</v>
      </c>
    </row>
    <row r="2" spans="1:16" s="2" customFormat="1" ht="25.2" customHeight="1">
      <c r="A2" s="28" t="s">
        <v>104</v>
      </c>
      <c r="B2" s="32"/>
      <c r="C2" s="32"/>
      <c r="D2" s="33"/>
      <c r="E2" s="33"/>
      <c r="F2" s="33"/>
      <c r="G2" s="33"/>
      <c r="H2" s="33"/>
      <c r="I2" s="33"/>
      <c r="J2" s="33"/>
      <c r="L2" s="83"/>
      <c r="M2" s="10"/>
      <c r="N2" s="15"/>
      <c r="O2" s="16"/>
    </row>
    <row r="3" spans="1:16" s="2" customFormat="1" ht="25.2" customHeight="1">
      <c r="A3" s="28" t="s">
        <v>102</v>
      </c>
      <c r="B3" s="41" t="s">
        <v>72</v>
      </c>
      <c r="C3" s="41" t="s">
        <v>72</v>
      </c>
      <c r="D3" s="42" t="s">
        <v>72</v>
      </c>
      <c r="E3" s="35"/>
      <c r="F3" s="35"/>
      <c r="G3" s="35"/>
      <c r="H3" s="35"/>
      <c r="I3" s="35"/>
      <c r="J3" s="35"/>
      <c r="L3" s="1" t="s">
        <v>0</v>
      </c>
      <c r="M3" s="89" t="s">
        <v>34</v>
      </c>
      <c r="N3" s="133" t="s">
        <v>222</v>
      </c>
      <c r="O3" s="178"/>
      <c r="P3" s="161" t="s">
        <v>302</v>
      </c>
    </row>
    <row r="4" spans="1:16" s="2" customFormat="1" ht="25.2" customHeight="1">
      <c r="A4" s="28" t="s">
        <v>102</v>
      </c>
      <c r="B4" s="41" t="s">
        <v>72</v>
      </c>
      <c r="C4" s="41" t="s">
        <v>72</v>
      </c>
      <c r="D4" s="42" t="s">
        <v>72</v>
      </c>
      <c r="E4" s="35"/>
      <c r="F4" s="35"/>
      <c r="G4" s="35"/>
      <c r="H4" s="35"/>
      <c r="I4" s="35"/>
      <c r="J4" s="35"/>
      <c r="L4" s="1" t="s">
        <v>35</v>
      </c>
      <c r="M4" s="89"/>
      <c r="N4" s="133" t="s">
        <v>162</v>
      </c>
      <c r="O4" s="178"/>
      <c r="P4" s="161" t="s">
        <v>302</v>
      </c>
    </row>
    <row r="5" spans="1:16" s="2" customFormat="1" ht="25.2" customHeight="1">
      <c r="A5" s="28" t="s">
        <v>102</v>
      </c>
      <c r="B5" s="41" t="s">
        <v>72</v>
      </c>
      <c r="C5" s="34"/>
      <c r="D5" s="42" t="s">
        <v>72</v>
      </c>
      <c r="E5" s="35"/>
      <c r="F5" s="35"/>
      <c r="G5" s="35"/>
      <c r="H5" s="35"/>
      <c r="I5" s="35"/>
      <c r="J5" s="35"/>
      <c r="L5" s="1" t="s">
        <v>1</v>
      </c>
      <c r="M5" s="89"/>
      <c r="N5" s="133" t="s">
        <v>163</v>
      </c>
      <c r="O5" s="178"/>
      <c r="P5" s="161" t="s">
        <v>302</v>
      </c>
    </row>
    <row r="6" spans="1:16" s="2" customFormat="1" ht="25.2" customHeight="1">
      <c r="A6" s="28" t="s">
        <v>102</v>
      </c>
      <c r="B6" s="41" t="s">
        <v>72</v>
      </c>
      <c r="C6" s="34"/>
      <c r="D6" s="42" t="s">
        <v>72</v>
      </c>
      <c r="E6" s="35"/>
      <c r="F6" s="35"/>
      <c r="G6" s="35"/>
      <c r="H6" s="35"/>
      <c r="I6" s="35"/>
      <c r="J6" s="35"/>
      <c r="L6" s="1" t="s">
        <v>40</v>
      </c>
      <c r="M6" s="89"/>
      <c r="N6" s="133" t="s">
        <v>164</v>
      </c>
      <c r="O6" s="178"/>
      <c r="P6" s="161" t="s">
        <v>302</v>
      </c>
    </row>
    <row r="7" spans="1:16" s="2" customFormat="1" ht="25.2" customHeight="1">
      <c r="A7" s="28" t="s">
        <v>102</v>
      </c>
      <c r="B7" s="41" t="s">
        <v>72</v>
      </c>
      <c r="C7" s="34"/>
      <c r="D7" s="42" t="s">
        <v>72</v>
      </c>
      <c r="E7" s="35"/>
      <c r="F7" s="35"/>
      <c r="G7" s="35"/>
      <c r="H7" s="35"/>
      <c r="I7" s="35"/>
      <c r="J7" s="35"/>
      <c r="L7" s="1" t="s">
        <v>41</v>
      </c>
      <c r="M7" s="89"/>
      <c r="N7" s="133" t="s">
        <v>165</v>
      </c>
      <c r="O7" s="178"/>
      <c r="P7" s="161" t="s">
        <v>302</v>
      </c>
    </row>
    <row r="8" spans="1:16" s="2" customFormat="1" ht="25.2" customHeight="1">
      <c r="A8" s="231" t="s">
        <v>102</v>
      </c>
      <c r="B8" s="41" t="s">
        <v>72</v>
      </c>
      <c r="C8" s="245" t="s">
        <v>651</v>
      </c>
      <c r="D8" s="245" t="s">
        <v>651</v>
      </c>
      <c r="E8" s="35"/>
      <c r="F8" s="35"/>
      <c r="G8" s="35"/>
      <c r="H8" s="35"/>
      <c r="I8" s="35"/>
      <c r="J8" s="237" t="s">
        <v>72</v>
      </c>
      <c r="L8" s="322" t="s">
        <v>768</v>
      </c>
      <c r="M8" s="89" t="s">
        <v>635</v>
      </c>
      <c r="N8" s="133" t="s">
        <v>642</v>
      </c>
      <c r="O8" s="322" t="s">
        <v>768</v>
      </c>
      <c r="P8" s="161" t="s">
        <v>302</v>
      </c>
    </row>
    <row r="9" spans="1:16" s="2" customFormat="1" ht="25.2" customHeight="1">
      <c r="A9" s="231" t="s">
        <v>101</v>
      </c>
      <c r="B9" s="41" t="s">
        <v>72</v>
      </c>
      <c r="C9" s="242" t="s">
        <v>72</v>
      </c>
      <c r="D9" s="243" t="s">
        <v>72</v>
      </c>
      <c r="E9" s="35"/>
      <c r="F9" s="35"/>
      <c r="G9" s="35"/>
      <c r="H9" s="35"/>
      <c r="I9" s="35"/>
      <c r="J9" s="237" t="s">
        <v>72</v>
      </c>
      <c r="L9" s="233"/>
      <c r="M9" s="89"/>
      <c r="N9" s="133" t="s">
        <v>638</v>
      </c>
      <c r="O9" s="178" t="s">
        <v>636</v>
      </c>
      <c r="P9" s="161" t="s">
        <v>302</v>
      </c>
    </row>
    <row r="10" spans="1:16" s="2" customFormat="1" ht="25.2" customHeight="1">
      <c r="A10" s="323" t="s">
        <v>101</v>
      </c>
      <c r="B10" s="324" t="s">
        <v>72</v>
      </c>
      <c r="C10" s="325" t="s">
        <v>72</v>
      </c>
      <c r="D10" s="326" t="s">
        <v>72</v>
      </c>
      <c r="E10" s="35"/>
      <c r="F10" s="35"/>
      <c r="G10" s="35"/>
      <c r="H10" s="35"/>
      <c r="I10" s="35"/>
      <c r="J10" s="327" t="s">
        <v>72</v>
      </c>
      <c r="L10" s="233"/>
      <c r="M10" s="89"/>
      <c r="N10" s="133" t="s">
        <v>162</v>
      </c>
      <c r="O10" s="178" t="s">
        <v>769</v>
      </c>
      <c r="P10" s="161"/>
    </row>
    <row r="11" spans="1:16" s="2" customFormat="1" ht="25.2" customHeight="1">
      <c r="A11" s="238" t="s">
        <v>101</v>
      </c>
      <c r="B11" s="41" t="s">
        <v>72</v>
      </c>
      <c r="C11" s="242" t="s">
        <v>72</v>
      </c>
      <c r="D11" s="243" t="s">
        <v>72</v>
      </c>
      <c r="E11" s="35"/>
      <c r="F11" s="35"/>
      <c r="G11" s="35"/>
      <c r="H11" s="35"/>
      <c r="I11" s="35"/>
      <c r="J11" s="237" t="s">
        <v>72</v>
      </c>
      <c r="L11" s="233"/>
      <c r="M11" s="89"/>
      <c r="N11" s="133" t="s">
        <v>639</v>
      </c>
      <c r="O11" s="178" t="s">
        <v>637</v>
      </c>
      <c r="P11" s="161" t="s">
        <v>302</v>
      </c>
    </row>
    <row r="12" spans="1:16" s="2" customFormat="1" ht="25.2" customHeight="1">
      <c r="A12" s="238" t="s">
        <v>101</v>
      </c>
      <c r="B12" s="41" t="s">
        <v>72</v>
      </c>
      <c r="C12" s="242" t="s">
        <v>72</v>
      </c>
      <c r="D12" s="243" t="s">
        <v>72</v>
      </c>
      <c r="E12" s="35"/>
      <c r="F12" s="35"/>
      <c r="G12" s="35"/>
      <c r="H12" s="35"/>
      <c r="I12" s="35"/>
      <c r="J12" s="237" t="s">
        <v>72</v>
      </c>
      <c r="L12" s="233"/>
      <c r="M12" s="89"/>
      <c r="N12" s="133" t="s">
        <v>641</v>
      </c>
      <c r="O12" s="178" t="s">
        <v>640</v>
      </c>
      <c r="P12" s="161" t="s">
        <v>302</v>
      </c>
    </row>
    <row r="13" spans="1:16" s="2" customFormat="1" ht="25.2" customHeight="1">
      <c r="A13" s="28" t="s">
        <v>102</v>
      </c>
      <c r="B13" s="41" t="s">
        <v>72</v>
      </c>
      <c r="C13" s="34"/>
      <c r="D13" s="42" t="s">
        <v>72</v>
      </c>
      <c r="E13" s="35"/>
      <c r="F13" s="35"/>
      <c r="G13" s="35"/>
      <c r="H13" s="35"/>
      <c r="I13" s="35"/>
      <c r="J13" s="35"/>
      <c r="L13" s="1" t="s">
        <v>5</v>
      </c>
      <c r="M13" s="89" t="s">
        <v>37</v>
      </c>
      <c r="N13" s="133" t="s">
        <v>165</v>
      </c>
      <c r="O13" s="178"/>
      <c r="P13" s="161" t="s">
        <v>302</v>
      </c>
    </row>
    <row r="14" spans="1:16" s="2" customFormat="1" ht="25.2" customHeight="1">
      <c r="A14" s="28" t="s">
        <v>102</v>
      </c>
      <c r="B14" s="41" t="s">
        <v>72</v>
      </c>
      <c r="C14" s="34"/>
      <c r="D14" s="42" t="s">
        <v>72</v>
      </c>
      <c r="E14" s="35"/>
      <c r="F14" s="35"/>
      <c r="G14" s="35"/>
      <c r="H14" s="35"/>
      <c r="I14" s="35"/>
      <c r="J14" s="35"/>
      <c r="L14" s="1" t="s">
        <v>36</v>
      </c>
      <c r="M14" s="89"/>
      <c r="N14" s="133" t="s">
        <v>166</v>
      </c>
      <c r="O14" s="178"/>
      <c r="P14" s="161" t="s">
        <v>302</v>
      </c>
    </row>
    <row r="15" spans="1:16" s="2" customFormat="1" ht="25.2" customHeight="1">
      <c r="A15" s="348" t="s">
        <v>102</v>
      </c>
      <c r="B15" s="349" t="s">
        <v>72</v>
      </c>
      <c r="C15" s="34"/>
      <c r="D15" s="350" t="s">
        <v>72</v>
      </c>
      <c r="E15" s="35"/>
      <c r="F15" s="35"/>
      <c r="G15" s="35"/>
      <c r="H15" s="35"/>
      <c r="I15" s="35"/>
      <c r="J15" s="35"/>
      <c r="L15" s="352" t="s">
        <v>778</v>
      </c>
      <c r="M15" s="351" t="s">
        <v>776</v>
      </c>
      <c r="N15" s="133" t="s">
        <v>777</v>
      </c>
      <c r="O15" s="178"/>
      <c r="P15" s="161"/>
    </row>
    <row r="16" spans="1:16" s="2" customFormat="1" ht="25.2" customHeight="1">
      <c r="A16" s="28" t="s">
        <v>102</v>
      </c>
      <c r="B16" s="41" t="s">
        <v>72</v>
      </c>
      <c r="C16" s="34"/>
      <c r="D16" s="42"/>
      <c r="E16" s="35"/>
      <c r="F16" s="35"/>
      <c r="G16" s="35"/>
      <c r="H16" s="35" t="s">
        <v>72</v>
      </c>
      <c r="I16" s="35"/>
      <c r="J16" s="35"/>
      <c r="L16" s="1" t="s">
        <v>204</v>
      </c>
      <c r="M16" s="89"/>
      <c r="N16" s="133" t="s">
        <v>300</v>
      </c>
      <c r="O16" s="178"/>
      <c r="P16" s="161" t="s">
        <v>302</v>
      </c>
    </row>
    <row r="17" spans="1:16" s="2" customFormat="1" ht="25.2" customHeight="1">
      <c r="A17" s="28" t="s">
        <v>102</v>
      </c>
      <c r="B17" s="41" t="s">
        <v>72</v>
      </c>
      <c r="C17" s="34"/>
      <c r="D17" s="42"/>
      <c r="E17" s="35"/>
      <c r="F17" s="35"/>
      <c r="G17" s="35"/>
      <c r="H17" s="35"/>
      <c r="I17" s="103" t="s">
        <v>72</v>
      </c>
      <c r="J17" s="35"/>
      <c r="L17" s="1" t="s">
        <v>237</v>
      </c>
      <c r="M17" s="89"/>
      <c r="N17" s="133" t="s">
        <v>301</v>
      </c>
      <c r="O17" s="178"/>
      <c r="P17" s="161" t="s">
        <v>302</v>
      </c>
    </row>
    <row r="18" spans="1:16" s="2" customFormat="1" ht="25.2" customHeight="1">
      <c r="A18" s="353" t="s">
        <v>102</v>
      </c>
      <c r="B18" s="41" t="s">
        <v>72</v>
      </c>
      <c r="C18" s="34"/>
      <c r="D18" s="42"/>
      <c r="E18" s="35"/>
      <c r="F18" s="35"/>
      <c r="G18" s="35"/>
      <c r="H18" s="35"/>
      <c r="I18" s="103" t="s">
        <v>72</v>
      </c>
      <c r="J18" s="35"/>
      <c r="L18" s="355" t="s">
        <v>786</v>
      </c>
      <c r="M18" s="354" t="s">
        <v>785</v>
      </c>
      <c r="N18" s="133" t="s">
        <v>391</v>
      </c>
      <c r="O18" s="178"/>
      <c r="P18" s="161" t="s">
        <v>302</v>
      </c>
    </row>
    <row r="19" spans="1:16" s="2" customFormat="1" ht="25.2" customHeight="1">
      <c r="A19" s="348" t="s">
        <v>102</v>
      </c>
      <c r="B19" s="41" t="s">
        <v>72</v>
      </c>
      <c r="C19" s="34"/>
      <c r="D19" s="42"/>
      <c r="E19" s="35"/>
      <c r="F19" s="35"/>
      <c r="G19" s="35"/>
      <c r="H19" s="35"/>
      <c r="I19" s="103"/>
      <c r="J19" s="41" t="s">
        <v>72</v>
      </c>
      <c r="L19" s="185" t="s">
        <v>386</v>
      </c>
      <c r="M19" s="89"/>
      <c r="N19" s="133" t="s">
        <v>381</v>
      </c>
      <c r="O19" s="178" t="s">
        <v>49</v>
      </c>
      <c r="P19" s="161" t="s">
        <v>302</v>
      </c>
    </row>
    <row r="20" spans="1:16" s="2" customFormat="1" ht="25.2" customHeight="1">
      <c r="A20" s="104" t="s">
        <v>101</v>
      </c>
      <c r="B20" s="41" t="s">
        <v>72</v>
      </c>
      <c r="C20" s="34"/>
      <c r="D20" s="42"/>
      <c r="E20" s="35"/>
      <c r="F20" s="35"/>
      <c r="G20" s="35"/>
      <c r="H20" s="35"/>
      <c r="I20" s="35"/>
      <c r="J20" s="41" t="s">
        <v>72</v>
      </c>
      <c r="L20" s="1"/>
      <c r="M20" s="89"/>
      <c r="N20" s="133" t="s">
        <v>382</v>
      </c>
      <c r="O20" s="178" t="s">
        <v>782</v>
      </c>
      <c r="P20" s="161" t="s">
        <v>302</v>
      </c>
    </row>
    <row r="21" spans="1:16" s="2" customFormat="1" ht="25.2" customHeight="1">
      <c r="A21" s="104" t="s">
        <v>101</v>
      </c>
      <c r="B21" s="41" t="s">
        <v>72</v>
      </c>
      <c r="C21" s="34"/>
      <c r="D21" s="42"/>
      <c r="E21" s="35"/>
      <c r="F21" s="35"/>
      <c r="G21" s="35"/>
      <c r="H21" s="35"/>
      <c r="I21" s="35"/>
      <c r="J21" s="41" t="s">
        <v>72</v>
      </c>
      <c r="L21" s="1"/>
      <c r="M21" s="89"/>
      <c r="N21" s="133" t="s">
        <v>383</v>
      </c>
      <c r="O21" s="178" t="s">
        <v>779</v>
      </c>
      <c r="P21" s="161" t="s">
        <v>302</v>
      </c>
    </row>
    <row r="22" spans="1:16" s="2" customFormat="1" ht="25.2" customHeight="1">
      <c r="A22" s="104" t="s">
        <v>101</v>
      </c>
      <c r="B22" s="41" t="s">
        <v>72</v>
      </c>
      <c r="C22" s="34"/>
      <c r="D22" s="42"/>
      <c r="E22" s="35"/>
      <c r="F22" s="35"/>
      <c r="G22" s="35"/>
      <c r="H22" s="35"/>
      <c r="I22" s="35"/>
      <c r="J22" s="41" t="s">
        <v>72</v>
      </c>
      <c r="L22" s="1"/>
      <c r="M22" s="89"/>
      <c r="N22" s="133" t="s">
        <v>384</v>
      </c>
      <c r="O22" s="178" t="s">
        <v>783</v>
      </c>
      <c r="P22" s="161" t="s">
        <v>302</v>
      </c>
    </row>
    <row r="23" spans="1:16" s="2" customFormat="1" ht="25.2" customHeight="1">
      <c r="A23" s="104" t="s">
        <v>101</v>
      </c>
      <c r="B23" s="41" t="s">
        <v>72</v>
      </c>
      <c r="C23" s="34"/>
      <c r="D23" s="42"/>
      <c r="E23" s="35"/>
      <c r="F23" s="35"/>
      <c r="G23" s="35"/>
      <c r="H23" s="35"/>
      <c r="I23" s="35"/>
      <c r="J23" s="41" t="s">
        <v>72</v>
      </c>
      <c r="L23" s="1"/>
      <c r="M23" s="4"/>
      <c r="N23" s="133" t="s">
        <v>388</v>
      </c>
      <c r="O23" s="178" t="s">
        <v>780</v>
      </c>
      <c r="P23" s="161" t="s">
        <v>302</v>
      </c>
    </row>
    <row r="24" spans="1:16" s="2" customFormat="1" ht="25.2" customHeight="1">
      <c r="A24" s="104" t="s">
        <v>101</v>
      </c>
      <c r="B24" s="41" t="s">
        <v>72</v>
      </c>
      <c r="C24" s="34"/>
      <c r="D24" s="42"/>
      <c r="E24" s="35"/>
      <c r="F24" s="35"/>
      <c r="G24" s="35"/>
      <c r="H24" s="35"/>
      <c r="I24" s="35"/>
      <c r="J24" s="41" t="s">
        <v>72</v>
      </c>
      <c r="L24" s="1"/>
      <c r="M24" s="4"/>
      <c r="N24" s="133" t="s">
        <v>389</v>
      </c>
      <c r="O24" s="178" t="s">
        <v>784</v>
      </c>
      <c r="P24" s="161" t="s">
        <v>302</v>
      </c>
    </row>
    <row r="25" spans="1:16" s="2" customFormat="1" ht="25.2" customHeight="1">
      <c r="A25" s="104" t="s">
        <v>101</v>
      </c>
      <c r="B25" s="41" t="s">
        <v>72</v>
      </c>
      <c r="C25" s="34"/>
      <c r="D25" s="42"/>
      <c r="E25" s="35"/>
      <c r="F25" s="35"/>
      <c r="G25" s="35"/>
      <c r="H25" s="35"/>
      <c r="I25" s="35"/>
      <c r="J25" s="41" t="s">
        <v>72</v>
      </c>
      <c r="L25" s="1"/>
      <c r="M25" s="4"/>
      <c r="N25" s="133" t="s">
        <v>385</v>
      </c>
      <c r="O25" s="178" t="s">
        <v>781</v>
      </c>
      <c r="P25" s="161" t="s">
        <v>302</v>
      </c>
    </row>
    <row r="26" spans="1:16" s="2" customFormat="1" ht="25.2" customHeight="1">
      <c r="A26" s="186" t="s">
        <v>102</v>
      </c>
      <c r="B26" s="41" t="s">
        <v>72</v>
      </c>
      <c r="C26" s="34"/>
      <c r="D26" s="42"/>
      <c r="E26" s="35"/>
      <c r="F26" s="35"/>
      <c r="G26" s="35"/>
      <c r="H26" s="35"/>
      <c r="I26" s="35"/>
      <c r="J26" s="41" t="s">
        <v>72</v>
      </c>
      <c r="L26" s="185" t="s">
        <v>392</v>
      </c>
      <c r="M26" s="4"/>
      <c r="N26" s="133" t="s">
        <v>396</v>
      </c>
      <c r="O26" s="16"/>
      <c r="P26" s="161" t="s">
        <v>302</v>
      </c>
    </row>
    <row r="27" spans="1:16" s="2" customFormat="1" ht="25.2" customHeight="1">
      <c r="A27" s="186" t="s">
        <v>102</v>
      </c>
      <c r="B27" s="41" t="s">
        <v>72</v>
      </c>
      <c r="C27" s="34"/>
      <c r="D27" s="42"/>
      <c r="E27" s="35"/>
      <c r="F27" s="35"/>
      <c r="G27" s="35"/>
      <c r="H27" s="35"/>
      <c r="I27" s="35"/>
      <c r="J27" s="188" t="s">
        <v>72</v>
      </c>
      <c r="L27" s="185" t="s">
        <v>394</v>
      </c>
      <c r="M27" s="4"/>
      <c r="N27" s="133" t="s">
        <v>393</v>
      </c>
      <c r="O27" s="16"/>
      <c r="P27" s="161" t="s">
        <v>302</v>
      </c>
    </row>
    <row r="28" spans="1:16" s="2" customFormat="1" ht="25.2" customHeight="1">
      <c r="A28" s="186" t="s">
        <v>102</v>
      </c>
      <c r="B28" s="41" t="s">
        <v>72</v>
      </c>
      <c r="C28" s="34"/>
      <c r="D28" s="42"/>
      <c r="E28" s="35"/>
      <c r="F28" s="35"/>
      <c r="G28" s="35"/>
      <c r="H28" s="35"/>
      <c r="I28" s="35"/>
      <c r="J28" s="188" t="s">
        <v>72</v>
      </c>
      <c r="K28" s="189" t="s">
        <v>72</v>
      </c>
      <c r="L28" s="1"/>
      <c r="M28" s="4"/>
      <c r="N28" s="133" t="s">
        <v>395</v>
      </c>
      <c r="O28" s="16"/>
      <c r="P28" s="161" t="s">
        <v>302</v>
      </c>
    </row>
    <row r="29" spans="1:16" s="2" customFormat="1" ht="25.2" customHeight="1">
      <c r="A29" s="186" t="s">
        <v>103</v>
      </c>
      <c r="B29" s="41"/>
      <c r="C29" s="34"/>
      <c r="D29" s="42"/>
      <c r="E29" s="35"/>
      <c r="F29" s="35"/>
      <c r="G29" s="35"/>
      <c r="H29" s="35"/>
      <c r="I29" s="35"/>
      <c r="J29" s="35"/>
      <c r="L29" s="1"/>
      <c r="M29" s="4"/>
      <c r="O29" s="16"/>
      <c r="P29" s="160"/>
    </row>
    <row r="30" spans="1:16" s="2" customFormat="1" ht="25.2" customHeight="1">
      <c r="A30" s="28"/>
      <c r="B30" s="41"/>
      <c r="C30" s="34"/>
      <c r="D30" s="42"/>
      <c r="E30" s="35"/>
      <c r="F30" s="35"/>
      <c r="G30" s="35"/>
      <c r="H30" s="35"/>
      <c r="I30" s="35"/>
      <c r="J30" s="35"/>
      <c r="L30" s="1"/>
      <c r="M30" s="4"/>
      <c r="N30" s="88"/>
      <c r="O30" s="16"/>
    </row>
    <row r="31" spans="1:16" s="2" customFormat="1" ht="25.2" customHeight="1">
      <c r="A31" s="28"/>
      <c r="B31" s="41"/>
      <c r="C31" s="34"/>
      <c r="D31" s="42"/>
      <c r="E31" s="35"/>
      <c r="F31" s="35"/>
      <c r="G31" s="35"/>
      <c r="H31" s="35"/>
      <c r="I31" s="35"/>
      <c r="J31" s="35"/>
      <c r="L31" s="1"/>
      <c r="M31" s="4"/>
      <c r="N31" s="88"/>
      <c r="O31" s="16"/>
    </row>
    <row r="32" spans="1:16" s="2" customFormat="1" ht="25.2" customHeight="1">
      <c r="A32" s="28"/>
      <c r="B32" s="41"/>
      <c r="C32" s="34"/>
      <c r="D32" s="42"/>
      <c r="E32" s="35"/>
      <c r="F32" s="35"/>
      <c r="G32" s="35"/>
      <c r="H32" s="35"/>
      <c r="I32" s="35"/>
      <c r="J32" s="35"/>
      <c r="L32" s="1"/>
      <c r="M32" s="4"/>
      <c r="N32" s="88"/>
      <c r="O32" s="16"/>
    </row>
    <row r="33" spans="1:15" s="2" customFormat="1" ht="25.2" customHeight="1">
      <c r="A33" s="28"/>
      <c r="B33" s="41"/>
      <c r="C33" s="34"/>
      <c r="D33" s="42"/>
      <c r="E33" s="35"/>
      <c r="F33" s="35"/>
      <c r="G33" s="35"/>
      <c r="H33" s="35"/>
      <c r="I33" s="35"/>
      <c r="J33" s="35"/>
      <c r="L33" s="1"/>
      <c r="M33" s="4"/>
      <c r="N33" s="88"/>
      <c r="O33" s="16"/>
    </row>
    <row r="34" spans="1:15" s="2" customFormat="1" ht="25.2" customHeight="1">
      <c r="A34" s="28"/>
      <c r="B34" s="41"/>
      <c r="C34" s="34"/>
      <c r="D34" s="42"/>
      <c r="E34" s="35"/>
      <c r="F34" s="35"/>
      <c r="G34" s="35"/>
      <c r="H34" s="35"/>
      <c r="I34" s="35"/>
      <c r="J34" s="35"/>
      <c r="L34" s="1"/>
      <c r="M34" s="4"/>
      <c r="N34" s="88"/>
      <c r="O34" s="16"/>
    </row>
    <row r="35" spans="1:15" s="2" customFormat="1" ht="25.2" customHeight="1">
      <c r="A35" s="28"/>
      <c r="B35" s="41"/>
      <c r="C35" s="34"/>
      <c r="D35" s="42"/>
      <c r="E35" s="35"/>
      <c r="F35" s="35"/>
      <c r="G35" s="35"/>
      <c r="H35" s="35"/>
      <c r="I35" s="35"/>
      <c r="J35" s="35"/>
      <c r="L35" s="1"/>
      <c r="M35" s="4"/>
      <c r="N35" s="88"/>
      <c r="O35" s="16"/>
    </row>
    <row r="36" spans="1:15" s="2" customFormat="1" ht="25.2" customHeight="1">
      <c r="A36" s="28"/>
      <c r="B36" s="41"/>
      <c r="C36" s="34"/>
      <c r="D36" s="42"/>
      <c r="E36" s="35"/>
      <c r="F36" s="35"/>
      <c r="G36" s="35"/>
      <c r="H36" s="35"/>
      <c r="I36" s="35"/>
      <c r="J36" s="35"/>
      <c r="L36" s="1"/>
      <c r="M36" s="4"/>
      <c r="N36" s="88"/>
      <c r="O36" s="16"/>
    </row>
    <row r="37" spans="1:15" s="2" customFormat="1" ht="25.2" customHeight="1">
      <c r="A37" s="28"/>
      <c r="B37" s="41"/>
      <c r="C37" s="34"/>
      <c r="D37" s="42"/>
      <c r="E37" s="35"/>
      <c r="F37" s="35"/>
      <c r="G37" s="35"/>
      <c r="H37" s="35"/>
      <c r="I37" s="35"/>
      <c r="J37" s="35"/>
      <c r="L37" s="1"/>
      <c r="M37" s="4"/>
      <c r="N37" s="88"/>
      <c r="O37" s="16"/>
    </row>
    <row r="38" spans="1:15" s="2" customFormat="1" ht="25.2" customHeight="1">
      <c r="A38" s="28"/>
      <c r="B38" s="41"/>
      <c r="C38" s="34"/>
      <c r="D38" s="42"/>
      <c r="E38" s="35"/>
      <c r="F38" s="35"/>
      <c r="G38" s="35"/>
      <c r="H38" s="35"/>
      <c r="I38" s="35"/>
      <c r="J38" s="35"/>
      <c r="L38" s="1"/>
      <c r="M38" s="4"/>
      <c r="N38" s="88"/>
      <c r="O38" s="16"/>
    </row>
    <row r="39" spans="1:15" s="2" customFormat="1" ht="25.2" customHeight="1">
      <c r="A39" s="28"/>
      <c r="B39" s="41"/>
      <c r="C39" s="34"/>
      <c r="D39" s="42"/>
      <c r="E39" s="35"/>
      <c r="F39" s="35"/>
      <c r="G39" s="35"/>
      <c r="H39" s="35"/>
      <c r="I39" s="35"/>
      <c r="J39" s="35"/>
      <c r="L39" s="1"/>
      <c r="M39" s="4"/>
      <c r="N39" s="88"/>
      <c r="O39" s="16"/>
    </row>
    <row r="40" spans="1:15" s="2" customFormat="1" ht="25.2" customHeight="1">
      <c r="A40" s="28"/>
      <c r="B40" s="41"/>
      <c r="C40" s="34"/>
      <c r="D40" s="42"/>
      <c r="E40" s="35"/>
      <c r="F40" s="35"/>
      <c r="G40" s="35"/>
      <c r="H40" s="35"/>
      <c r="I40" s="35"/>
      <c r="J40" s="35"/>
      <c r="L40" s="1"/>
      <c r="M40" s="4"/>
      <c r="N40" s="88"/>
      <c r="O40" s="16"/>
    </row>
    <row r="41" spans="1:15" s="2" customFormat="1" ht="25.2" customHeight="1">
      <c r="A41" s="28"/>
      <c r="B41" s="41"/>
      <c r="C41" s="34"/>
      <c r="D41" s="42"/>
      <c r="E41" s="35"/>
      <c r="F41" s="35"/>
      <c r="G41" s="35"/>
      <c r="H41" s="35"/>
      <c r="I41" s="35"/>
      <c r="K41" s="35"/>
      <c r="L41" s="1"/>
      <c r="M41" s="4"/>
      <c r="N41" s="88"/>
      <c r="O41" s="16"/>
    </row>
    <row r="42" spans="1:15" s="2" customFormat="1" ht="25.2" customHeight="1">
      <c r="A42" s="28"/>
      <c r="B42" s="41"/>
      <c r="C42" s="34"/>
      <c r="D42" s="42"/>
      <c r="E42" s="35"/>
      <c r="F42" s="35"/>
      <c r="G42" s="35"/>
      <c r="H42" s="35"/>
      <c r="I42" s="35"/>
      <c r="J42" s="35"/>
      <c r="L42" s="1"/>
      <c r="M42" s="4"/>
      <c r="N42" s="88"/>
      <c r="O42" s="16"/>
    </row>
    <row r="43" spans="1:15" s="2" customFormat="1" ht="25.2" customHeight="1">
      <c r="A43" s="28"/>
      <c r="B43" s="41"/>
      <c r="C43" s="34"/>
      <c r="D43" s="42"/>
      <c r="E43" s="35"/>
      <c r="F43" s="35"/>
      <c r="G43" s="35"/>
      <c r="H43" s="35"/>
      <c r="I43" s="35"/>
      <c r="J43" s="35"/>
      <c r="L43" s="1"/>
      <c r="M43" s="4"/>
      <c r="N43" s="88"/>
      <c r="O43" s="16"/>
    </row>
    <row r="44" spans="1:15" s="2" customFormat="1" ht="25.2" customHeight="1">
      <c r="A44" s="28"/>
      <c r="B44" s="41"/>
      <c r="C44" s="34"/>
      <c r="D44" s="42"/>
      <c r="E44" s="35"/>
      <c r="F44" s="35"/>
      <c r="G44" s="35"/>
      <c r="H44" s="35"/>
      <c r="I44" s="35"/>
      <c r="J44" s="35"/>
      <c r="L44" s="1"/>
      <c r="M44" s="4"/>
      <c r="N44" s="88"/>
      <c r="O44" s="16"/>
    </row>
    <row r="45" spans="1:15" s="2" customFormat="1" ht="25.2" customHeight="1">
      <c r="A45" s="28"/>
      <c r="B45" s="41"/>
      <c r="C45" s="34"/>
      <c r="D45" s="42"/>
      <c r="E45" s="35"/>
      <c r="F45" s="35"/>
      <c r="G45" s="35"/>
      <c r="H45" s="35"/>
      <c r="I45" s="35"/>
      <c r="J45" s="35"/>
      <c r="L45" s="1"/>
      <c r="M45" s="4"/>
      <c r="N45" s="88"/>
      <c r="O45" s="16"/>
    </row>
    <row r="46" spans="1:15" s="2" customFormat="1" ht="25.2" customHeight="1">
      <c r="A46" s="28"/>
      <c r="B46" s="41"/>
      <c r="C46" s="34"/>
      <c r="D46" s="42"/>
      <c r="E46" s="35"/>
      <c r="F46" s="35"/>
      <c r="G46" s="35"/>
      <c r="H46" s="35"/>
      <c r="I46" s="35"/>
      <c r="J46" s="35"/>
      <c r="L46" s="1"/>
      <c r="M46" s="4"/>
      <c r="N46" s="88"/>
      <c r="O46" s="16"/>
    </row>
    <row r="47" spans="1:15" s="2" customFormat="1" ht="25.2" customHeight="1">
      <c r="A47" s="28"/>
      <c r="B47" s="41"/>
      <c r="C47" s="34"/>
      <c r="D47" s="42"/>
      <c r="E47" s="35"/>
      <c r="F47" s="35"/>
      <c r="G47" s="35"/>
      <c r="H47" s="35"/>
      <c r="I47" s="35"/>
      <c r="J47" s="35"/>
      <c r="L47" s="1"/>
      <c r="M47" s="4"/>
      <c r="N47" s="88"/>
      <c r="O47" s="16"/>
    </row>
    <row r="48" spans="1:15" s="2" customFormat="1" ht="25.2" customHeight="1">
      <c r="A48" s="28"/>
      <c r="B48" s="41"/>
      <c r="C48" s="34"/>
      <c r="D48" s="42"/>
      <c r="E48" s="35"/>
      <c r="F48" s="35"/>
      <c r="G48" s="35"/>
      <c r="H48" s="35"/>
      <c r="I48" s="35"/>
      <c r="J48" s="35"/>
      <c r="L48" s="1"/>
      <c r="M48" s="4"/>
      <c r="N48" s="88"/>
      <c r="O48" s="16"/>
    </row>
    <row r="49" spans="1:15" s="2" customFormat="1" ht="25.2" customHeight="1">
      <c r="A49" s="28"/>
      <c r="B49" s="41"/>
      <c r="C49" s="34"/>
      <c r="D49" s="42"/>
      <c r="E49" s="35"/>
      <c r="F49" s="35"/>
      <c r="G49" s="35"/>
      <c r="H49" s="35"/>
      <c r="I49" s="35"/>
      <c r="J49" s="35"/>
      <c r="L49" s="1"/>
      <c r="M49" s="4"/>
      <c r="N49" s="88"/>
      <c r="O49" s="16"/>
    </row>
    <row r="50" spans="1:15" s="2" customFormat="1" ht="25.2" customHeight="1">
      <c r="A50" s="28"/>
      <c r="B50" s="41"/>
      <c r="C50" s="34"/>
      <c r="D50" s="42"/>
      <c r="E50" s="35"/>
      <c r="F50" s="35"/>
      <c r="G50" s="35"/>
      <c r="H50" s="35"/>
      <c r="I50" s="35"/>
      <c r="J50" s="35"/>
      <c r="L50" s="1"/>
      <c r="M50" s="4"/>
      <c r="N50" s="88"/>
      <c r="O50" s="16"/>
    </row>
    <row r="51" spans="1:15" s="2" customFormat="1" ht="25.2" customHeight="1">
      <c r="A51" s="28"/>
      <c r="B51" s="41"/>
      <c r="C51" s="34"/>
      <c r="D51" s="42"/>
      <c r="E51" s="35"/>
      <c r="F51" s="35"/>
      <c r="G51" s="35"/>
      <c r="H51" s="35"/>
      <c r="I51" s="35"/>
      <c r="J51" s="35"/>
      <c r="L51" s="1"/>
      <c r="M51" s="4"/>
      <c r="N51" s="88"/>
      <c r="O51" s="16"/>
    </row>
    <row r="52" spans="1:15" s="2" customFormat="1" ht="25.2" customHeight="1">
      <c r="A52" s="28"/>
      <c r="B52" s="41"/>
      <c r="C52" s="34"/>
      <c r="D52" s="42"/>
      <c r="E52" s="35"/>
      <c r="F52" s="35"/>
      <c r="G52" s="35"/>
      <c r="H52" s="35"/>
      <c r="I52" s="35"/>
      <c r="J52" s="35"/>
      <c r="L52" s="1"/>
      <c r="M52" s="4"/>
      <c r="N52" s="88"/>
      <c r="O52" s="16"/>
    </row>
    <row r="53" spans="1:15" s="2" customFormat="1" ht="25.2" customHeight="1">
      <c r="A53" s="28"/>
      <c r="B53" s="41"/>
      <c r="C53" s="34"/>
      <c r="D53" s="42"/>
      <c r="E53" s="35"/>
      <c r="F53" s="35"/>
      <c r="G53" s="35"/>
      <c r="H53" s="35"/>
      <c r="I53" s="35"/>
      <c r="J53" s="35"/>
      <c r="L53" s="1"/>
      <c r="M53" s="4"/>
      <c r="N53" s="88"/>
      <c r="O53" s="16"/>
    </row>
    <row r="54" spans="1:15" s="2" customFormat="1" ht="25.2" customHeight="1">
      <c r="A54" s="28"/>
      <c r="B54" s="41"/>
      <c r="C54" s="34"/>
      <c r="D54" s="42"/>
      <c r="E54" s="35"/>
      <c r="F54" s="35"/>
      <c r="G54" s="35"/>
      <c r="H54" s="35"/>
      <c r="I54" s="35"/>
      <c r="J54" s="35"/>
      <c r="L54" s="1"/>
      <c r="M54" s="4"/>
      <c r="N54" s="88"/>
      <c r="O54" s="16"/>
    </row>
    <row r="55" spans="1:15" s="2" customFormat="1" ht="25.2" customHeight="1">
      <c r="A55" s="28"/>
      <c r="B55" s="41"/>
      <c r="C55" s="34"/>
      <c r="D55" s="42"/>
      <c r="E55" s="35"/>
      <c r="F55" s="35"/>
      <c r="G55" s="35"/>
      <c r="H55" s="35"/>
      <c r="I55" s="35"/>
      <c r="J55" s="35"/>
      <c r="L55" s="1"/>
      <c r="M55" s="4"/>
      <c r="N55" s="88"/>
      <c r="O55" s="16"/>
    </row>
    <row r="56" spans="1:15" s="2" customFormat="1" ht="25.2" customHeight="1">
      <c r="A56" s="28"/>
      <c r="B56" s="41"/>
      <c r="C56" s="34"/>
      <c r="D56" s="42"/>
      <c r="E56" s="35"/>
      <c r="F56" s="35"/>
      <c r="G56" s="35"/>
      <c r="H56" s="35"/>
      <c r="I56" s="35"/>
      <c r="J56" s="35"/>
      <c r="L56" s="1"/>
      <c r="M56" s="4"/>
      <c r="N56" s="88"/>
      <c r="O56" s="16"/>
    </row>
  </sheetData>
  <phoneticPr fontId="55" type="noConversion"/>
  <hyperlinks>
    <hyperlink ref="N3" r:id="rId1" xr:uid="{4F783AE9-AC9B-45E8-A292-B45C23614131}"/>
    <hyperlink ref="N4" r:id="rId2" xr:uid="{258D0D72-8F77-4265-BC84-44725DDB05D5}"/>
    <hyperlink ref="N5" r:id="rId3" xr:uid="{ADC451DC-0C60-4CFE-BB11-A21495D237B3}"/>
    <hyperlink ref="N6" r:id="rId4" xr:uid="{5468EE0E-C3E0-413B-B047-C24430E06E07}"/>
    <hyperlink ref="N7" r:id="rId5" xr:uid="{48738AF2-12CE-4C0E-A851-911AE855AAF4}"/>
    <hyperlink ref="N8" r:id="rId6" xr:uid="{60A0B368-1D87-44A3-9B21-326B1893046E}"/>
    <hyperlink ref="N9" r:id="rId7" xr:uid="{50876A1F-8A24-4679-9F73-6AC2F89CC22C}"/>
    <hyperlink ref="N11" r:id="rId8" xr:uid="{A8F90B6A-67DE-40C9-AA34-C841E0C4DD7D}"/>
    <hyperlink ref="N12" r:id="rId9" xr:uid="{82EC37C8-3DE3-4D76-A7CC-B0284DFED8EA}"/>
    <hyperlink ref="N13" r:id="rId10" xr:uid="{39D03699-492E-45AE-9E3C-D4DFC08EE1D5}"/>
    <hyperlink ref="N14" r:id="rId11" xr:uid="{84828062-2C2B-4B35-97CD-2765716673D2}"/>
    <hyperlink ref="N16" r:id="rId12" xr:uid="{E72D03F8-47A7-4A55-B690-4CD83E029C89}"/>
    <hyperlink ref="N17" r:id="rId13" xr:uid="{5572535E-F3C1-4F52-B41F-DF5EA3CB55B1}"/>
    <hyperlink ref="N18" r:id="rId14" xr:uid="{5451566C-E604-481C-8BCA-1CD72BED9836}"/>
    <hyperlink ref="N19" r:id="rId15" xr:uid="{D1AE63FD-DC38-4A86-8C0F-ADE4992BD8BF}"/>
    <hyperlink ref="N20" r:id="rId16" xr:uid="{5E650C5A-BB8D-4E3E-8197-47A429D86A00}"/>
    <hyperlink ref="N21" r:id="rId17" xr:uid="{A5E45778-D99D-49A4-A266-5E9FE5FB5B26}"/>
    <hyperlink ref="N22" r:id="rId18" xr:uid="{1021E485-7F30-420D-8F84-8E0C8AFD41CF}"/>
    <hyperlink ref="N23" r:id="rId19" xr:uid="{20907C2B-FD5C-400D-A358-0731913407D2}"/>
    <hyperlink ref="N24" r:id="rId20" xr:uid="{76821FDE-202A-4277-9987-EB5230BD8933}"/>
    <hyperlink ref="N25" r:id="rId21" xr:uid="{B1B28BE8-EF64-4DA8-8F0D-87063B581758}"/>
    <hyperlink ref="N26" r:id="rId22" xr:uid="{D768ABE4-DFF9-4D25-AA6A-083D387DF00B}"/>
    <hyperlink ref="N27" r:id="rId23" xr:uid="{1FA1BB40-559B-4BC6-A0D0-9059D5527CF4}"/>
    <hyperlink ref="N28" r:id="rId24" xr:uid="{65632F16-2748-41E5-9637-7FF9DB327DC3}"/>
    <hyperlink ref="N10" r:id="rId25" xr:uid="{E86D314B-0E89-4414-9DE7-8E0580C6D385}"/>
  </hyperlinks>
  <pageMargins left="0.7" right="0.7" top="0.78740157499999996" bottom="0.78740157499999996" header="0.3" footer="0.3"/>
  <pageSetup paperSize="9" orientation="portrait" r:id="rId26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748F66-5329-44D9-89B8-0F28AA35D24B}">
  <sheetPr codeName="Tabelle6"/>
  <dimension ref="A1:P102"/>
  <sheetViews>
    <sheetView workbookViewId="0">
      <pane ySplit="1" topLeftCell="A3" activePane="bottomLeft" state="frozen"/>
      <selection activeCell="A3" sqref="A3:XFD3"/>
      <selection pane="bottomLeft" activeCell="L10" sqref="L10"/>
    </sheetView>
  </sheetViews>
  <sheetFormatPr baseColWidth="10" defaultColWidth="11.5546875" defaultRowHeight="15.6"/>
  <cols>
    <col min="1" max="1" width="8.33203125" style="20" customWidth="1"/>
    <col min="2" max="10" width="3.6640625" style="38" bestFit="1" customWidth="1"/>
    <col min="11" max="11" width="6.6640625" style="197" bestFit="1" customWidth="1"/>
    <col min="12" max="12" width="29" style="84" bestFit="1" customWidth="1"/>
    <col min="13" max="13" width="23.44140625" style="17" bestFit="1" customWidth="1"/>
    <col min="14" max="14" width="40.44140625" style="150" bestFit="1" customWidth="1"/>
    <col min="15" max="15" width="16.6640625" style="81" bestFit="1" customWidth="1"/>
    <col min="16" max="16384" width="11.5546875" style="17"/>
  </cols>
  <sheetData>
    <row r="1" spans="1:16" s="2" customFormat="1" ht="55.2" customHeight="1">
      <c r="A1" s="21" t="s">
        <v>96</v>
      </c>
      <c r="B1" s="259" t="s">
        <v>109</v>
      </c>
      <c r="C1" s="259" t="s">
        <v>136</v>
      </c>
      <c r="D1" s="259" t="s">
        <v>137</v>
      </c>
      <c r="E1" s="259" t="s">
        <v>224</v>
      </c>
      <c r="F1" s="259" t="s">
        <v>138</v>
      </c>
      <c r="G1" s="259" t="s">
        <v>146</v>
      </c>
      <c r="H1" s="259" t="s">
        <v>195</v>
      </c>
      <c r="I1" s="259" t="s">
        <v>235</v>
      </c>
      <c r="J1" s="259" t="s">
        <v>223</v>
      </c>
      <c r="K1" s="259" t="s">
        <v>390</v>
      </c>
      <c r="L1" s="82" t="s">
        <v>70</v>
      </c>
      <c r="M1" s="25" t="s">
        <v>71</v>
      </c>
      <c r="N1" s="148" t="s">
        <v>14</v>
      </c>
      <c r="O1" s="24" t="s">
        <v>97</v>
      </c>
    </row>
    <row r="2" spans="1:16" s="2" customFormat="1" ht="25.2" customHeight="1">
      <c r="A2" s="27" t="s">
        <v>104</v>
      </c>
      <c r="B2" s="32"/>
      <c r="C2" s="32"/>
      <c r="D2" s="33"/>
      <c r="E2" s="33"/>
      <c r="F2" s="33"/>
      <c r="G2" s="33"/>
      <c r="H2" s="33"/>
      <c r="I2" s="33"/>
      <c r="J2" s="33"/>
      <c r="L2" s="83"/>
      <c r="N2" s="149"/>
      <c r="O2" s="11"/>
    </row>
    <row r="3" spans="1:16" s="2" customFormat="1" ht="25.2" customHeight="1">
      <c r="A3" s="28" t="s">
        <v>102</v>
      </c>
      <c r="B3" s="34" t="s">
        <v>72</v>
      </c>
      <c r="C3" s="34" t="s">
        <v>72</v>
      </c>
      <c r="D3" s="35" t="s">
        <v>72</v>
      </c>
      <c r="E3" s="35"/>
      <c r="F3" s="35"/>
      <c r="G3" s="35"/>
      <c r="H3" s="35"/>
      <c r="I3" s="35"/>
      <c r="J3" s="35"/>
      <c r="L3" s="1" t="s">
        <v>10</v>
      </c>
      <c r="M3" s="279" t="s">
        <v>9</v>
      </c>
      <c r="N3" s="133" t="s">
        <v>167</v>
      </c>
      <c r="O3" s="93" t="s">
        <v>64</v>
      </c>
      <c r="P3" s="160" t="s">
        <v>302</v>
      </c>
    </row>
    <row r="4" spans="1:16" s="2" customFormat="1" ht="25.2" customHeight="1">
      <c r="A4" s="28" t="s">
        <v>102</v>
      </c>
      <c r="B4" s="34" t="s">
        <v>72</v>
      </c>
      <c r="C4" s="34" t="s">
        <v>72</v>
      </c>
      <c r="D4" s="35" t="s">
        <v>72</v>
      </c>
      <c r="E4" s="35"/>
      <c r="F4" s="35"/>
      <c r="G4" s="35"/>
      <c r="H4" s="35"/>
      <c r="I4" s="35"/>
      <c r="J4" s="35"/>
      <c r="L4" s="1" t="s">
        <v>25</v>
      </c>
      <c r="M4" s="279" t="s">
        <v>16</v>
      </c>
      <c r="N4" s="133" t="s">
        <v>168</v>
      </c>
      <c r="O4" s="283" t="s">
        <v>120</v>
      </c>
      <c r="P4" s="160" t="s">
        <v>302</v>
      </c>
    </row>
    <row r="5" spans="1:16" s="2" customFormat="1" ht="25.2" customHeight="1">
      <c r="A5" s="28" t="s">
        <v>102</v>
      </c>
      <c r="B5" s="34" t="s">
        <v>72</v>
      </c>
      <c r="C5" s="34" t="s">
        <v>72</v>
      </c>
      <c r="D5" s="35" t="s">
        <v>72</v>
      </c>
      <c r="E5" s="35"/>
      <c r="F5" s="35"/>
      <c r="G5" s="35"/>
      <c r="H5" s="35"/>
      <c r="I5" s="35"/>
      <c r="J5" s="35"/>
      <c r="L5" s="1" t="s">
        <v>12</v>
      </c>
      <c r="M5" s="279"/>
      <c r="N5" s="133" t="s">
        <v>169</v>
      </c>
      <c r="O5" s="283" t="s">
        <v>120</v>
      </c>
      <c r="P5" s="160" t="s">
        <v>302</v>
      </c>
    </row>
    <row r="6" spans="1:16" s="2" customFormat="1" ht="25.2" customHeight="1">
      <c r="A6" s="28" t="s">
        <v>102</v>
      </c>
      <c r="B6" s="34" t="s">
        <v>72</v>
      </c>
      <c r="C6" s="34"/>
      <c r="D6" s="35" t="s">
        <v>72</v>
      </c>
      <c r="E6" s="35"/>
      <c r="F6" s="35"/>
      <c r="G6" s="35"/>
      <c r="H6" s="35"/>
      <c r="I6" s="35"/>
      <c r="J6" s="35"/>
      <c r="L6" s="1" t="s">
        <v>20</v>
      </c>
      <c r="M6" s="279"/>
      <c r="N6" s="133" t="s">
        <v>736</v>
      </c>
      <c r="O6" s="283" t="s">
        <v>120</v>
      </c>
      <c r="P6" s="160" t="s">
        <v>302</v>
      </c>
    </row>
    <row r="7" spans="1:16" s="2" customFormat="1" ht="25.2" customHeight="1">
      <c r="A7" s="294" t="s">
        <v>101</v>
      </c>
      <c r="B7" s="34" t="s">
        <v>72</v>
      </c>
      <c r="C7" s="34"/>
      <c r="D7" s="35" t="s">
        <v>72</v>
      </c>
      <c r="E7" s="35"/>
      <c r="F7" s="35"/>
      <c r="G7" s="35"/>
      <c r="H7" s="35"/>
      <c r="I7" s="35"/>
      <c r="J7" s="35"/>
      <c r="L7" s="1"/>
      <c r="M7" s="279"/>
      <c r="N7" s="133" t="s">
        <v>737</v>
      </c>
      <c r="O7" s="286"/>
      <c r="P7" s="160" t="s">
        <v>302</v>
      </c>
    </row>
    <row r="8" spans="1:16" ht="20.100000000000001" customHeight="1">
      <c r="A8" s="97" t="s">
        <v>102</v>
      </c>
      <c r="B8" s="34" t="s">
        <v>72</v>
      </c>
      <c r="C8" s="34"/>
      <c r="D8" s="35"/>
      <c r="E8" s="103" t="s">
        <v>72</v>
      </c>
      <c r="F8" s="35"/>
      <c r="G8" s="35"/>
      <c r="H8" s="35"/>
      <c r="I8" s="35"/>
      <c r="J8" s="35"/>
      <c r="L8" s="105" t="s">
        <v>238</v>
      </c>
      <c r="M8" s="198" t="s">
        <v>225</v>
      </c>
      <c r="N8" s="133" t="s">
        <v>304</v>
      </c>
      <c r="O8" s="283" t="s">
        <v>120</v>
      </c>
      <c r="P8" s="167" t="s">
        <v>302</v>
      </c>
    </row>
    <row r="9" spans="1:16" ht="20.100000000000001" customHeight="1">
      <c r="A9" s="104" t="s">
        <v>102</v>
      </c>
      <c r="B9" s="34" t="s">
        <v>72</v>
      </c>
      <c r="C9" s="34"/>
      <c r="D9" s="35"/>
      <c r="E9" s="136"/>
      <c r="F9" s="35"/>
      <c r="G9" s="35"/>
      <c r="H9" s="35"/>
      <c r="I9" s="103" t="s">
        <v>72</v>
      </c>
      <c r="J9" s="35"/>
      <c r="L9" s="105" t="s">
        <v>239</v>
      </c>
      <c r="M9" s="279"/>
      <c r="N9" s="133" t="s">
        <v>305</v>
      </c>
      <c r="O9" s="11"/>
      <c r="P9" s="167" t="s">
        <v>302</v>
      </c>
    </row>
    <row r="10" spans="1:16" ht="20.100000000000001" customHeight="1">
      <c r="A10" s="104" t="s">
        <v>102</v>
      </c>
      <c r="B10" s="34" t="s">
        <v>72</v>
      </c>
      <c r="C10" s="34"/>
      <c r="D10" s="35"/>
      <c r="E10" s="35"/>
      <c r="F10" s="35"/>
      <c r="G10" s="35"/>
      <c r="H10" s="35"/>
      <c r="I10" s="35"/>
      <c r="J10" s="35"/>
      <c r="K10" s="197" t="s">
        <v>72</v>
      </c>
      <c r="L10" s="185" t="s">
        <v>489</v>
      </c>
      <c r="M10" s="279"/>
      <c r="N10" s="133" t="s">
        <v>482</v>
      </c>
      <c r="O10" s="11"/>
      <c r="P10" s="167" t="s">
        <v>302</v>
      </c>
    </row>
    <row r="11" spans="1:16" ht="20.100000000000001" customHeight="1">
      <c r="A11" s="186" t="s">
        <v>101</v>
      </c>
      <c r="B11" s="34" t="s">
        <v>72</v>
      </c>
      <c r="C11" s="34"/>
      <c r="D11" s="35"/>
      <c r="E11" s="35"/>
      <c r="F11" s="35"/>
      <c r="G11" s="35"/>
      <c r="H11" s="35"/>
      <c r="I11" s="35"/>
      <c r="J11" s="35"/>
      <c r="K11" s="197" t="s">
        <v>72</v>
      </c>
      <c r="L11" s="185" t="s">
        <v>490</v>
      </c>
      <c r="M11" s="279"/>
      <c r="N11" s="133" t="s">
        <v>483</v>
      </c>
      <c r="O11" s="11"/>
      <c r="P11" s="167" t="s">
        <v>302</v>
      </c>
    </row>
    <row r="12" spans="1:16" ht="20.100000000000001" customHeight="1">
      <c r="A12" s="186" t="s">
        <v>102</v>
      </c>
      <c r="B12" s="34" t="s">
        <v>72</v>
      </c>
      <c r="C12" s="34"/>
      <c r="D12" s="35"/>
      <c r="E12" s="35"/>
      <c r="F12" s="35"/>
      <c r="G12" s="188" t="s">
        <v>72</v>
      </c>
      <c r="H12" s="35"/>
      <c r="I12" s="35"/>
      <c r="J12" s="35"/>
      <c r="L12" s="185" t="s">
        <v>491</v>
      </c>
      <c r="M12" s="279" t="s">
        <v>146</v>
      </c>
      <c r="N12" s="133" t="s">
        <v>485</v>
      </c>
      <c r="O12" s="11"/>
      <c r="P12" s="167" t="s">
        <v>302</v>
      </c>
    </row>
    <row r="13" spans="1:16" ht="20.100000000000001" customHeight="1">
      <c r="A13" s="104" t="s">
        <v>102</v>
      </c>
      <c r="B13" s="34" t="s">
        <v>72</v>
      </c>
      <c r="C13" s="34"/>
      <c r="D13" s="35"/>
      <c r="E13" s="35"/>
      <c r="F13" s="35"/>
      <c r="G13" s="188" t="s">
        <v>72</v>
      </c>
      <c r="H13" s="35"/>
      <c r="I13" s="35"/>
      <c r="J13" s="35"/>
      <c r="L13" s="185" t="s">
        <v>492</v>
      </c>
      <c r="M13" s="279" t="s">
        <v>146</v>
      </c>
      <c r="N13" s="133" t="s">
        <v>484</v>
      </c>
      <c r="O13" s="11"/>
      <c r="P13" s="167" t="s">
        <v>302</v>
      </c>
    </row>
    <row r="14" spans="1:16" ht="20.100000000000001" customHeight="1">
      <c r="A14" s="104" t="s">
        <v>102</v>
      </c>
      <c r="B14" s="34" t="s">
        <v>72</v>
      </c>
      <c r="C14" s="34"/>
      <c r="D14" s="35"/>
      <c r="E14" s="35"/>
      <c r="F14" s="35"/>
      <c r="G14" s="188" t="s">
        <v>72</v>
      </c>
      <c r="H14" s="35"/>
      <c r="I14" s="35"/>
      <c r="J14" s="35"/>
      <c r="L14" s="185" t="s">
        <v>491</v>
      </c>
      <c r="M14" s="279" t="s">
        <v>146</v>
      </c>
      <c r="N14" s="133" t="s">
        <v>485</v>
      </c>
      <c r="O14" s="11"/>
      <c r="P14" s="167" t="s">
        <v>302</v>
      </c>
    </row>
    <row r="15" spans="1:16" ht="20.100000000000001" customHeight="1">
      <c r="A15" s="104" t="s">
        <v>102</v>
      </c>
      <c r="B15" s="34" t="s">
        <v>72</v>
      </c>
      <c r="C15" s="34"/>
      <c r="D15" s="35"/>
      <c r="E15" s="35"/>
      <c r="F15" s="35"/>
      <c r="G15" s="188" t="s">
        <v>72</v>
      </c>
      <c r="H15" s="35"/>
      <c r="I15" s="35"/>
      <c r="J15" s="35"/>
      <c r="L15" s="185" t="s">
        <v>493</v>
      </c>
      <c r="M15" s="279" t="s">
        <v>146</v>
      </c>
      <c r="N15" s="133" t="s">
        <v>486</v>
      </c>
      <c r="O15" s="11"/>
      <c r="P15" s="167" t="s">
        <v>302</v>
      </c>
    </row>
    <row r="16" spans="1:16" ht="20.100000000000001" customHeight="1">
      <c r="A16" s="104" t="s">
        <v>102</v>
      </c>
      <c r="B16" s="34" t="s">
        <v>72</v>
      </c>
      <c r="C16" s="34"/>
      <c r="D16" s="35"/>
      <c r="E16" s="35"/>
      <c r="F16" s="35"/>
      <c r="G16" s="188" t="s">
        <v>72</v>
      </c>
      <c r="H16" s="35"/>
      <c r="I16" s="35"/>
      <c r="J16" s="35"/>
      <c r="L16" s="185" t="s">
        <v>494</v>
      </c>
      <c r="M16" s="279" t="s">
        <v>146</v>
      </c>
      <c r="N16" s="133" t="s">
        <v>487</v>
      </c>
      <c r="O16" s="11"/>
      <c r="P16" s="167" t="s">
        <v>302</v>
      </c>
    </row>
    <row r="17" spans="1:16" ht="20.100000000000001" customHeight="1">
      <c r="A17" s="104" t="s">
        <v>102</v>
      </c>
      <c r="B17" s="34" t="s">
        <v>72</v>
      </c>
      <c r="C17" s="34"/>
      <c r="D17" s="35"/>
      <c r="E17" s="35"/>
      <c r="F17" s="35"/>
      <c r="G17" s="188" t="s">
        <v>72</v>
      </c>
      <c r="H17" s="35"/>
      <c r="I17" s="35"/>
      <c r="J17" s="35"/>
      <c r="L17" s="185" t="s">
        <v>495</v>
      </c>
      <c r="M17" s="279" t="s">
        <v>146</v>
      </c>
      <c r="N17" s="133" t="s">
        <v>488</v>
      </c>
      <c r="O17" s="11"/>
      <c r="P17" s="167" t="s">
        <v>302</v>
      </c>
    </row>
    <row r="18" spans="1:16" ht="20.100000000000001" customHeight="1">
      <c r="A18" s="104" t="s">
        <v>102</v>
      </c>
      <c r="B18" s="34" t="s">
        <v>72</v>
      </c>
      <c r="C18" s="34"/>
      <c r="D18" s="35"/>
      <c r="E18" s="35"/>
      <c r="F18" s="35"/>
      <c r="G18" s="35"/>
      <c r="H18" s="35"/>
      <c r="J18" s="188" t="s">
        <v>72</v>
      </c>
      <c r="L18" s="185" t="s">
        <v>502</v>
      </c>
      <c r="M18" s="279" t="s">
        <v>339</v>
      </c>
      <c r="N18" s="133" t="s">
        <v>499</v>
      </c>
      <c r="O18" s="284" t="s">
        <v>347</v>
      </c>
      <c r="P18" s="167" t="s">
        <v>302</v>
      </c>
    </row>
    <row r="19" spans="1:16" ht="20.100000000000001" customHeight="1">
      <c r="A19" s="186" t="s">
        <v>101</v>
      </c>
      <c r="B19" s="34" t="s">
        <v>72</v>
      </c>
      <c r="C19" s="34"/>
      <c r="D19" s="35"/>
      <c r="E19" s="35"/>
      <c r="F19" s="35"/>
      <c r="G19" s="35"/>
      <c r="H19" s="35"/>
      <c r="J19" s="188" t="s">
        <v>72</v>
      </c>
      <c r="L19" s="1"/>
      <c r="M19" s="279" t="s">
        <v>339</v>
      </c>
      <c r="N19" s="133" t="s">
        <v>496</v>
      </c>
      <c r="O19" s="284" t="s">
        <v>347</v>
      </c>
      <c r="P19" s="167" t="s">
        <v>302</v>
      </c>
    </row>
    <row r="20" spans="1:16" ht="20.100000000000001" customHeight="1">
      <c r="A20" s="186" t="s">
        <v>101</v>
      </c>
      <c r="B20" s="34" t="s">
        <v>72</v>
      </c>
      <c r="C20" s="34"/>
      <c r="D20" s="35"/>
      <c r="E20" s="35"/>
      <c r="F20" s="35"/>
      <c r="G20" s="35"/>
      <c r="H20" s="35"/>
      <c r="J20" s="188" t="s">
        <v>72</v>
      </c>
      <c r="L20" s="1"/>
      <c r="M20" s="279" t="s">
        <v>339</v>
      </c>
      <c r="N20" s="133" t="s">
        <v>497</v>
      </c>
      <c r="O20" s="284" t="s">
        <v>503</v>
      </c>
      <c r="P20" s="167" t="s">
        <v>302</v>
      </c>
    </row>
    <row r="21" spans="1:16" ht="20.100000000000001" customHeight="1">
      <c r="A21" s="186" t="s">
        <v>101</v>
      </c>
      <c r="B21" s="34" t="s">
        <v>72</v>
      </c>
      <c r="C21" s="34"/>
      <c r="D21" s="35"/>
      <c r="E21" s="35"/>
      <c r="F21" s="35"/>
      <c r="G21" s="35"/>
      <c r="H21" s="35"/>
      <c r="J21" s="188" t="s">
        <v>72</v>
      </c>
      <c r="L21" s="1"/>
      <c r="M21" s="279" t="s">
        <v>339</v>
      </c>
      <c r="N21" s="133" t="s">
        <v>500</v>
      </c>
      <c r="O21" s="284" t="s">
        <v>346</v>
      </c>
      <c r="P21" s="167" t="s">
        <v>302</v>
      </c>
    </row>
    <row r="22" spans="1:16" ht="20.100000000000001" customHeight="1">
      <c r="A22" s="186" t="s">
        <v>101</v>
      </c>
      <c r="B22" s="34" t="s">
        <v>72</v>
      </c>
      <c r="C22" s="34"/>
      <c r="D22" s="35"/>
      <c r="E22" s="35"/>
      <c r="F22" s="35"/>
      <c r="G22" s="35"/>
      <c r="H22" s="35"/>
      <c r="J22" s="188" t="s">
        <v>72</v>
      </c>
      <c r="L22" s="1"/>
      <c r="M22" s="279" t="s">
        <v>339</v>
      </c>
      <c r="N22" s="133" t="s">
        <v>501</v>
      </c>
      <c r="O22" s="284" t="s">
        <v>346</v>
      </c>
      <c r="P22" s="167" t="s">
        <v>302</v>
      </c>
    </row>
    <row r="23" spans="1:16" ht="20.100000000000001" customHeight="1">
      <c r="A23" s="186" t="s">
        <v>101</v>
      </c>
      <c r="B23" s="34" t="s">
        <v>72</v>
      </c>
      <c r="C23" s="34"/>
      <c r="D23" s="35"/>
      <c r="E23" s="35"/>
      <c r="F23" s="35"/>
      <c r="G23" s="35"/>
      <c r="H23" s="35"/>
      <c r="J23" s="188" t="s">
        <v>72</v>
      </c>
      <c r="L23" s="1"/>
      <c r="M23" s="279" t="s">
        <v>339</v>
      </c>
      <c r="N23" s="133" t="s">
        <v>505</v>
      </c>
      <c r="O23" s="284" t="s">
        <v>504</v>
      </c>
      <c r="P23" s="167" t="s">
        <v>302</v>
      </c>
    </row>
    <row r="24" spans="1:16" ht="20.100000000000001" customHeight="1">
      <c r="A24" s="186" t="s">
        <v>101</v>
      </c>
      <c r="B24" s="34" t="s">
        <v>72</v>
      </c>
      <c r="C24" s="34"/>
      <c r="D24" s="35"/>
      <c r="E24" s="35"/>
      <c r="F24" s="35"/>
      <c r="G24" s="35"/>
      <c r="H24" s="35"/>
      <c r="J24" s="188" t="s">
        <v>72</v>
      </c>
      <c r="L24" s="1"/>
      <c r="M24" s="279" t="s">
        <v>339</v>
      </c>
      <c r="N24" s="133" t="s">
        <v>498</v>
      </c>
      <c r="O24" s="284" t="s">
        <v>502</v>
      </c>
      <c r="P24" s="167" t="s">
        <v>302</v>
      </c>
    </row>
    <row r="25" spans="1:16" ht="20.100000000000001" customHeight="1">
      <c r="A25" s="186" t="s">
        <v>102</v>
      </c>
      <c r="B25" s="34" t="s">
        <v>72</v>
      </c>
      <c r="C25" s="34"/>
      <c r="D25" s="35"/>
      <c r="E25" s="35"/>
      <c r="F25" s="35"/>
      <c r="G25" s="35"/>
      <c r="H25" s="35"/>
      <c r="J25" s="188" t="s">
        <v>72</v>
      </c>
      <c r="L25" s="1" t="s">
        <v>508</v>
      </c>
      <c r="M25" s="279" t="s">
        <v>339</v>
      </c>
      <c r="N25" s="133" t="s">
        <v>506</v>
      </c>
      <c r="O25" s="284" t="s">
        <v>347</v>
      </c>
      <c r="P25" s="167" t="s">
        <v>302</v>
      </c>
    </row>
    <row r="26" spans="1:16" ht="20.100000000000001" customHeight="1">
      <c r="A26" s="186" t="s">
        <v>101</v>
      </c>
      <c r="B26" s="34" t="s">
        <v>72</v>
      </c>
      <c r="C26" s="34"/>
      <c r="D26" s="35"/>
      <c r="E26" s="35"/>
      <c r="F26" s="35"/>
      <c r="G26" s="35"/>
      <c r="H26" s="35"/>
      <c r="J26" s="188" t="s">
        <v>72</v>
      </c>
      <c r="L26" s="1"/>
      <c r="M26" s="279" t="s">
        <v>339</v>
      </c>
      <c r="N26" s="133" t="s">
        <v>507</v>
      </c>
      <c r="O26" s="284" t="s">
        <v>346</v>
      </c>
      <c r="P26" s="167" t="s">
        <v>302</v>
      </c>
    </row>
    <row r="27" spans="1:16" ht="20.100000000000001" customHeight="1">
      <c r="A27" s="318" t="s">
        <v>102</v>
      </c>
      <c r="B27" s="34" t="s">
        <v>72</v>
      </c>
      <c r="C27" s="34"/>
      <c r="D27" s="35"/>
      <c r="E27" s="35"/>
      <c r="F27" s="35"/>
      <c r="G27" s="35"/>
      <c r="H27" s="35"/>
      <c r="J27" s="188" t="s">
        <v>72</v>
      </c>
      <c r="L27" s="316" t="s">
        <v>764</v>
      </c>
      <c r="M27" s="316" t="s">
        <v>339</v>
      </c>
      <c r="N27" s="133" t="s">
        <v>767</v>
      </c>
      <c r="O27" s="284"/>
      <c r="P27" s="167" t="s">
        <v>302</v>
      </c>
    </row>
    <row r="28" spans="1:16" ht="20.100000000000001" customHeight="1">
      <c r="A28" s="318" t="s">
        <v>101</v>
      </c>
      <c r="B28" s="34" t="s">
        <v>72</v>
      </c>
      <c r="C28" s="34"/>
      <c r="D28" s="35"/>
      <c r="E28" s="35"/>
      <c r="F28" s="35"/>
      <c r="G28" s="35"/>
      <c r="H28" s="35"/>
      <c r="J28" s="188" t="s">
        <v>72</v>
      </c>
      <c r="L28" s="1"/>
      <c r="M28" s="279"/>
      <c r="N28" s="133" t="s">
        <v>763</v>
      </c>
      <c r="O28" s="317" t="s">
        <v>9</v>
      </c>
      <c r="P28" s="166"/>
    </row>
    <row r="29" spans="1:16" ht="20.100000000000001" customHeight="1">
      <c r="A29" s="318" t="s">
        <v>102</v>
      </c>
      <c r="B29" s="34" t="s">
        <v>72</v>
      </c>
      <c r="C29" s="34"/>
      <c r="D29" s="35"/>
      <c r="E29" s="35"/>
      <c r="F29" s="35"/>
      <c r="G29" s="35"/>
      <c r="H29" s="35"/>
      <c r="J29" s="188" t="s">
        <v>72</v>
      </c>
      <c r="L29" s="316" t="s">
        <v>765</v>
      </c>
      <c r="M29" s="316" t="s">
        <v>766</v>
      </c>
      <c r="N29" s="133" t="s">
        <v>763</v>
      </c>
      <c r="O29" s="284"/>
      <c r="P29" s="166"/>
    </row>
    <row r="30" spans="1:16" ht="20.100000000000001" customHeight="1">
      <c r="A30" s="186" t="s">
        <v>102</v>
      </c>
      <c r="B30" s="34" t="s">
        <v>72</v>
      </c>
      <c r="C30" s="34"/>
      <c r="D30" s="35"/>
      <c r="E30" s="35"/>
      <c r="F30" s="35"/>
      <c r="G30" s="35"/>
      <c r="H30" s="35"/>
      <c r="J30" s="188"/>
      <c r="K30" s="188" t="s">
        <v>72</v>
      </c>
      <c r="L30" s="1" t="s">
        <v>512</v>
      </c>
      <c r="M30" s="279" t="s">
        <v>513</v>
      </c>
      <c r="N30" s="133" t="s">
        <v>509</v>
      </c>
      <c r="O30" s="284"/>
      <c r="P30" s="167" t="s">
        <v>302</v>
      </c>
    </row>
    <row r="31" spans="1:16" ht="20.100000000000001" customHeight="1">
      <c r="A31" s="186" t="s">
        <v>101</v>
      </c>
      <c r="B31" s="34" t="s">
        <v>72</v>
      </c>
      <c r="C31" s="34"/>
      <c r="D31" s="35"/>
      <c r="E31" s="35"/>
      <c r="F31" s="35"/>
      <c r="G31" s="35"/>
      <c r="H31" s="35"/>
      <c r="J31" s="188"/>
      <c r="K31" s="188" t="s">
        <v>72</v>
      </c>
      <c r="L31" s="1"/>
      <c r="M31" s="279"/>
      <c r="N31" s="133" t="s">
        <v>510</v>
      </c>
      <c r="O31" s="284"/>
      <c r="P31" s="167" t="s">
        <v>302</v>
      </c>
    </row>
    <row r="32" spans="1:16" ht="20.100000000000001" customHeight="1">
      <c r="A32" s="186" t="s">
        <v>101</v>
      </c>
      <c r="B32" s="34" t="s">
        <v>72</v>
      </c>
      <c r="C32" s="34"/>
      <c r="D32" s="35"/>
      <c r="E32" s="35"/>
      <c r="F32" s="35"/>
      <c r="G32" s="35"/>
      <c r="H32" s="35"/>
      <c r="J32" s="188"/>
      <c r="K32" s="197" t="s">
        <v>72</v>
      </c>
      <c r="L32" s="1"/>
      <c r="M32" s="279"/>
      <c r="N32" s="133" t="s">
        <v>511</v>
      </c>
      <c r="O32" s="284"/>
      <c r="P32" s="167" t="s">
        <v>302</v>
      </c>
    </row>
    <row r="33" spans="1:16" ht="20.100000000000001" customHeight="1">
      <c r="A33" s="239" t="s">
        <v>102</v>
      </c>
      <c r="B33" s="34" t="s">
        <v>72</v>
      </c>
      <c r="C33" s="34"/>
      <c r="D33" s="35"/>
      <c r="E33" s="35"/>
      <c r="F33" s="35"/>
      <c r="G33" s="35"/>
      <c r="H33" s="35"/>
      <c r="J33" s="241" t="s">
        <v>72</v>
      </c>
      <c r="K33" s="188" t="s">
        <v>72</v>
      </c>
      <c r="L33" s="240" t="s">
        <v>649</v>
      </c>
      <c r="M33" s="279" t="s">
        <v>647</v>
      </c>
      <c r="N33" s="133" t="s">
        <v>645</v>
      </c>
      <c r="O33" s="284"/>
      <c r="P33" s="167" t="s">
        <v>302</v>
      </c>
    </row>
    <row r="34" spans="1:16" ht="20.100000000000001" customHeight="1">
      <c r="A34" s="239" t="s">
        <v>102</v>
      </c>
      <c r="B34" s="34" t="s">
        <v>72</v>
      </c>
      <c r="C34" s="34"/>
      <c r="D34" s="35"/>
      <c r="E34" s="35"/>
      <c r="F34" s="35"/>
      <c r="G34" s="35"/>
      <c r="H34" s="35"/>
      <c r="J34" s="241" t="s">
        <v>72</v>
      </c>
      <c r="K34" s="188" t="s">
        <v>72</v>
      </c>
      <c r="L34" s="240" t="s">
        <v>650</v>
      </c>
      <c r="M34" s="279" t="s">
        <v>648</v>
      </c>
      <c r="N34" s="133" t="s">
        <v>646</v>
      </c>
      <c r="O34" s="284"/>
      <c r="P34" s="167" t="s">
        <v>302</v>
      </c>
    </row>
    <row r="35" spans="1:16" ht="20.100000000000001" customHeight="1">
      <c r="A35" s="276" t="s">
        <v>102</v>
      </c>
      <c r="B35" s="281" t="s">
        <v>72</v>
      </c>
      <c r="C35" s="34"/>
      <c r="D35" s="35"/>
      <c r="E35" s="35"/>
      <c r="F35" s="35"/>
      <c r="G35" s="35"/>
      <c r="H35" s="35"/>
      <c r="J35" s="282" t="s">
        <v>72</v>
      </c>
      <c r="L35" s="279" t="s">
        <v>700</v>
      </c>
      <c r="M35" s="279" t="s">
        <v>400</v>
      </c>
      <c r="N35" s="133" t="s">
        <v>697</v>
      </c>
      <c r="O35" s="285" t="s">
        <v>699</v>
      </c>
      <c r="P35" s="167" t="s">
        <v>302</v>
      </c>
    </row>
    <row r="36" spans="1:16" ht="20.100000000000001" customHeight="1">
      <c r="A36" s="276" t="s">
        <v>101</v>
      </c>
      <c r="B36" s="281" t="s">
        <v>72</v>
      </c>
      <c r="C36" s="34"/>
      <c r="D36" s="35"/>
      <c r="E36" s="35"/>
      <c r="F36" s="35"/>
      <c r="G36" s="35"/>
      <c r="H36" s="35"/>
      <c r="J36" s="282" t="s">
        <v>72</v>
      </c>
      <c r="L36" s="1"/>
      <c r="N36" s="133" t="s">
        <v>698</v>
      </c>
      <c r="O36" s="284"/>
      <c r="P36" s="167" t="s">
        <v>302</v>
      </c>
    </row>
    <row r="37" spans="1:16" ht="20.100000000000001" customHeight="1">
      <c r="A37" s="239" t="s">
        <v>103</v>
      </c>
      <c r="B37" s="281" t="s">
        <v>72</v>
      </c>
      <c r="C37" s="34"/>
      <c r="D37" s="35"/>
      <c r="E37" s="35"/>
      <c r="F37" s="35"/>
      <c r="G37" s="35"/>
      <c r="H37" s="35"/>
      <c r="J37" s="188"/>
      <c r="L37" s="1"/>
      <c r="N37" s="133" t="s">
        <v>731</v>
      </c>
      <c r="O37" s="284"/>
      <c r="P37" s="166"/>
    </row>
    <row r="38" spans="1:16" ht="20.100000000000001" customHeight="1">
      <c r="A38" s="239" t="s">
        <v>103</v>
      </c>
      <c r="B38" s="281" t="s">
        <v>72</v>
      </c>
      <c r="C38" s="34"/>
      <c r="D38" s="35"/>
      <c r="E38" s="35"/>
      <c r="F38" s="35"/>
      <c r="G38" s="35"/>
      <c r="H38" s="35"/>
      <c r="J38" s="188"/>
      <c r="L38" s="1"/>
      <c r="O38" s="284"/>
      <c r="P38" s="166"/>
    </row>
    <row r="39" spans="1:16" ht="20.100000000000001" customHeight="1">
      <c r="A39" s="239" t="s">
        <v>103</v>
      </c>
      <c r="B39" s="281" t="s">
        <v>72</v>
      </c>
      <c r="C39" s="34"/>
      <c r="D39" s="35"/>
      <c r="E39" s="35"/>
      <c r="F39" s="35"/>
      <c r="G39" s="35"/>
      <c r="H39" s="35"/>
      <c r="J39" s="188"/>
      <c r="L39" s="1"/>
      <c r="N39" s="133"/>
      <c r="O39" s="284"/>
      <c r="P39" s="166"/>
    </row>
    <row r="40" spans="1:16" ht="20.100000000000001" customHeight="1">
      <c r="A40" s="239" t="s">
        <v>103</v>
      </c>
      <c r="B40" s="281" t="s">
        <v>72</v>
      </c>
      <c r="C40" s="34"/>
      <c r="D40" s="35"/>
      <c r="E40" s="35"/>
      <c r="F40" s="35"/>
      <c r="G40" s="35"/>
      <c r="H40" s="35"/>
      <c r="J40" s="188"/>
      <c r="L40" s="1"/>
      <c r="N40" s="133"/>
      <c r="O40" s="284"/>
      <c r="P40" s="166"/>
    </row>
    <row r="41" spans="1:16" ht="20.100000000000001" customHeight="1">
      <c r="A41" s="239" t="s">
        <v>103</v>
      </c>
      <c r="B41" s="281" t="s">
        <v>72</v>
      </c>
      <c r="C41" s="34"/>
      <c r="D41" s="35"/>
      <c r="E41" s="35"/>
      <c r="F41" s="35"/>
      <c r="G41" s="35"/>
      <c r="H41" s="35"/>
      <c r="J41" s="188"/>
      <c r="L41" s="1"/>
      <c r="N41" s="133"/>
      <c r="O41" s="284"/>
      <c r="P41" s="166"/>
    </row>
    <row r="42" spans="1:16" ht="20.100000000000001" customHeight="1">
      <c r="A42" s="239" t="s">
        <v>103</v>
      </c>
      <c r="B42" s="281" t="s">
        <v>72</v>
      </c>
      <c r="C42" s="34"/>
      <c r="D42" s="35"/>
      <c r="E42" s="35"/>
      <c r="F42" s="35"/>
      <c r="G42" s="35"/>
      <c r="H42" s="35"/>
      <c r="J42" s="188"/>
      <c r="L42" s="1"/>
      <c r="N42" s="133"/>
      <c r="O42" s="284"/>
      <c r="P42" s="166"/>
    </row>
    <row r="43" spans="1:16" ht="20.100000000000001" customHeight="1">
      <c r="A43" s="239" t="s">
        <v>103</v>
      </c>
      <c r="B43" s="281" t="s">
        <v>72</v>
      </c>
      <c r="C43" s="34"/>
      <c r="D43" s="35"/>
      <c r="E43" s="35"/>
      <c r="F43" s="35"/>
      <c r="G43" s="35"/>
      <c r="H43" s="35"/>
      <c r="J43" s="188"/>
      <c r="L43" s="1"/>
      <c r="N43" s="133"/>
      <c r="O43" s="284"/>
      <c r="P43" s="166"/>
    </row>
    <row r="44" spans="1:16" ht="20.100000000000001" customHeight="1">
      <c r="A44" s="239" t="s">
        <v>103</v>
      </c>
      <c r="B44" s="281" t="s">
        <v>72</v>
      </c>
      <c r="C44" s="34"/>
      <c r="D44" s="35"/>
      <c r="E44" s="35"/>
      <c r="F44" s="35"/>
      <c r="G44" s="35"/>
      <c r="H44" s="35"/>
      <c r="J44" s="188"/>
      <c r="L44" s="1"/>
      <c r="N44" s="133"/>
      <c r="O44" s="284"/>
      <c r="P44" s="166"/>
    </row>
    <row r="45" spans="1:16" ht="20.100000000000001" customHeight="1">
      <c r="A45" s="239" t="s">
        <v>103</v>
      </c>
      <c r="B45" s="281" t="s">
        <v>72</v>
      </c>
      <c r="C45" s="34"/>
      <c r="D45" s="35"/>
      <c r="E45" s="35"/>
      <c r="F45" s="35"/>
      <c r="G45" s="35"/>
      <c r="H45" s="35"/>
      <c r="J45" s="188"/>
      <c r="L45" s="1"/>
      <c r="N45" s="133"/>
      <c r="O45" s="284"/>
      <c r="P45" s="166"/>
    </row>
    <row r="46" spans="1:16" ht="20.100000000000001" customHeight="1">
      <c r="A46" s="239" t="s">
        <v>103</v>
      </c>
      <c r="B46" s="281" t="s">
        <v>72</v>
      </c>
      <c r="C46" s="34"/>
      <c r="D46" s="35"/>
      <c r="E46" s="35"/>
      <c r="F46" s="35"/>
      <c r="G46" s="35"/>
      <c r="H46" s="35"/>
      <c r="J46" s="188"/>
      <c r="L46" s="1"/>
      <c r="N46" s="133"/>
      <c r="O46" s="284"/>
      <c r="P46" s="166"/>
    </row>
    <row r="47" spans="1:16" ht="20.100000000000001" customHeight="1">
      <c r="A47" s="239" t="s">
        <v>103</v>
      </c>
      <c r="B47" s="281" t="s">
        <v>72</v>
      </c>
      <c r="C47" s="34"/>
      <c r="D47" s="35"/>
      <c r="E47" s="35"/>
      <c r="F47" s="35"/>
      <c r="G47" s="35"/>
      <c r="H47" s="35"/>
      <c r="J47" s="188"/>
      <c r="L47" s="1"/>
      <c r="N47" s="133"/>
      <c r="O47" s="284"/>
      <c r="P47" s="166"/>
    </row>
    <row r="48" spans="1:16" ht="20.100000000000001" customHeight="1">
      <c r="A48" s="239" t="s">
        <v>103</v>
      </c>
      <c r="B48" s="281" t="s">
        <v>72</v>
      </c>
      <c r="C48" s="34"/>
      <c r="D48" s="35"/>
      <c r="E48" s="35"/>
      <c r="F48" s="35"/>
      <c r="G48" s="35"/>
      <c r="H48" s="35"/>
      <c r="J48" s="188"/>
      <c r="L48" s="1"/>
      <c r="N48" s="133"/>
      <c r="O48" s="284"/>
      <c r="P48" s="166"/>
    </row>
    <row r="49" spans="1:16" ht="20.100000000000001" customHeight="1">
      <c r="A49" s="239" t="s">
        <v>103</v>
      </c>
      <c r="B49" s="281" t="s">
        <v>72</v>
      </c>
      <c r="C49" s="34"/>
      <c r="D49" s="35"/>
      <c r="E49" s="35"/>
      <c r="F49" s="35"/>
      <c r="G49" s="35"/>
      <c r="H49" s="35"/>
      <c r="J49" s="188"/>
      <c r="L49" s="1"/>
      <c r="N49" s="133"/>
      <c r="O49" s="284"/>
      <c r="P49" s="166"/>
    </row>
    <row r="50" spans="1:16" ht="20.100000000000001" customHeight="1">
      <c r="A50" s="239" t="s">
        <v>103</v>
      </c>
      <c r="B50" s="281" t="s">
        <v>72</v>
      </c>
      <c r="C50" s="34"/>
      <c r="D50" s="35"/>
      <c r="E50" s="35"/>
      <c r="F50" s="35"/>
      <c r="G50" s="35"/>
      <c r="H50" s="35"/>
      <c r="J50" s="188"/>
      <c r="L50" s="1"/>
      <c r="N50" s="133"/>
      <c r="O50" s="284"/>
      <c r="P50" s="166"/>
    </row>
    <row r="51" spans="1:16" ht="20.100000000000001" customHeight="1">
      <c r="A51" s="239" t="s">
        <v>103</v>
      </c>
      <c r="B51" s="281" t="s">
        <v>72</v>
      </c>
      <c r="C51" s="34"/>
      <c r="D51" s="35"/>
      <c r="E51" s="35"/>
      <c r="F51" s="35"/>
      <c r="G51" s="35"/>
      <c r="H51" s="35"/>
      <c r="J51" s="188"/>
      <c r="L51" s="1"/>
      <c r="N51" s="133"/>
      <c r="O51" s="284"/>
      <c r="P51" s="166"/>
    </row>
    <row r="52" spans="1:16" ht="20.100000000000001" customHeight="1">
      <c r="A52" s="239" t="s">
        <v>103</v>
      </c>
      <c r="B52" s="281" t="s">
        <v>72</v>
      </c>
      <c r="C52" s="34"/>
      <c r="D52" s="35"/>
      <c r="E52" s="35"/>
      <c r="F52" s="35"/>
      <c r="G52" s="35"/>
      <c r="H52" s="35"/>
      <c r="J52" s="188"/>
      <c r="L52" s="1"/>
      <c r="N52" s="133"/>
      <c r="O52" s="284"/>
      <c r="P52" s="166"/>
    </row>
    <row r="53" spans="1:16" ht="20.100000000000001" customHeight="1">
      <c r="A53" s="239" t="s">
        <v>103</v>
      </c>
      <c r="B53" s="281" t="s">
        <v>72</v>
      </c>
      <c r="C53" s="34"/>
      <c r="D53" s="35"/>
      <c r="E53" s="35"/>
      <c r="F53" s="35"/>
      <c r="G53" s="35"/>
      <c r="H53" s="35"/>
      <c r="J53" s="188"/>
      <c r="L53" s="1"/>
      <c r="N53" s="133"/>
      <c r="O53" s="284"/>
      <c r="P53" s="166"/>
    </row>
    <row r="54" spans="1:16" ht="20.100000000000001" customHeight="1">
      <c r="A54" s="239" t="s">
        <v>103</v>
      </c>
      <c r="B54" s="281" t="s">
        <v>72</v>
      </c>
      <c r="C54" s="34"/>
      <c r="D54" s="35"/>
      <c r="E54" s="35"/>
      <c r="F54" s="35"/>
      <c r="G54" s="35"/>
      <c r="H54" s="35"/>
      <c r="J54" s="188"/>
      <c r="L54" s="1"/>
      <c r="N54" s="133"/>
      <c r="O54" s="284"/>
      <c r="P54" s="166"/>
    </row>
    <row r="55" spans="1:16" ht="20.100000000000001" customHeight="1">
      <c r="A55" s="239" t="s">
        <v>103</v>
      </c>
      <c r="B55" s="281" t="s">
        <v>72</v>
      </c>
      <c r="C55" s="34"/>
      <c r="D55" s="35"/>
      <c r="E55" s="35"/>
      <c r="F55" s="35"/>
      <c r="G55" s="35"/>
      <c r="H55" s="35"/>
      <c r="J55" s="188"/>
      <c r="L55" s="1"/>
      <c r="N55" s="133"/>
      <c r="O55" s="284"/>
      <c r="P55" s="166"/>
    </row>
    <row r="56" spans="1:16" ht="20.100000000000001" customHeight="1">
      <c r="A56" s="239" t="s">
        <v>103</v>
      </c>
      <c r="B56" s="281" t="s">
        <v>72</v>
      </c>
      <c r="C56" s="34"/>
      <c r="D56" s="35"/>
      <c r="E56" s="35"/>
      <c r="F56" s="35"/>
      <c r="G56" s="35"/>
      <c r="H56" s="35"/>
      <c r="J56" s="188"/>
      <c r="L56" s="1"/>
      <c r="N56" s="133"/>
      <c r="O56" s="284"/>
      <c r="P56" s="166"/>
    </row>
    <row r="57" spans="1:16" ht="20.100000000000001" customHeight="1">
      <c r="A57" s="239" t="s">
        <v>103</v>
      </c>
      <c r="B57" s="281" t="s">
        <v>72</v>
      </c>
      <c r="C57" s="34"/>
      <c r="D57" s="35"/>
      <c r="E57" s="35"/>
      <c r="F57" s="35"/>
      <c r="G57" s="35"/>
      <c r="H57" s="35"/>
      <c r="J57" s="188"/>
      <c r="L57" s="1"/>
      <c r="N57" s="133"/>
      <c r="O57" s="284"/>
      <c r="P57" s="166"/>
    </row>
    <row r="58" spans="1:16" ht="20.100000000000001" customHeight="1">
      <c r="A58" s="239" t="s">
        <v>103</v>
      </c>
      <c r="B58" s="281" t="s">
        <v>72</v>
      </c>
      <c r="C58" s="34"/>
      <c r="D58" s="35"/>
      <c r="E58" s="35"/>
      <c r="F58" s="35"/>
      <c r="G58" s="35"/>
      <c r="H58" s="35"/>
      <c r="J58" s="188"/>
      <c r="L58" s="1"/>
      <c r="N58" s="133"/>
      <c r="O58" s="284"/>
      <c r="P58" s="166"/>
    </row>
    <row r="59" spans="1:16" ht="20.100000000000001" customHeight="1">
      <c r="A59" s="239" t="s">
        <v>103</v>
      </c>
      <c r="B59" s="281" t="s">
        <v>72</v>
      </c>
      <c r="C59" s="34"/>
      <c r="D59" s="35"/>
      <c r="E59" s="35"/>
      <c r="F59" s="35"/>
      <c r="G59" s="35"/>
      <c r="H59" s="35"/>
      <c r="J59" s="188"/>
      <c r="L59" s="1"/>
      <c r="N59" s="133"/>
      <c r="O59" s="284"/>
      <c r="P59" s="166"/>
    </row>
    <row r="60" spans="1:16" ht="20.100000000000001" customHeight="1">
      <c r="A60" s="239" t="s">
        <v>103</v>
      </c>
      <c r="B60" s="281" t="s">
        <v>72</v>
      </c>
      <c r="C60" s="34"/>
      <c r="D60" s="35"/>
      <c r="E60" s="35"/>
      <c r="F60" s="35"/>
      <c r="G60" s="35"/>
      <c r="H60" s="35"/>
      <c r="J60" s="188"/>
      <c r="L60" s="1"/>
      <c r="N60" s="133"/>
      <c r="O60" s="284"/>
      <c r="P60" s="166"/>
    </row>
    <row r="61" spans="1:16" ht="20.100000000000001" customHeight="1">
      <c r="A61" s="239" t="s">
        <v>103</v>
      </c>
      <c r="B61" s="281" t="s">
        <v>72</v>
      </c>
      <c r="C61" s="34"/>
      <c r="D61" s="35"/>
      <c r="E61" s="35"/>
      <c r="F61" s="35"/>
      <c r="G61" s="35"/>
      <c r="H61" s="35"/>
      <c r="J61" s="188"/>
      <c r="L61" s="1"/>
      <c r="N61" s="133"/>
      <c r="O61" s="284"/>
      <c r="P61" s="166"/>
    </row>
    <row r="62" spans="1:16" ht="20.100000000000001" customHeight="1">
      <c r="A62" s="239" t="s">
        <v>103</v>
      </c>
      <c r="B62" s="281" t="s">
        <v>72</v>
      </c>
      <c r="C62" s="34"/>
      <c r="D62" s="35"/>
      <c r="E62" s="35"/>
      <c r="F62" s="35"/>
      <c r="G62" s="35"/>
      <c r="H62" s="35"/>
      <c r="J62" s="188"/>
      <c r="L62" s="1"/>
      <c r="N62" s="133"/>
      <c r="O62" s="284"/>
      <c r="P62" s="166"/>
    </row>
    <row r="63" spans="1:16" ht="20.100000000000001" customHeight="1">
      <c r="A63" s="239" t="s">
        <v>103</v>
      </c>
      <c r="B63" s="281" t="s">
        <v>72</v>
      </c>
      <c r="C63" s="34"/>
      <c r="D63" s="35"/>
      <c r="E63" s="35"/>
      <c r="F63" s="35"/>
      <c r="G63" s="35"/>
      <c r="H63" s="35"/>
      <c r="J63" s="188"/>
      <c r="L63" s="1"/>
      <c r="N63" s="133"/>
      <c r="O63" s="284"/>
      <c r="P63" s="166"/>
    </row>
    <row r="64" spans="1:16" ht="20.100000000000001" customHeight="1">
      <c r="A64" s="239" t="s">
        <v>103</v>
      </c>
      <c r="B64" s="281" t="s">
        <v>72</v>
      </c>
      <c r="C64" s="34"/>
      <c r="D64" s="35"/>
      <c r="E64" s="35"/>
      <c r="F64" s="35"/>
      <c r="G64" s="35"/>
      <c r="H64" s="35"/>
      <c r="J64" s="188"/>
      <c r="L64" s="1"/>
      <c r="N64" s="133"/>
      <c r="O64" s="284"/>
      <c r="P64" s="166"/>
    </row>
    <row r="65" spans="1:16" ht="20.100000000000001" customHeight="1">
      <c r="A65" s="239" t="s">
        <v>103</v>
      </c>
      <c r="B65" s="281" t="s">
        <v>72</v>
      </c>
      <c r="C65" s="34"/>
      <c r="D65" s="35"/>
      <c r="E65" s="35"/>
      <c r="F65" s="35"/>
      <c r="G65" s="35"/>
      <c r="H65" s="35"/>
      <c r="J65" s="188"/>
      <c r="L65" s="1"/>
      <c r="N65" s="133"/>
      <c r="O65" s="284"/>
      <c r="P65" s="166"/>
    </row>
    <row r="66" spans="1:16" ht="20.100000000000001" customHeight="1">
      <c r="A66" s="239" t="s">
        <v>103</v>
      </c>
      <c r="B66" s="281" t="s">
        <v>72</v>
      </c>
      <c r="C66" s="34"/>
      <c r="D66" s="35"/>
      <c r="E66" s="35"/>
      <c r="F66" s="35"/>
      <c r="G66" s="35"/>
      <c r="H66" s="35"/>
      <c r="J66" s="188"/>
      <c r="L66" s="1"/>
      <c r="N66" s="133"/>
      <c r="O66" s="284"/>
      <c r="P66" s="166"/>
    </row>
    <row r="67" spans="1:16" ht="20.100000000000001" customHeight="1">
      <c r="A67" s="239" t="s">
        <v>103</v>
      </c>
      <c r="B67" s="281" t="s">
        <v>72</v>
      </c>
      <c r="C67" s="34"/>
      <c r="D67" s="35"/>
      <c r="E67" s="35"/>
      <c r="F67" s="35"/>
      <c r="G67" s="35"/>
      <c r="H67" s="35"/>
      <c r="J67" s="188"/>
      <c r="L67" s="1"/>
      <c r="N67" s="133"/>
      <c r="O67" s="284"/>
      <c r="P67" s="166"/>
    </row>
    <row r="68" spans="1:16" ht="20.100000000000001" customHeight="1">
      <c r="A68" s="239" t="s">
        <v>103</v>
      </c>
      <c r="B68" s="281" t="s">
        <v>72</v>
      </c>
      <c r="C68" s="34"/>
      <c r="D68" s="35"/>
      <c r="E68" s="35"/>
      <c r="F68" s="35"/>
      <c r="G68" s="35"/>
      <c r="H68" s="35"/>
      <c r="J68" s="188"/>
      <c r="L68" s="1"/>
      <c r="N68" s="133"/>
      <c r="O68" s="284"/>
      <c r="P68" s="166"/>
    </row>
    <row r="69" spans="1:16" ht="20.100000000000001" customHeight="1">
      <c r="A69" s="239" t="s">
        <v>103</v>
      </c>
      <c r="B69" s="281" t="s">
        <v>72</v>
      </c>
      <c r="C69" s="34"/>
      <c r="D69" s="35"/>
      <c r="E69" s="35"/>
      <c r="F69" s="35"/>
      <c r="G69" s="35"/>
      <c r="H69" s="35"/>
      <c r="J69" s="188"/>
      <c r="L69" s="1"/>
      <c r="N69" s="133"/>
      <c r="O69" s="284"/>
      <c r="P69" s="166"/>
    </row>
    <row r="70" spans="1:16" ht="20.100000000000001" customHeight="1">
      <c r="A70" s="239" t="s">
        <v>103</v>
      </c>
      <c r="B70" s="281" t="s">
        <v>72</v>
      </c>
      <c r="C70" s="34"/>
      <c r="D70" s="35"/>
      <c r="E70" s="35"/>
      <c r="F70" s="35"/>
      <c r="G70" s="35"/>
      <c r="H70" s="35"/>
      <c r="J70" s="188"/>
      <c r="L70" s="1"/>
      <c r="N70" s="133"/>
      <c r="O70" s="284"/>
      <c r="P70" s="166"/>
    </row>
    <row r="71" spans="1:16" ht="20.100000000000001" customHeight="1">
      <c r="A71" s="239" t="s">
        <v>103</v>
      </c>
      <c r="B71" s="281" t="s">
        <v>72</v>
      </c>
      <c r="C71" s="34"/>
      <c r="D71" s="35"/>
      <c r="E71" s="35"/>
      <c r="F71" s="35"/>
      <c r="G71" s="35"/>
      <c r="H71" s="35"/>
      <c r="J71" s="188"/>
      <c r="L71" s="1"/>
      <c r="N71" s="133"/>
      <c r="O71" s="284"/>
      <c r="P71" s="166"/>
    </row>
    <row r="72" spans="1:16" ht="20.100000000000001" customHeight="1">
      <c r="A72" s="239" t="s">
        <v>103</v>
      </c>
      <c r="B72" s="281" t="s">
        <v>72</v>
      </c>
      <c r="C72" s="34"/>
      <c r="D72" s="35"/>
      <c r="E72" s="35"/>
      <c r="F72" s="35"/>
      <c r="G72" s="35"/>
      <c r="H72" s="35"/>
      <c r="J72" s="188"/>
      <c r="L72" s="1"/>
      <c r="N72" s="133"/>
      <c r="O72" s="284"/>
      <c r="P72" s="166"/>
    </row>
    <row r="73" spans="1:16" ht="20.100000000000001" customHeight="1">
      <c r="A73" s="239" t="s">
        <v>103</v>
      </c>
      <c r="B73" s="281" t="s">
        <v>72</v>
      </c>
      <c r="C73" s="34"/>
      <c r="D73" s="35"/>
      <c r="E73" s="35"/>
      <c r="F73" s="35"/>
      <c r="G73" s="35"/>
      <c r="H73" s="35"/>
      <c r="J73" s="188"/>
      <c r="L73" s="1"/>
      <c r="N73" s="133"/>
      <c r="O73" s="284"/>
      <c r="P73" s="166"/>
    </row>
    <row r="74" spans="1:16" ht="20.100000000000001" customHeight="1">
      <c r="A74" s="239" t="s">
        <v>103</v>
      </c>
      <c r="B74" s="281" t="s">
        <v>72</v>
      </c>
      <c r="C74" s="34"/>
      <c r="D74" s="35"/>
      <c r="E74" s="35"/>
      <c r="F74" s="35"/>
      <c r="G74" s="35"/>
      <c r="H74" s="35"/>
      <c r="J74" s="188"/>
      <c r="L74" s="1"/>
      <c r="N74" s="133"/>
      <c r="O74" s="284"/>
      <c r="P74" s="166"/>
    </row>
    <row r="75" spans="1:16" ht="20.100000000000001" customHeight="1">
      <c r="A75" s="239" t="s">
        <v>103</v>
      </c>
      <c r="B75" s="281" t="s">
        <v>72</v>
      </c>
      <c r="C75" s="34"/>
      <c r="D75" s="35"/>
      <c r="E75" s="35"/>
      <c r="F75" s="35"/>
      <c r="G75" s="35"/>
      <c r="H75" s="35"/>
      <c r="J75" s="188"/>
      <c r="L75" s="1"/>
      <c r="N75" s="133"/>
      <c r="O75" s="284"/>
      <c r="P75" s="166"/>
    </row>
    <row r="76" spans="1:16" ht="20.100000000000001" customHeight="1">
      <c r="A76" s="239" t="s">
        <v>103</v>
      </c>
      <c r="B76" s="281" t="s">
        <v>72</v>
      </c>
      <c r="C76" s="34"/>
      <c r="D76" s="35"/>
      <c r="E76" s="35"/>
      <c r="F76" s="35"/>
      <c r="G76" s="35"/>
      <c r="H76" s="35"/>
      <c r="J76" s="188"/>
      <c r="L76" s="1"/>
      <c r="N76" s="133"/>
      <c r="O76" s="284"/>
      <c r="P76" s="166"/>
    </row>
    <row r="77" spans="1:16" ht="20.100000000000001" customHeight="1">
      <c r="A77" s="239" t="s">
        <v>103</v>
      </c>
      <c r="B77" s="281" t="s">
        <v>72</v>
      </c>
      <c r="C77" s="34"/>
      <c r="D77" s="35"/>
      <c r="E77" s="35"/>
      <c r="F77" s="35"/>
      <c r="G77" s="35"/>
      <c r="H77" s="35"/>
      <c r="J77" s="188"/>
      <c r="L77" s="1"/>
      <c r="N77" s="133"/>
      <c r="O77" s="284"/>
      <c r="P77" s="166"/>
    </row>
    <row r="78" spans="1:16" ht="20.100000000000001" customHeight="1">
      <c r="A78" s="239" t="s">
        <v>103</v>
      </c>
      <c r="B78" s="281" t="s">
        <v>72</v>
      </c>
      <c r="C78" s="34"/>
      <c r="D78" s="35"/>
      <c r="E78" s="35"/>
      <c r="F78" s="35"/>
      <c r="G78" s="35"/>
      <c r="H78" s="35"/>
      <c r="J78" s="188"/>
      <c r="L78" s="1"/>
      <c r="N78" s="133"/>
      <c r="O78" s="284"/>
      <c r="P78" s="166"/>
    </row>
    <row r="79" spans="1:16" ht="20.100000000000001" customHeight="1">
      <c r="A79" s="239" t="s">
        <v>103</v>
      </c>
      <c r="B79" s="281" t="s">
        <v>72</v>
      </c>
      <c r="C79" s="34"/>
      <c r="D79" s="35"/>
      <c r="E79" s="35"/>
      <c r="F79" s="35"/>
      <c r="G79" s="35"/>
      <c r="H79" s="35"/>
      <c r="J79" s="188"/>
      <c r="L79" s="1"/>
      <c r="N79" s="133"/>
      <c r="O79" s="284"/>
      <c r="P79" s="166"/>
    </row>
    <row r="80" spans="1:16" ht="20.100000000000001" customHeight="1">
      <c r="A80" s="239" t="s">
        <v>103</v>
      </c>
      <c r="B80" s="281" t="s">
        <v>72</v>
      </c>
      <c r="C80" s="34"/>
      <c r="D80" s="35"/>
      <c r="E80" s="35"/>
      <c r="F80" s="35"/>
      <c r="G80" s="35"/>
      <c r="H80" s="35"/>
      <c r="J80" s="188"/>
      <c r="L80" s="1"/>
      <c r="N80" s="133"/>
      <c r="O80" s="284"/>
      <c r="P80" s="166"/>
    </row>
    <row r="81" spans="1:16" ht="20.100000000000001" customHeight="1">
      <c r="A81" s="239" t="s">
        <v>103</v>
      </c>
      <c r="B81" s="281" t="s">
        <v>72</v>
      </c>
      <c r="C81" s="34"/>
      <c r="D81" s="35"/>
      <c r="E81" s="35"/>
      <c r="F81" s="35"/>
      <c r="G81" s="35"/>
      <c r="H81" s="35"/>
      <c r="J81" s="188"/>
      <c r="L81" s="1"/>
      <c r="N81" s="133"/>
      <c r="O81" s="284"/>
      <c r="P81" s="166"/>
    </row>
    <row r="82" spans="1:16">
      <c r="A82" s="239" t="s">
        <v>103</v>
      </c>
      <c r="B82" s="281" t="s">
        <v>72</v>
      </c>
      <c r="P82" s="166"/>
    </row>
    <row r="83" spans="1:16">
      <c r="A83" s="239" t="s">
        <v>103</v>
      </c>
      <c r="B83" s="281" t="s">
        <v>72</v>
      </c>
      <c r="P83" s="166"/>
    </row>
    <row r="84" spans="1:16">
      <c r="A84" s="239" t="s">
        <v>103</v>
      </c>
      <c r="B84" s="281" t="s">
        <v>72</v>
      </c>
      <c r="P84" s="166"/>
    </row>
    <row r="85" spans="1:16">
      <c r="A85" s="239" t="s">
        <v>103</v>
      </c>
      <c r="B85" s="281" t="s">
        <v>72</v>
      </c>
      <c r="P85" s="166"/>
    </row>
    <row r="86" spans="1:16">
      <c r="A86" s="239" t="s">
        <v>103</v>
      </c>
      <c r="B86" s="281" t="s">
        <v>72</v>
      </c>
      <c r="P86" s="166"/>
    </row>
    <row r="87" spans="1:16">
      <c r="A87" s="239" t="s">
        <v>103</v>
      </c>
      <c r="B87" s="281" t="s">
        <v>72</v>
      </c>
      <c r="P87" s="166"/>
    </row>
    <row r="88" spans="1:16">
      <c r="A88" s="239" t="s">
        <v>103</v>
      </c>
      <c r="B88" s="281" t="s">
        <v>72</v>
      </c>
      <c r="P88" s="166"/>
    </row>
    <row r="89" spans="1:16">
      <c r="A89" s="239" t="s">
        <v>103</v>
      </c>
      <c r="B89" s="281" t="s">
        <v>72</v>
      </c>
      <c r="P89" s="166"/>
    </row>
    <row r="90" spans="1:16">
      <c r="A90" s="239" t="s">
        <v>103</v>
      </c>
      <c r="B90" s="281" t="s">
        <v>72</v>
      </c>
      <c r="P90" s="166"/>
    </row>
    <row r="91" spans="1:16">
      <c r="A91" s="239" t="s">
        <v>103</v>
      </c>
      <c r="B91" s="281" t="s">
        <v>72</v>
      </c>
      <c r="P91" s="166"/>
    </row>
    <row r="92" spans="1:16">
      <c r="A92" s="239" t="s">
        <v>103</v>
      </c>
      <c r="B92" s="281" t="s">
        <v>72</v>
      </c>
      <c r="P92" s="166"/>
    </row>
    <row r="93" spans="1:16">
      <c r="A93" s="239" t="s">
        <v>103</v>
      </c>
      <c r="B93" s="281" t="s">
        <v>72</v>
      </c>
      <c r="P93" s="166"/>
    </row>
    <row r="94" spans="1:16">
      <c r="A94" s="239" t="s">
        <v>103</v>
      </c>
      <c r="B94" s="281" t="s">
        <v>72</v>
      </c>
      <c r="P94" s="166"/>
    </row>
    <row r="95" spans="1:16">
      <c r="A95" s="239" t="s">
        <v>103</v>
      </c>
      <c r="B95" s="281" t="s">
        <v>72</v>
      </c>
      <c r="P95" s="166"/>
    </row>
    <row r="96" spans="1:16">
      <c r="A96" s="239" t="s">
        <v>103</v>
      </c>
      <c r="B96" s="281" t="s">
        <v>72</v>
      </c>
      <c r="P96" s="166"/>
    </row>
    <row r="97" spans="1:16">
      <c r="A97" s="239" t="s">
        <v>103</v>
      </c>
      <c r="B97" s="281" t="s">
        <v>72</v>
      </c>
      <c r="P97" s="166"/>
    </row>
    <row r="98" spans="1:16">
      <c r="A98" s="239" t="s">
        <v>103</v>
      </c>
      <c r="B98" s="281" t="s">
        <v>72</v>
      </c>
      <c r="P98" s="166"/>
    </row>
    <row r="99" spans="1:16">
      <c r="A99" s="239" t="s">
        <v>103</v>
      </c>
      <c r="B99" s="281" t="s">
        <v>72</v>
      </c>
      <c r="P99" s="166"/>
    </row>
    <row r="100" spans="1:16">
      <c r="A100" s="239" t="s">
        <v>103</v>
      </c>
      <c r="B100" s="281" t="s">
        <v>72</v>
      </c>
      <c r="P100" s="166"/>
    </row>
    <row r="101" spans="1:16">
      <c r="A101" s="239" t="s">
        <v>103</v>
      </c>
      <c r="B101" s="281" t="s">
        <v>72</v>
      </c>
      <c r="P101" s="166"/>
    </row>
    <row r="102" spans="1:16">
      <c r="A102" s="239" t="s">
        <v>103</v>
      </c>
      <c r="B102" s="281" t="s">
        <v>72</v>
      </c>
      <c r="P102" s="166"/>
    </row>
  </sheetData>
  <hyperlinks>
    <hyperlink ref="N3" r:id="rId1" xr:uid="{47442661-D5C0-443E-AC3D-C560CD81C27C}"/>
    <hyperlink ref="N4" r:id="rId2" xr:uid="{21BA5784-0EF0-4A3F-BA99-0D2713CB7668}"/>
    <hyperlink ref="N5" r:id="rId3" xr:uid="{94CE498F-79B6-4D59-AE44-BEB42B25AD52}"/>
    <hyperlink ref="N6" r:id="rId4" xr:uid="{A55CB880-077F-43BA-8E89-D7B9A26749BC}"/>
    <hyperlink ref="N7" r:id="rId5" xr:uid="{12ACB88F-F1F1-4F67-9565-5F95D38263B6}"/>
    <hyperlink ref="N8" r:id="rId6" xr:uid="{F7688EDE-7E2B-4FC0-B447-989154F218F9}"/>
    <hyperlink ref="N9" r:id="rId7" xr:uid="{4BC59ACA-CF4A-46BE-A3FE-1F24AA4B0E5B}"/>
    <hyperlink ref="N10" r:id="rId8" xr:uid="{7A57207D-6581-4FF6-A3AC-E610ECF22049}"/>
    <hyperlink ref="N11" r:id="rId9" xr:uid="{C2C041EA-89CA-4DE8-BDCF-D69C4F476EB0}"/>
    <hyperlink ref="N12" r:id="rId10" xr:uid="{D3703633-5708-44CD-9047-4404BEE69DA3}"/>
    <hyperlink ref="N13" r:id="rId11" xr:uid="{555C7C98-88E4-4EAC-9C4B-028485D2FC9D}"/>
    <hyperlink ref="N14" r:id="rId12" xr:uid="{941AFD53-05BE-41FF-8DC7-869A89CC26F0}"/>
    <hyperlink ref="N15" r:id="rId13" xr:uid="{1553B0EB-870D-4FFB-A85A-74369B8E6B94}"/>
    <hyperlink ref="N16" r:id="rId14" xr:uid="{19C56859-A0DD-4DA8-A438-81BE5D07C66A}"/>
    <hyperlink ref="N17" r:id="rId15" xr:uid="{38E3041B-5486-41AB-B44A-741BE14A252F}"/>
    <hyperlink ref="N18" r:id="rId16" xr:uid="{2F5B505C-EF8B-4081-95CC-4C5E681DC091}"/>
    <hyperlink ref="N19" r:id="rId17" xr:uid="{F945CD84-7B81-4FD8-AA93-66F9500113DC}"/>
    <hyperlink ref="N20" r:id="rId18" xr:uid="{7B37C938-3183-487D-A7B6-6CE11B56446D}"/>
    <hyperlink ref="N21" r:id="rId19" xr:uid="{4E9B0E42-6ABB-42AC-964B-DB42C1B47B3B}"/>
    <hyperlink ref="N22" r:id="rId20" xr:uid="{61C766F4-4F41-494B-A108-E6AE1AF9C82E}"/>
    <hyperlink ref="N23" r:id="rId21" xr:uid="{12A84E7A-C41B-4439-99F0-8DD65B1F1333}"/>
    <hyperlink ref="N24" r:id="rId22" xr:uid="{A3141EAC-67DF-4437-8E2D-BB6F7D202517}"/>
    <hyperlink ref="N25" r:id="rId23" xr:uid="{DCEEC8B2-AD29-43FA-929C-D82A1105AC7E}"/>
    <hyperlink ref="N26" r:id="rId24" xr:uid="{817A1246-38D6-4AA9-9A7B-E7DA23834952}"/>
    <hyperlink ref="N27" r:id="rId25" xr:uid="{F671CC79-00BD-4898-A934-F6C702053063}"/>
    <hyperlink ref="N30" r:id="rId26" xr:uid="{6C5E7ED6-60D5-460F-94C9-48439A2392E8}"/>
    <hyperlink ref="N31" r:id="rId27" xr:uid="{975AAF46-31E2-47E6-A5CA-19C9EC5DF9BB}"/>
    <hyperlink ref="N32" r:id="rId28" xr:uid="{1F04F381-E28D-454B-AA3B-6D0DD4134F0D}"/>
    <hyperlink ref="N33" r:id="rId29" xr:uid="{DE82E8C8-B223-4DDF-8640-869671CD53D0}"/>
    <hyperlink ref="N34" r:id="rId30" xr:uid="{0E071FA2-7030-487F-A4E1-5CD99A322B02}"/>
    <hyperlink ref="N35" r:id="rId31" xr:uid="{4AC3AB9E-D61F-4246-9BEC-A2E86385D64C}"/>
    <hyperlink ref="N36" r:id="rId32" xr:uid="{138687D4-D594-40BA-B79E-C2E9521217F5}"/>
  </hyperlinks>
  <pageMargins left="0.7" right="0.7" top="0.78740157499999996" bottom="0.78740157499999996" header="0.3" footer="0.3"/>
  <pageSetup paperSize="9" orientation="portrait" r:id="rId3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E9DAF9-4805-4447-B054-57EC80B9EE50}">
  <sheetPr codeName="Tabelle7"/>
  <dimension ref="A1:P50"/>
  <sheetViews>
    <sheetView workbookViewId="0">
      <pane ySplit="1" topLeftCell="A12" activePane="bottomLeft" state="frozen"/>
      <selection activeCell="A3" sqref="A3:XFD3"/>
      <selection pane="bottomLeft" activeCell="D12" sqref="D12"/>
    </sheetView>
  </sheetViews>
  <sheetFormatPr baseColWidth="10" defaultColWidth="11.5546875" defaultRowHeight="15.6"/>
  <cols>
    <col min="1" max="1" width="8.33203125" style="20" customWidth="1"/>
    <col min="2" max="5" width="3.6640625" style="38" bestFit="1" customWidth="1"/>
    <col min="6" max="6" width="8.109375" style="38" bestFit="1" customWidth="1"/>
    <col min="7" max="10" width="3.6640625" style="38" bestFit="1" customWidth="1"/>
    <col min="11" max="11" width="6.6640625" bestFit="1" customWidth="1"/>
    <col min="12" max="12" width="37.33203125" style="84" customWidth="1"/>
    <col min="13" max="13" width="20.88671875" style="17" customWidth="1"/>
    <col min="14" max="14" width="35.109375" style="112" customWidth="1"/>
    <col min="15" max="15" width="16.6640625" style="81" bestFit="1" customWidth="1"/>
    <col min="16" max="16384" width="11.5546875" style="17"/>
  </cols>
  <sheetData>
    <row r="1" spans="1:16" s="2" customFormat="1" ht="55.2" customHeight="1">
      <c r="A1" s="21" t="s">
        <v>96</v>
      </c>
      <c r="B1" s="259" t="s">
        <v>109</v>
      </c>
      <c r="C1" s="259" t="s">
        <v>136</v>
      </c>
      <c r="D1" s="259" t="s">
        <v>137</v>
      </c>
      <c r="E1" s="259" t="s">
        <v>224</v>
      </c>
      <c r="F1" s="259" t="s">
        <v>138</v>
      </c>
      <c r="G1" s="259" t="s">
        <v>146</v>
      </c>
      <c r="H1" s="259" t="s">
        <v>195</v>
      </c>
      <c r="I1" s="259" t="s">
        <v>235</v>
      </c>
      <c r="J1" s="259" t="s">
        <v>223</v>
      </c>
      <c r="K1" s="259" t="s">
        <v>390</v>
      </c>
      <c r="L1" s="82" t="s">
        <v>70</v>
      </c>
      <c r="M1" s="25" t="s">
        <v>71</v>
      </c>
      <c r="N1" s="114" t="s">
        <v>14</v>
      </c>
      <c r="O1" s="24" t="s">
        <v>97</v>
      </c>
    </row>
    <row r="2" spans="1:16" s="2" customFormat="1" ht="25.2" customHeight="1">
      <c r="A2" s="28" t="s">
        <v>104</v>
      </c>
      <c r="B2" s="34"/>
      <c r="C2" s="34"/>
      <c r="D2" s="35"/>
      <c r="E2" s="35"/>
      <c r="F2" s="35"/>
      <c r="G2" s="35"/>
      <c r="H2" s="35"/>
      <c r="I2" s="35"/>
      <c r="J2" s="35"/>
      <c r="L2" s="1"/>
      <c r="M2" s="4"/>
      <c r="N2" s="133"/>
      <c r="O2" s="11"/>
    </row>
    <row r="3" spans="1:16" s="2" customFormat="1" ht="25.2" customHeight="1">
      <c r="A3" s="28" t="s">
        <v>102</v>
      </c>
      <c r="B3" s="34" t="s">
        <v>72</v>
      </c>
      <c r="C3" s="34"/>
      <c r="D3" s="35"/>
      <c r="E3" s="35"/>
      <c r="F3" s="35" t="s">
        <v>139</v>
      </c>
      <c r="G3" s="35"/>
      <c r="H3" s="35"/>
      <c r="I3" s="35"/>
      <c r="J3" s="35"/>
      <c r="L3" s="1" t="s">
        <v>39</v>
      </c>
      <c r="M3" s="4" t="s">
        <v>140</v>
      </c>
      <c r="N3" s="133" t="s">
        <v>170</v>
      </c>
      <c r="O3" s="11" t="s">
        <v>98</v>
      </c>
      <c r="P3" s="160" t="s">
        <v>302</v>
      </c>
    </row>
    <row r="4" spans="1:16" s="2" customFormat="1" ht="25.2" customHeight="1">
      <c r="A4" s="28" t="s">
        <v>102</v>
      </c>
      <c r="B4" s="34" t="s">
        <v>72</v>
      </c>
      <c r="C4" s="34"/>
      <c r="D4" s="35"/>
      <c r="E4" s="35"/>
      <c r="F4" s="35"/>
      <c r="G4" s="35"/>
      <c r="H4" s="35" t="s">
        <v>72</v>
      </c>
      <c r="I4" s="35"/>
      <c r="J4" s="35"/>
      <c r="L4" s="1" t="s">
        <v>205</v>
      </c>
      <c r="M4" s="4"/>
      <c r="N4" s="133" t="s">
        <v>306</v>
      </c>
      <c r="O4" s="11"/>
      <c r="P4" s="161" t="s">
        <v>302</v>
      </c>
    </row>
    <row r="5" spans="1:16" s="2" customFormat="1" ht="25.2" customHeight="1">
      <c r="A5" s="28" t="s">
        <v>102</v>
      </c>
      <c r="B5" s="34" t="s">
        <v>72</v>
      </c>
      <c r="C5" s="34"/>
      <c r="D5" s="35"/>
      <c r="E5" s="35"/>
      <c r="F5" s="35"/>
      <c r="G5" s="35"/>
      <c r="H5" s="35" t="s">
        <v>72</v>
      </c>
      <c r="I5" s="35"/>
      <c r="J5" s="35"/>
      <c r="L5" s="1" t="s">
        <v>206</v>
      </c>
      <c r="M5" s="4"/>
      <c r="N5" s="133" t="s">
        <v>307</v>
      </c>
      <c r="O5" s="11"/>
      <c r="P5" s="161" t="s">
        <v>302</v>
      </c>
    </row>
    <row r="6" spans="1:16" s="2" customFormat="1" ht="25.2" customHeight="1">
      <c r="A6" s="28" t="s">
        <v>102</v>
      </c>
      <c r="B6" s="34" t="s">
        <v>72</v>
      </c>
      <c r="C6" s="34"/>
      <c r="D6" s="35"/>
      <c r="E6" s="35"/>
      <c r="F6" s="35"/>
      <c r="G6" s="35"/>
      <c r="H6" s="35" t="s">
        <v>72</v>
      </c>
      <c r="I6" s="35"/>
      <c r="J6" s="35"/>
      <c r="L6" s="1" t="s">
        <v>208</v>
      </c>
      <c r="M6" s="4"/>
      <c r="N6" s="133" t="s">
        <v>309</v>
      </c>
      <c r="O6" s="11"/>
      <c r="P6" s="161" t="s">
        <v>302</v>
      </c>
    </row>
    <row r="7" spans="1:16" s="2" customFormat="1" ht="25.2" customHeight="1">
      <c r="A7" s="244" t="s">
        <v>101</v>
      </c>
      <c r="B7" s="34" t="s">
        <v>72</v>
      </c>
      <c r="C7" s="34"/>
      <c r="D7" s="35"/>
      <c r="E7" s="35"/>
      <c r="F7" s="35"/>
      <c r="G7" s="35"/>
      <c r="H7" s="35" t="s">
        <v>72</v>
      </c>
      <c r="I7" s="35"/>
      <c r="J7" s="35"/>
      <c r="L7" s="1" t="s">
        <v>207</v>
      </c>
      <c r="N7" s="133" t="s">
        <v>308</v>
      </c>
      <c r="O7" s="11"/>
      <c r="P7" s="161" t="s">
        <v>302</v>
      </c>
    </row>
    <row r="8" spans="1:16" s="2" customFormat="1" ht="25.2" customHeight="1">
      <c r="A8" s="28" t="s">
        <v>102</v>
      </c>
      <c r="B8" s="34" t="s">
        <v>72</v>
      </c>
      <c r="C8" s="34"/>
      <c r="D8" s="35"/>
      <c r="E8" s="35"/>
      <c r="F8" s="35"/>
      <c r="G8" s="35"/>
      <c r="H8" s="35" t="s">
        <v>72</v>
      </c>
      <c r="I8" s="35"/>
      <c r="J8" s="35"/>
      <c r="L8" s="1" t="s">
        <v>209</v>
      </c>
      <c r="M8" s="4"/>
      <c r="N8" s="133" t="s">
        <v>310</v>
      </c>
      <c r="O8" s="11"/>
      <c r="P8" s="161" t="s">
        <v>302</v>
      </c>
    </row>
    <row r="9" spans="1:16" s="2" customFormat="1" ht="25.2" customHeight="1">
      <c r="A9" s="28" t="s">
        <v>102</v>
      </c>
      <c r="B9" s="34" t="s">
        <v>72</v>
      </c>
      <c r="C9" s="34"/>
      <c r="D9" s="35"/>
      <c r="E9" s="35"/>
      <c r="F9" s="35"/>
      <c r="G9" s="35"/>
      <c r="H9" s="35" t="s">
        <v>72</v>
      </c>
      <c r="I9" s="35"/>
      <c r="J9" s="35"/>
      <c r="L9" s="1" t="s">
        <v>210</v>
      </c>
      <c r="M9" s="4"/>
      <c r="N9" s="133" t="s">
        <v>311</v>
      </c>
      <c r="O9" s="11"/>
      <c r="P9" s="161" t="s">
        <v>302</v>
      </c>
    </row>
    <row r="10" spans="1:16" s="2" customFormat="1" ht="25.2" customHeight="1">
      <c r="A10" s="28" t="s">
        <v>102</v>
      </c>
      <c r="B10" s="34" t="s">
        <v>72</v>
      </c>
      <c r="C10" s="34"/>
      <c r="D10" s="35"/>
      <c r="E10" s="35"/>
      <c r="F10" s="35"/>
      <c r="G10" s="35"/>
      <c r="H10" s="35"/>
      <c r="I10" s="34" t="s">
        <v>72</v>
      </c>
      <c r="J10" s="35"/>
      <c r="L10" s="105" t="s">
        <v>244</v>
      </c>
      <c r="M10" s="4"/>
      <c r="N10" s="133" t="s">
        <v>312</v>
      </c>
      <c r="P10" s="161" t="s">
        <v>302</v>
      </c>
    </row>
    <row r="11" spans="1:16" s="2" customFormat="1" ht="25.2" customHeight="1">
      <c r="A11" s="104" t="s">
        <v>101</v>
      </c>
      <c r="B11" s="34" t="s">
        <v>72</v>
      </c>
      <c r="C11" s="34"/>
      <c r="D11" s="35"/>
      <c r="E11" s="35"/>
      <c r="F11" s="35"/>
      <c r="G11" s="35"/>
      <c r="H11" s="35"/>
      <c r="I11" s="34" t="s">
        <v>72</v>
      </c>
      <c r="J11" s="35"/>
      <c r="L11" s="1"/>
      <c r="M11" s="4"/>
      <c r="N11" s="133" t="s">
        <v>313</v>
      </c>
      <c r="O11" s="107" t="s">
        <v>245</v>
      </c>
      <c r="P11" s="161" t="s">
        <v>302</v>
      </c>
    </row>
    <row r="12" spans="1:16" s="2" customFormat="1" ht="25.2" customHeight="1">
      <c r="A12" s="104" t="s">
        <v>101</v>
      </c>
      <c r="B12" s="34" t="s">
        <v>72</v>
      </c>
      <c r="C12" s="34"/>
      <c r="D12" s="35"/>
      <c r="E12" s="35"/>
      <c r="F12" s="35"/>
      <c r="G12" s="35"/>
      <c r="H12" s="35"/>
      <c r="I12" s="34" t="s">
        <v>72</v>
      </c>
      <c r="J12" s="35"/>
      <c r="L12" s="1"/>
      <c r="M12" s="4"/>
      <c r="N12" s="133" t="s">
        <v>314</v>
      </c>
      <c r="O12" s="11" t="s">
        <v>246</v>
      </c>
      <c r="P12" s="161" t="s">
        <v>302</v>
      </c>
    </row>
    <row r="13" spans="1:16" s="2" customFormat="1" ht="25.2" customHeight="1">
      <c r="A13" s="28" t="s">
        <v>102</v>
      </c>
      <c r="B13" s="34" t="s">
        <v>72</v>
      </c>
      <c r="C13" s="34"/>
      <c r="D13" s="35"/>
      <c r="E13" s="35"/>
      <c r="F13" s="35"/>
      <c r="G13" s="35"/>
      <c r="H13" s="35"/>
      <c r="I13" s="34" t="s">
        <v>72</v>
      </c>
      <c r="J13" s="35"/>
      <c r="L13" s="105" t="s">
        <v>264</v>
      </c>
      <c r="M13" s="4"/>
      <c r="N13" s="133" t="s">
        <v>315</v>
      </c>
      <c r="O13" s="11"/>
      <c r="P13" s="161" t="s">
        <v>302</v>
      </c>
    </row>
    <row r="14" spans="1:16" s="2" customFormat="1" ht="25.2" customHeight="1">
      <c r="A14" s="104" t="s">
        <v>101</v>
      </c>
      <c r="B14" s="106" t="s">
        <v>72</v>
      </c>
      <c r="C14" s="34"/>
      <c r="D14" s="35"/>
      <c r="E14" s="35"/>
      <c r="F14" s="35"/>
      <c r="G14" s="35"/>
      <c r="H14" s="35"/>
      <c r="I14" s="34" t="s">
        <v>72</v>
      </c>
      <c r="J14" s="35"/>
      <c r="M14" s="4"/>
      <c r="N14" s="133" t="s">
        <v>316</v>
      </c>
      <c r="O14" s="105" t="s">
        <v>265</v>
      </c>
      <c r="P14" s="161" t="s">
        <v>302</v>
      </c>
    </row>
    <row r="15" spans="1:16" s="2" customFormat="1" ht="25.2" customHeight="1">
      <c r="A15" s="104" t="s">
        <v>102</v>
      </c>
      <c r="B15" s="235" t="s">
        <v>72</v>
      </c>
      <c r="C15" s="34"/>
      <c r="D15" s="35"/>
      <c r="E15" s="35"/>
      <c r="F15" s="35"/>
      <c r="G15" s="35"/>
      <c r="H15" s="35"/>
      <c r="I15" s="35"/>
      <c r="J15" s="236" t="s">
        <v>72</v>
      </c>
      <c r="L15" s="1"/>
      <c r="M15" s="4"/>
      <c r="N15" s="133" t="s">
        <v>644</v>
      </c>
      <c r="P15" s="161" t="s">
        <v>302</v>
      </c>
    </row>
    <row r="16" spans="1:16" s="2" customFormat="1" ht="25.2" customHeight="1">
      <c r="A16" s="104" t="s">
        <v>102</v>
      </c>
      <c r="B16" s="248" t="s">
        <v>72</v>
      </c>
      <c r="C16" s="34"/>
      <c r="D16" s="249"/>
      <c r="E16" s="35"/>
      <c r="F16" s="35"/>
      <c r="G16" s="35"/>
      <c r="H16" s="35"/>
      <c r="I16" s="35"/>
      <c r="J16" s="236"/>
      <c r="L16" s="250" t="s">
        <v>652</v>
      </c>
      <c r="M16" s="250" t="s">
        <v>653</v>
      </c>
      <c r="N16" s="133" t="s">
        <v>387</v>
      </c>
      <c r="O16" s="16"/>
      <c r="P16" s="161" t="s">
        <v>302</v>
      </c>
    </row>
    <row r="17" spans="1:16" s="2" customFormat="1" ht="25.2" customHeight="1">
      <c r="A17" s="104" t="s">
        <v>102</v>
      </c>
      <c r="B17" s="34"/>
      <c r="C17" s="34"/>
      <c r="D17" s="35"/>
      <c r="E17" s="35"/>
      <c r="F17" s="35"/>
      <c r="G17" s="35"/>
      <c r="H17" s="35"/>
      <c r="I17" s="35"/>
      <c r="J17" s="35"/>
      <c r="L17" s="250" t="s">
        <v>654</v>
      </c>
      <c r="M17" s="250" t="s">
        <v>653</v>
      </c>
      <c r="N17" s="133" t="s">
        <v>387</v>
      </c>
      <c r="O17" s="11"/>
      <c r="P17" s="161" t="s">
        <v>302</v>
      </c>
    </row>
    <row r="18" spans="1:16" s="2" customFormat="1" ht="25.2" customHeight="1">
      <c r="A18" s="104" t="s">
        <v>103</v>
      </c>
      <c r="B18" s="34"/>
      <c r="C18" s="34"/>
      <c r="D18" s="35"/>
      <c r="E18" s="35"/>
      <c r="F18" s="35"/>
      <c r="G18" s="35"/>
      <c r="H18" s="35"/>
      <c r="I18" s="35"/>
      <c r="J18" s="35"/>
      <c r="L18" s="1"/>
      <c r="M18" s="4"/>
      <c r="N18" s="133"/>
      <c r="O18" s="11"/>
      <c r="P18" s="160"/>
    </row>
    <row r="19" spans="1:16" s="2" customFormat="1" ht="25.2" customHeight="1">
      <c r="A19" s="104"/>
      <c r="B19" s="34"/>
      <c r="C19" s="34"/>
      <c r="D19" s="35"/>
      <c r="E19" s="35"/>
      <c r="F19" s="35"/>
      <c r="G19" s="35"/>
      <c r="H19" s="35"/>
      <c r="I19" s="35"/>
      <c r="J19" s="35"/>
      <c r="L19" s="1"/>
      <c r="M19" s="4"/>
      <c r="N19" s="133"/>
      <c r="O19" s="11"/>
    </row>
    <row r="20" spans="1:16" s="2" customFormat="1" ht="25.2" customHeight="1">
      <c r="A20" s="28"/>
      <c r="B20" s="34"/>
      <c r="C20" s="34"/>
      <c r="D20" s="35"/>
      <c r="E20" s="35"/>
      <c r="F20" s="35"/>
      <c r="G20" s="35"/>
      <c r="H20" s="35"/>
      <c r="I20" s="35"/>
      <c r="J20" s="35"/>
      <c r="L20" s="1"/>
      <c r="M20" s="4"/>
      <c r="N20" s="133"/>
      <c r="O20" s="11"/>
    </row>
    <row r="21" spans="1:16" s="2" customFormat="1" ht="25.2" customHeight="1">
      <c r="A21" s="28"/>
      <c r="B21" s="34"/>
      <c r="C21" s="34"/>
      <c r="D21" s="35"/>
      <c r="E21" s="35"/>
      <c r="F21" s="35"/>
      <c r="G21" s="35"/>
      <c r="H21" s="35"/>
      <c r="I21" s="35"/>
      <c r="J21" s="35"/>
      <c r="L21" s="1"/>
      <c r="M21" s="4"/>
      <c r="N21" s="133"/>
      <c r="O21" s="11"/>
    </row>
    <row r="22" spans="1:16" s="2" customFormat="1" ht="25.2" customHeight="1">
      <c r="A22" s="28"/>
      <c r="B22" s="34"/>
      <c r="C22" s="34"/>
      <c r="D22" s="35"/>
      <c r="E22" s="35"/>
      <c r="F22" s="35"/>
      <c r="G22" s="35"/>
      <c r="H22" s="35"/>
      <c r="I22" s="35"/>
      <c r="J22" s="35"/>
      <c r="L22" s="1"/>
      <c r="M22" s="4"/>
      <c r="N22" s="133"/>
      <c r="O22" s="11"/>
    </row>
    <row r="23" spans="1:16" s="2" customFormat="1" ht="25.2" customHeight="1">
      <c r="A23" s="28"/>
      <c r="B23" s="34"/>
      <c r="C23" s="34"/>
      <c r="D23" s="35"/>
      <c r="E23" s="35"/>
      <c r="F23" s="35"/>
      <c r="G23" s="35"/>
      <c r="H23" s="35"/>
      <c r="I23" s="35"/>
      <c r="J23" s="35"/>
      <c r="L23" s="1"/>
      <c r="M23" s="4"/>
      <c r="N23" s="133"/>
      <c r="O23" s="11"/>
    </row>
    <row r="24" spans="1:16" s="2" customFormat="1" ht="25.2" customHeight="1">
      <c r="A24" s="28"/>
      <c r="B24" s="34"/>
      <c r="C24" s="34"/>
      <c r="D24" s="35"/>
      <c r="E24" s="35"/>
      <c r="F24" s="35"/>
      <c r="G24" s="35"/>
      <c r="H24" s="35"/>
      <c r="I24" s="35"/>
      <c r="J24" s="35"/>
      <c r="L24" s="1"/>
      <c r="M24" s="4"/>
      <c r="N24" s="133"/>
      <c r="O24" s="11"/>
    </row>
    <row r="25" spans="1:16" s="2" customFormat="1" ht="25.2" customHeight="1">
      <c r="A25" s="28"/>
      <c r="B25" s="34"/>
      <c r="C25" s="34"/>
      <c r="D25" s="35"/>
      <c r="E25" s="35"/>
      <c r="F25" s="35"/>
      <c r="G25" s="35"/>
      <c r="H25" s="35"/>
      <c r="I25" s="35"/>
      <c r="J25" s="35"/>
      <c r="L25" s="1"/>
      <c r="M25" s="4"/>
      <c r="N25" s="133"/>
      <c r="O25" s="11"/>
    </row>
    <row r="26" spans="1:16" s="2" customFormat="1" ht="25.2" customHeight="1">
      <c r="A26" s="28"/>
      <c r="B26" s="34"/>
      <c r="C26" s="34"/>
      <c r="D26" s="35"/>
      <c r="E26" s="35"/>
      <c r="F26" s="35"/>
      <c r="G26" s="35"/>
      <c r="H26" s="35"/>
      <c r="I26" s="35"/>
      <c r="J26" s="35"/>
      <c r="L26" s="1"/>
      <c r="M26" s="4"/>
      <c r="N26" s="133"/>
      <c r="O26" s="11"/>
    </row>
    <row r="27" spans="1:16" s="2" customFormat="1" ht="25.2" customHeight="1">
      <c r="A27" s="28"/>
      <c r="B27" s="34"/>
      <c r="C27" s="34"/>
      <c r="D27" s="35"/>
      <c r="E27" s="35"/>
      <c r="F27" s="35"/>
      <c r="G27" s="35"/>
      <c r="H27" s="35"/>
      <c r="I27" s="35"/>
      <c r="J27" s="35"/>
      <c r="L27" s="1"/>
      <c r="M27" s="4"/>
      <c r="N27" s="133"/>
      <c r="O27" s="11"/>
    </row>
    <row r="28" spans="1:16" s="2" customFormat="1" ht="25.2" customHeight="1">
      <c r="A28" s="28"/>
      <c r="B28" s="34"/>
      <c r="C28" s="34"/>
      <c r="D28" s="35"/>
      <c r="E28" s="35"/>
      <c r="F28" s="35"/>
      <c r="G28" s="35"/>
      <c r="H28" s="35"/>
      <c r="I28" s="35"/>
      <c r="J28" s="35"/>
      <c r="L28" s="1"/>
      <c r="M28" s="4"/>
      <c r="N28" s="133"/>
      <c r="O28" s="11"/>
    </row>
    <row r="29" spans="1:16" s="2" customFormat="1" ht="25.2" customHeight="1">
      <c r="A29" s="28"/>
      <c r="B29" s="34"/>
      <c r="C29" s="34"/>
      <c r="D29" s="35"/>
      <c r="E29" s="35"/>
      <c r="F29" s="35"/>
      <c r="G29" s="35"/>
      <c r="H29" s="35"/>
      <c r="I29" s="35"/>
      <c r="J29" s="35"/>
      <c r="L29" s="1"/>
      <c r="M29" s="4"/>
      <c r="N29" s="133"/>
      <c r="O29" s="11"/>
    </row>
    <row r="30" spans="1:16" s="2" customFormat="1" ht="25.2" customHeight="1">
      <c r="A30" s="28"/>
      <c r="B30" s="34"/>
      <c r="C30" s="34"/>
      <c r="D30" s="35"/>
      <c r="E30" s="35"/>
      <c r="F30" s="35"/>
      <c r="G30" s="35"/>
      <c r="H30" s="35"/>
      <c r="I30" s="35"/>
      <c r="J30" s="35"/>
      <c r="L30" s="1"/>
      <c r="M30" s="4"/>
      <c r="N30" s="133"/>
      <c r="O30" s="11"/>
    </row>
    <row r="31" spans="1:16" s="2" customFormat="1" ht="25.2" customHeight="1">
      <c r="A31" s="28"/>
      <c r="B31" s="34"/>
      <c r="C31" s="34"/>
      <c r="D31" s="35"/>
      <c r="E31" s="35"/>
      <c r="F31" s="35"/>
      <c r="G31" s="35"/>
      <c r="H31" s="35"/>
      <c r="I31" s="35"/>
      <c r="J31" s="35"/>
      <c r="L31" s="1"/>
      <c r="M31" s="4"/>
      <c r="N31" s="133"/>
      <c r="O31" s="11"/>
    </row>
    <row r="32" spans="1:16" s="2" customFormat="1" ht="25.2" customHeight="1">
      <c r="A32" s="28"/>
      <c r="B32" s="34"/>
      <c r="C32" s="34"/>
      <c r="D32" s="35"/>
      <c r="E32" s="35"/>
      <c r="F32" s="35"/>
      <c r="G32" s="35"/>
      <c r="H32" s="35"/>
      <c r="I32" s="35"/>
      <c r="J32" s="35"/>
      <c r="L32" s="1"/>
      <c r="M32" s="4"/>
      <c r="N32" s="133"/>
      <c r="O32" s="11"/>
    </row>
    <row r="33" spans="1:15" s="2" customFormat="1" ht="25.2" customHeight="1">
      <c r="A33" s="28"/>
      <c r="B33" s="34"/>
      <c r="C33" s="34"/>
      <c r="D33" s="35"/>
      <c r="E33" s="35"/>
      <c r="F33" s="35"/>
      <c r="G33" s="35"/>
      <c r="H33" s="35"/>
      <c r="I33" s="35"/>
      <c r="J33" s="35"/>
      <c r="L33" s="1"/>
      <c r="M33" s="4"/>
      <c r="N33" s="133"/>
      <c r="O33" s="11"/>
    </row>
    <row r="34" spans="1:15" s="2" customFormat="1" ht="25.2" customHeight="1">
      <c r="A34" s="28"/>
      <c r="B34" s="34"/>
      <c r="C34" s="34"/>
      <c r="D34" s="35"/>
      <c r="E34" s="35"/>
      <c r="F34" s="35"/>
      <c r="G34" s="35"/>
      <c r="H34" s="35"/>
      <c r="I34" s="35"/>
      <c r="J34" s="35"/>
      <c r="L34" s="1"/>
      <c r="M34" s="4"/>
      <c r="N34" s="133"/>
      <c r="O34" s="11"/>
    </row>
    <row r="35" spans="1:15" s="2" customFormat="1" ht="25.2" customHeight="1">
      <c r="A35" s="28"/>
      <c r="B35" s="34"/>
      <c r="C35" s="34"/>
      <c r="D35" s="35"/>
      <c r="E35" s="35"/>
      <c r="F35" s="35"/>
      <c r="G35" s="35"/>
      <c r="H35" s="35"/>
      <c r="I35" s="35"/>
      <c r="J35" s="35"/>
      <c r="L35" s="1"/>
      <c r="M35" s="4"/>
      <c r="N35" s="133"/>
      <c r="O35" s="11"/>
    </row>
    <row r="36" spans="1:15" s="2" customFormat="1" ht="25.2" customHeight="1">
      <c r="A36" s="28"/>
      <c r="B36" s="34"/>
      <c r="C36" s="34"/>
      <c r="D36" s="35"/>
      <c r="E36" s="35"/>
      <c r="F36" s="35"/>
      <c r="G36" s="35"/>
      <c r="H36" s="35"/>
      <c r="I36" s="35"/>
      <c r="K36" s="35"/>
      <c r="L36" s="1"/>
      <c r="M36" s="4"/>
      <c r="N36" s="133"/>
      <c r="O36" s="11"/>
    </row>
    <row r="37" spans="1:15" s="2" customFormat="1" ht="25.2" customHeight="1">
      <c r="A37" s="28"/>
      <c r="B37" s="34"/>
      <c r="C37" s="34"/>
      <c r="D37" s="35"/>
      <c r="E37" s="35"/>
      <c r="F37" s="35"/>
      <c r="G37" s="35"/>
      <c r="H37" s="35"/>
      <c r="I37" s="35"/>
      <c r="J37" s="35"/>
      <c r="L37" s="1"/>
      <c r="M37" s="4"/>
      <c r="N37" s="133"/>
      <c r="O37" s="11"/>
    </row>
    <row r="38" spans="1:15" s="2" customFormat="1" ht="25.2" customHeight="1">
      <c r="A38" s="28"/>
      <c r="B38" s="34"/>
      <c r="C38" s="34"/>
      <c r="D38" s="35"/>
      <c r="E38" s="35"/>
      <c r="F38" s="35"/>
      <c r="G38" s="35"/>
      <c r="H38" s="35"/>
      <c r="I38" s="35"/>
      <c r="J38" s="35"/>
      <c r="L38" s="1"/>
      <c r="M38" s="4"/>
      <c r="N38" s="133"/>
      <c r="O38" s="11"/>
    </row>
    <row r="39" spans="1:15" s="2" customFormat="1" ht="25.2" customHeight="1">
      <c r="A39" s="28"/>
      <c r="B39" s="34"/>
      <c r="C39" s="34"/>
      <c r="D39" s="35"/>
      <c r="E39" s="35"/>
      <c r="F39" s="35"/>
      <c r="G39" s="35"/>
      <c r="H39" s="35"/>
      <c r="I39" s="35"/>
      <c r="J39" s="35"/>
      <c r="L39" s="1"/>
      <c r="M39" s="4"/>
      <c r="N39" s="133"/>
      <c r="O39" s="11"/>
    </row>
    <row r="40" spans="1:15" s="2" customFormat="1" ht="25.2" customHeight="1">
      <c r="A40" s="28"/>
      <c r="B40" s="34"/>
      <c r="C40" s="34"/>
      <c r="D40" s="35"/>
      <c r="E40" s="35"/>
      <c r="F40" s="35"/>
      <c r="G40" s="35"/>
      <c r="H40" s="35"/>
      <c r="I40" s="35"/>
      <c r="J40" s="35"/>
      <c r="L40" s="1"/>
      <c r="M40" s="4"/>
      <c r="N40" s="133"/>
      <c r="O40" s="11"/>
    </row>
    <row r="41" spans="1:15" s="2" customFormat="1" ht="25.2" customHeight="1">
      <c r="A41" s="28"/>
      <c r="B41" s="34"/>
      <c r="C41" s="34"/>
      <c r="D41" s="35"/>
      <c r="E41" s="35"/>
      <c r="F41" s="35"/>
      <c r="G41" s="35"/>
      <c r="H41" s="35"/>
      <c r="I41" s="35"/>
      <c r="J41" s="35"/>
      <c r="L41" s="1"/>
      <c r="M41" s="4"/>
      <c r="N41" s="133"/>
      <c r="O41" s="11"/>
    </row>
    <row r="42" spans="1:15" s="2" customFormat="1" ht="25.2" customHeight="1">
      <c r="A42" s="28"/>
      <c r="B42" s="34"/>
      <c r="C42" s="34"/>
      <c r="D42" s="35"/>
      <c r="E42" s="35"/>
      <c r="F42" s="35"/>
      <c r="G42" s="35"/>
      <c r="H42" s="35"/>
      <c r="I42" s="35"/>
      <c r="J42" s="35"/>
      <c r="L42" s="1"/>
      <c r="M42" s="4"/>
      <c r="N42" s="133"/>
      <c r="O42" s="11"/>
    </row>
    <row r="43" spans="1:15" s="2" customFormat="1" ht="25.2" customHeight="1">
      <c r="A43" s="28"/>
      <c r="B43" s="34"/>
      <c r="C43" s="34"/>
      <c r="D43" s="35"/>
      <c r="E43" s="35"/>
      <c r="F43" s="35"/>
      <c r="G43" s="35"/>
      <c r="H43" s="35"/>
      <c r="I43" s="35"/>
      <c r="J43" s="35"/>
      <c r="L43" s="1"/>
      <c r="M43" s="4"/>
      <c r="N43" s="133"/>
      <c r="O43" s="11"/>
    </row>
    <row r="44" spans="1:15" s="2" customFormat="1" ht="25.2" customHeight="1">
      <c r="A44" s="28"/>
      <c r="B44" s="34"/>
      <c r="C44" s="34"/>
      <c r="D44" s="35"/>
      <c r="E44" s="35"/>
      <c r="F44" s="35"/>
      <c r="G44" s="35"/>
      <c r="H44" s="35"/>
      <c r="I44" s="35"/>
      <c r="J44" s="35"/>
      <c r="L44" s="1"/>
      <c r="M44" s="4"/>
      <c r="N44" s="133"/>
      <c r="O44" s="11"/>
    </row>
    <row r="45" spans="1:15" s="2" customFormat="1" ht="25.2" customHeight="1">
      <c r="A45" s="28"/>
      <c r="B45" s="34"/>
      <c r="C45" s="34"/>
      <c r="D45" s="35"/>
      <c r="E45" s="35"/>
      <c r="F45" s="35"/>
      <c r="G45" s="35"/>
      <c r="H45" s="35"/>
      <c r="I45" s="35"/>
      <c r="J45" s="35"/>
      <c r="L45" s="1"/>
      <c r="M45" s="4"/>
      <c r="N45" s="133"/>
      <c r="O45" s="11"/>
    </row>
    <row r="46" spans="1:15" s="2" customFormat="1" ht="25.2" customHeight="1">
      <c r="A46" s="28"/>
      <c r="B46" s="34"/>
      <c r="C46" s="34"/>
      <c r="D46" s="35"/>
      <c r="E46" s="35"/>
      <c r="F46" s="35"/>
      <c r="G46" s="35"/>
      <c r="H46" s="35"/>
      <c r="I46" s="35"/>
      <c r="J46" s="35"/>
      <c r="L46" s="1"/>
      <c r="M46" s="4"/>
      <c r="N46" s="133"/>
      <c r="O46" s="11"/>
    </row>
    <row r="47" spans="1:15" s="2" customFormat="1" ht="25.2" customHeight="1">
      <c r="A47" s="28"/>
      <c r="B47" s="34"/>
      <c r="C47" s="34"/>
      <c r="D47" s="35"/>
      <c r="E47" s="35"/>
      <c r="F47" s="35"/>
      <c r="G47" s="35"/>
      <c r="H47" s="35"/>
      <c r="I47" s="35"/>
      <c r="J47" s="35"/>
      <c r="L47" s="1"/>
      <c r="M47" s="4"/>
      <c r="N47" s="133"/>
      <c r="O47" s="11"/>
    </row>
    <row r="48" spans="1:15" s="2" customFormat="1" ht="25.2" customHeight="1">
      <c r="A48" s="28"/>
      <c r="B48" s="34"/>
      <c r="C48" s="34"/>
      <c r="D48" s="35"/>
      <c r="E48" s="35"/>
      <c r="F48" s="35"/>
      <c r="G48" s="35"/>
      <c r="H48" s="35"/>
      <c r="I48" s="35"/>
      <c r="J48" s="35"/>
      <c r="L48" s="1"/>
      <c r="M48" s="4"/>
      <c r="N48" s="133"/>
      <c r="O48" s="11"/>
    </row>
    <row r="49" spans="1:15" s="2" customFormat="1" ht="25.2" customHeight="1">
      <c r="A49" s="28"/>
      <c r="B49" s="34"/>
      <c r="C49" s="34"/>
      <c r="D49" s="35"/>
      <c r="E49" s="35"/>
      <c r="F49" s="35"/>
      <c r="G49" s="35"/>
      <c r="H49" s="35"/>
      <c r="I49" s="35"/>
      <c r="J49" s="35"/>
      <c r="L49" s="1"/>
      <c r="M49" s="4"/>
      <c r="N49" s="133"/>
      <c r="O49" s="11"/>
    </row>
    <row r="50" spans="1:15" s="2" customFormat="1" ht="25.2" customHeight="1">
      <c r="A50" s="28"/>
      <c r="B50" s="34"/>
      <c r="C50" s="34"/>
      <c r="D50" s="35"/>
      <c r="E50" s="35"/>
      <c r="F50" s="35"/>
      <c r="G50" s="35"/>
      <c r="H50" s="35"/>
      <c r="I50" s="35"/>
      <c r="J50" s="35"/>
      <c r="L50" s="1"/>
      <c r="M50" s="4"/>
      <c r="N50" s="133"/>
      <c r="O50" s="11"/>
    </row>
  </sheetData>
  <hyperlinks>
    <hyperlink ref="N3" r:id="rId1" xr:uid="{051A71EE-8542-4DF3-B6BD-CAEEC4CEDBFD}"/>
    <hyperlink ref="N4" r:id="rId2" xr:uid="{D16F46CC-C673-48D1-9D3C-8EFD60A3439D}"/>
    <hyperlink ref="N5" r:id="rId3" xr:uid="{8BEAC210-6C49-464D-8201-792802E730D2}"/>
    <hyperlink ref="N6" r:id="rId4" xr:uid="{01367543-84FD-4A24-A4C2-C3365D6B9607}"/>
    <hyperlink ref="N7" r:id="rId5" xr:uid="{5D89E9E7-78D8-467A-89B3-F9CB65CC30F1}"/>
    <hyperlink ref="N8" r:id="rId6" xr:uid="{20A55DD2-4785-4061-990E-C2EF7DC1C62E}"/>
    <hyperlink ref="N9" r:id="rId7" xr:uid="{55244B3D-D899-4B95-B266-9455A7AA37D3}"/>
    <hyperlink ref="N10" r:id="rId8" xr:uid="{3C2F03C4-CD82-4151-B75A-4C8975857353}"/>
    <hyperlink ref="N11" r:id="rId9" xr:uid="{F61AE27F-72D7-4548-A046-8C1BC9502003}"/>
    <hyperlink ref="N12" r:id="rId10" xr:uid="{C449AFBA-C88C-4DCD-B5AB-E46CDA48A7A2}"/>
    <hyperlink ref="N13" r:id="rId11" xr:uid="{4E04C605-FF0A-496A-91EA-EF6C79407F3A}"/>
    <hyperlink ref="N14" r:id="rId12" xr:uid="{B7A5D41D-64DA-4304-848E-F055E6A28C27}"/>
    <hyperlink ref="N15" r:id="rId13" xr:uid="{EFE38B47-B26C-49A3-8C11-DCC8F84B7431}"/>
    <hyperlink ref="N16" r:id="rId14" xr:uid="{07F8E028-BACF-4CA9-95BB-CCBCC5FBFCE7}"/>
    <hyperlink ref="N17" r:id="rId15" xr:uid="{25638303-BCA0-4BEA-BCB0-44B45CE98218}"/>
  </hyperlinks>
  <pageMargins left="0.7" right="0.7" top="0.78740157499999996" bottom="0.78740157499999996" header="0.3" footer="0.3"/>
  <pageSetup paperSize="9" orientation="portrait" r:id="rId16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B3CAE9-9B79-4DA7-918D-2FD2C40EFFEF}">
  <sheetPr codeName="Tabelle8"/>
  <dimension ref="A1:T62"/>
  <sheetViews>
    <sheetView tabSelected="1" topLeftCell="G1" workbookViewId="0">
      <pane ySplit="1" topLeftCell="A11" activePane="bottomLeft" state="frozen"/>
      <selection activeCell="A3" sqref="A3:XFD3"/>
      <selection pane="bottomLeft" activeCell="Q13" sqref="Q13"/>
    </sheetView>
  </sheetViews>
  <sheetFormatPr baseColWidth="10" defaultColWidth="11.5546875" defaultRowHeight="15.6"/>
  <cols>
    <col min="1" max="1" width="8.33203125" style="20" customWidth="1"/>
    <col min="2" max="10" width="3.6640625" style="38" bestFit="1" customWidth="1"/>
    <col min="11" max="11" width="6.6640625" bestFit="1" customWidth="1"/>
    <col min="12" max="12" width="36.33203125" style="84" bestFit="1" customWidth="1"/>
    <col min="13" max="13" width="23.109375" style="84" customWidth="1"/>
    <col min="14" max="14" width="22.109375" style="17" customWidth="1"/>
    <col min="15" max="15" width="34.5546875" style="19" bestFit="1" customWidth="1"/>
    <col min="16" max="16" width="10.6640625" style="17" customWidth="1"/>
    <col min="17" max="17" width="8.88671875" style="358" customWidth="1"/>
    <col min="18" max="16384" width="11.5546875" style="17"/>
  </cols>
  <sheetData>
    <row r="1" spans="1:20" s="15" customFormat="1" ht="55.2" customHeight="1">
      <c r="A1" s="21" t="s">
        <v>96</v>
      </c>
      <c r="B1" s="259" t="s">
        <v>109</v>
      </c>
      <c r="C1" s="259" t="s">
        <v>136</v>
      </c>
      <c r="D1" s="259" t="s">
        <v>137</v>
      </c>
      <c r="E1" s="259" t="s">
        <v>224</v>
      </c>
      <c r="F1" s="259" t="s">
        <v>138</v>
      </c>
      <c r="G1" s="259" t="s">
        <v>146</v>
      </c>
      <c r="H1" s="259" t="s">
        <v>195</v>
      </c>
      <c r="I1" s="259" t="s">
        <v>235</v>
      </c>
      <c r="J1" s="259" t="s">
        <v>223</v>
      </c>
      <c r="K1" s="259" t="s">
        <v>390</v>
      </c>
      <c r="L1" s="82" t="s">
        <v>70</v>
      </c>
      <c r="M1" s="82" t="s">
        <v>71</v>
      </c>
      <c r="N1" s="25" t="s">
        <v>14</v>
      </c>
      <c r="O1" s="26" t="s">
        <v>97</v>
      </c>
      <c r="Q1" s="358"/>
    </row>
    <row r="2" spans="1:20" s="2" customFormat="1" ht="25.2" customHeight="1">
      <c r="A2" s="27" t="s">
        <v>104</v>
      </c>
      <c r="B2" s="32"/>
      <c r="C2" s="32"/>
      <c r="D2" s="33"/>
      <c r="E2" s="33"/>
      <c r="F2" s="33"/>
      <c r="G2" s="33"/>
      <c r="H2" s="33"/>
      <c r="I2" s="33"/>
      <c r="J2" s="33"/>
      <c r="L2" s="83"/>
      <c r="M2" s="93" t="s">
        <v>47</v>
      </c>
      <c r="N2" s="15"/>
      <c r="O2" s="16"/>
      <c r="Q2" s="358"/>
    </row>
    <row r="3" spans="1:20" s="2" customFormat="1" ht="25.2" customHeight="1">
      <c r="A3" s="28" t="s">
        <v>102</v>
      </c>
      <c r="B3" s="34" t="s">
        <v>72</v>
      </c>
      <c r="C3" s="34" t="s">
        <v>72</v>
      </c>
      <c r="D3" s="35" t="s">
        <v>72</v>
      </c>
      <c r="E3" s="35"/>
      <c r="F3" s="35"/>
      <c r="G3" s="35"/>
      <c r="H3" s="35"/>
      <c r="I3" s="35"/>
      <c r="J3" s="35"/>
      <c r="L3" s="1" t="s">
        <v>39</v>
      </c>
      <c r="M3" s="89"/>
      <c r="N3" s="133" t="s">
        <v>170</v>
      </c>
      <c r="O3" s="16"/>
      <c r="P3" s="161" t="s">
        <v>302</v>
      </c>
      <c r="Q3" s="358"/>
    </row>
    <row r="4" spans="1:20" s="2" customFormat="1" ht="25.2" customHeight="1">
      <c r="A4" s="28" t="s">
        <v>102</v>
      </c>
      <c r="B4" s="34" t="s">
        <v>72</v>
      </c>
      <c r="C4" s="34" t="s">
        <v>72</v>
      </c>
      <c r="D4" s="35" t="s">
        <v>72</v>
      </c>
      <c r="E4" s="35"/>
      <c r="F4" s="35"/>
      <c r="G4" s="35"/>
      <c r="H4" s="35"/>
      <c r="I4" s="35"/>
      <c r="J4" s="35"/>
      <c r="L4" s="1" t="s">
        <v>45</v>
      </c>
      <c r="M4" s="89"/>
      <c r="N4" s="133" t="s">
        <v>171</v>
      </c>
      <c r="O4" s="16"/>
      <c r="P4" s="161" t="s">
        <v>302</v>
      </c>
      <c r="Q4" s="358"/>
    </row>
    <row r="5" spans="1:20" s="2" customFormat="1" ht="25.2" customHeight="1">
      <c r="A5" s="28" t="s">
        <v>102</v>
      </c>
      <c r="B5" s="34" t="s">
        <v>72</v>
      </c>
      <c r="C5" s="34" t="s">
        <v>72</v>
      </c>
      <c r="D5" s="35" t="s">
        <v>72</v>
      </c>
      <c r="E5" s="35"/>
      <c r="F5" s="35"/>
      <c r="G5" s="35"/>
      <c r="H5" s="35"/>
      <c r="I5" s="35"/>
      <c r="J5" s="35"/>
      <c r="L5" s="1" t="s">
        <v>24</v>
      </c>
      <c r="M5" s="89"/>
      <c r="N5" s="133" t="s">
        <v>172</v>
      </c>
      <c r="O5" s="16"/>
      <c r="P5" s="329" t="s">
        <v>302</v>
      </c>
      <c r="Q5" s="358"/>
    </row>
    <row r="6" spans="1:20" s="2" customFormat="1" ht="25.2" customHeight="1">
      <c r="A6" s="28" t="s">
        <v>102</v>
      </c>
      <c r="B6" s="34" t="s">
        <v>72</v>
      </c>
      <c r="C6" s="34" t="s">
        <v>72</v>
      </c>
      <c r="D6" s="35" t="s">
        <v>72</v>
      </c>
      <c r="E6" s="35"/>
      <c r="F6" s="35"/>
      <c r="G6" s="35"/>
      <c r="H6" s="35"/>
      <c r="I6" s="35"/>
      <c r="J6" s="35"/>
      <c r="L6" s="1" t="s">
        <v>46</v>
      </c>
      <c r="M6" s="89"/>
      <c r="N6" s="133" t="s">
        <v>173</v>
      </c>
      <c r="O6" s="16"/>
      <c r="P6" s="161" t="s">
        <v>302</v>
      </c>
      <c r="Q6" s="358"/>
    </row>
    <row r="7" spans="1:20" s="2" customFormat="1" ht="25.2" customHeight="1">
      <c r="A7" s="28" t="s">
        <v>102</v>
      </c>
      <c r="B7" s="34" t="s">
        <v>72</v>
      </c>
      <c r="C7" s="34"/>
      <c r="D7" s="35" t="s">
        <v>72</v>
      </c>
      <c r="E7" s="35"/>
      <c r="F7" s="35"/>
      <c r="G7" s="35"/>
      <c r="H7" s="35"/>
      <c r="I7" s="35"/>
      <c r="J7" s="35"/>
      <c r="L7" s="1" t="s">
        <v>4</v>
      </c>
      <c r="M7" s="89"/>
      <c r="N7" s="133" t="s">
        <v>174</v>
      </c>
      <c r="O7" s="16"/>
      <c r="P7" s="161" t="s">
        <v>302</v>
      </c>
      <c r="Q7" s="358"/>
    </row>
    <row r="8" spans="1:20" s="2" customFormat="1" ht="25.2" customHeight="1">
      <c r="A8" s="28" t="s">
        <v>102</v>
      </c>
      <c r="B8" s="34" t="s">
        <v>72</v>
      </c>
      <c r="C8" s="34"/>
      <c r="D8" s="35" t="s">
        <v>72</v>
      </c>
      <c r="E8" s="35"/>
      <c r="F8" s="35"/>
      <c r="G8" s="35"/>
      <c r="H8" s="35"/>
      <c r="I8" s="35"/>
      <c r="J8" s="35"/>
      <c r="L8" s="1" t="s">
        <v>33</v>
      </c>
      <c r="M8" s="89"/>
      <c r="N8" s="133" t="s">
        <v>174</v>
      </c>
      <c r="O8" s="16"/>
      <c r="P8" s="161" t="s">
        <v>302</v>
      </c>
      <c r="Q8" s="358"/>
    </row>
    <row r="9" spans="1:20" s="2" customFormat="1" ht="25.2" customHeight="1">
      <c r="A9" s="28" t="s">
        <v>102</v>
      </c>
      <c r="B9" s="34" t="s">
        <v>72</v>
      </c>
      <c r="C9" s="41"/>
      <c r="D9" s="42" t="s">
        <v>72</v>
      </c>
      <c r="E9" s="42"/>
      <c r="F9" s="42"/>
      <c r="G9" s="42"/>
      <c r="H9" s="42"/>
      <c r="I9" s="42"/>
      <c r="J9" s="42"/>
      <c r="L9" s="1" t="s">
        <v>141</v>
      </c>
      <c r="M9" s="89"/>
      <c r="N9" s="133" t="s">
        <v>175</v>
      </c>
      <c r="O9" s="16"/>
      <c r="P9" s="161" t="s">
        <v>302</v>
      </c>
      <c r="Q9" s="358"/>
    </row>
    <row r="10" spans="1:20" s="2" customFormat="1" ht="26.4" customHeight="1">
      <c r="A10" s="28" t="s">
        <v>102</v>
      </c>
      <c r="B10" s="34" t="s">
        <v>72</v>
      </c>
      <c r="C10" s="41"/>
      <c r="D10" s="42"/>
      <c r="E10" s="42"/>
      <c r="F10" s="42"/>
      <c r="G10" s="42"/>
      <c r="H10" s="42"/>
      <c r="I10" s="42"/>
      <c r="J10" s="42"/>
      <c r="L10" s="1" t="s">
        <v>44</v>
      </c>
      <c r="M10" s="1"/>
      <c r="N10" s="133" t="s">
        <v>175</v>
      </c>
      <c r="O10" s="16"/>
      <c r="P10" s="161" t="s">
        <v>302</v>
      </c>
      <c r="Q10" s="358"/>
    </row>
    <row r="11" spans="1:20" s="2" customFormat="1" ht="109.2">
      <c r="A11" s="28" t="s">
        <v>102</v>
      </c>
      <c r="B11" s="34" t="s">
        <v>72</v>
      </c>
      <c r="C11" s="41"/>
      <c r="D11" s="313" t="s">
        <v>72</v>
      </c>
      <c r="E11" s="42"/>
      <c r="F11" s="42"/>
      <c r="G11" s="42"/>
      <c r="H11" s="42"/>
      <c r="I11" s="42"/>
      <c r="J11" s="42"/>
      <c r="L11" s="310" t="s">
        <v>751</v>
      </c>
      <c r="M11" s="89" t="s">
        <v>48</v>
      </c>
      <c r="N11" s="133"/>
      <c r="O11" s="16"/>
      <c r="P11" s="328" t="s">
        <v>770</v>
      </c>
      <c r="Q11" s="358" t="s">
        <v>789</v>
      </c>
      <c r="R11" s="215" t="e">
        <f>HYPERLINK("#'CCF'!A" &amp; S11, "zur Folge")</f>
        <v>#N/A</v>
      </c>
      <c r="S11" s="214" t="e">
        <f>MATCH(Q11,CCF!C:C,0)</f>
        <v>#N/A</v>
      </c>
      <c r="T11" s="14"/>
    </row>
    <row r="12" spans="1:20" s="2" customFormat="1" ht="78">
      <c r="A12" s="294" t="s">
        <v>102</v>
      </c>
      <c r="B12" s="292" t="s">
        <v>72</v>
      </c>
      <c r="C12" s="41"/>
      <c r="D12" s="313" t="s">
        <v>72</v>
      </c>
      <c r="E12" s="42"/>
      <c r="F12" s="42"/>
      <c r="G12" s="42"/>
      <c r="H12" s="42"/>
      <c r="I12" s="42"/>
      <c r="J12" s="42"/>
      <c r="L12" s="295" t="s">
        <v>738</v>
      </c>
      <c r="M12" s="295" t="s">
        <v>739</v>
      </c>
      <c r="N12" s="133"/>
      <c r="O12" s="16"/>
      <c r="P12" s="328" t="s">
        <v>770</v>
      </c>
      <c r="Q12" s="368" t="s">
        <v>790</v>
      </c>
    </row>
    <row r="13" spans="1:20" s="2" customFormat="1" ht="25.2" customHeight="1">
      <c r="A13" s="28" t="s">
        <v>102</v>
      </c>
      <c r="B13" s="34" t="s">
        <v>72</v>
      </c>
      <c r="C13" s="41"/>
      <c r="D13" s="42"/>
      <c r="E13" s="42"/>
      <c r="F13" s="42"/>
      <c r="G13" s="42"/>
      <c r="H13" s="42"/>
      <c r="I13" s="42"/>
      <c r="J13" s="42"/>
      <c r="L13" s="254" t="s">
        <v>670</v>
      </c>
      <c r="M13" s="256" t="s">
        <v>664</v>
      </c>
      <c r="N13" s="133"/>
      <c r="O13" s="1" t="s">
        <v>143</v>
      </c>
      <c r="P13" s="328" t="s">
        <v>770</v>
      </c>
      <c r="Q13" s="368" t="s">
        <v>791</v>
      </c>
    </row>
    <row r="14" spans="1:20" s="2" customFormat="1" ht="25.2" customHeight="1">
      <c r="A14" s="247" t="s">
        <v>101</v>
      </c>
      <c r="B14" s="34" t="s">
        <v>72</v>
      </c>
      <c r="C14" s="41"/>
      <c r="D14" s="42"/>
      <c r="E14" s="42"/>
      <c r="F14" s="42"/>
      <c r="G14" s="42"/>
      <c r="H14" s="42"/>
      <c r="I14" s="42"/>
      <c r="J14" s="42"/>
      <c r="M14" s="256" t="s">
        <v>664</v>
      </c>
      <c r="N14" s="133"/>
      <c r="O14" s="1" t="s">
        <v>142</v>
      </c>
      <c r="P14" s="328" t="s">
        <v>770</v>
      </c>
      <c r="Q14" s="358"/>
    </row>
    <row r="15" spans="1:20" s="2" customFormat="1" ht="25.2" customHeight="1">
      <c r="A15" s="247" t="s">
        <v>101</v>
      </c>
      <c r="B15" s="34" t="s">
        <v>72</v>
      </c>
      <c r="C15" s="41"/>
      <c r="D15" s="42"/>
      <c r="E15" s="42"/>
      <c r="F15" s="42"/>
      <c r="G15" s="42"/>
      <c r="H15" s="42"/>
      <c r="I15" s="42"/>
      <c r="J15" s="42"/>
      <c r="M15" s="256" t="s">
        <v>664</v>
      </c>
      <c r="N15" s="133"/>
      <c r="O15" s="1" t="s">
        <v>669</v>
      </c>
      <c r="P15" s="328" t="s">
        <v>770</v>
      </c>
      <c r="Q15" s="358"/>
    </row>
    <row r="16" spans="1:20" s="2" customFormat="1" ht="25.2" customHeight="1">
      <c r="A16" s="28" t="s">
        <v>102</v>
      </c>
      <c r="B16" s="41" t="s">
        <v>72</v>
      </c>
      <c r="C16" s="41"/>
      <c r="D16" s="42"/>
      <c r="E16" s="42"/>
      <c r="F16" s="42"/>
      <c r="G16" s="42"/>
      <c r="H16" s="42" t="s">
        <v>72</v>
      </c>
      <c r="I16" s="42"/>
      <c r="J16" s="42"/>
      <c r="L16" s="1" t="s">
        <v>211</v>
      </c>
      <c r="N16" s="133" t="s">
        <v>317</v>
      </c>
      <c r="O16" s="16"/>
      <c r="P16" s="161" t="s">
        <v>302</v>
      </c>
      <c r="Q16" s="358"/>
    </row>
    <row r="17" spans="1:17" s="2" customFormat="1" ht="25.2" customHeight="1">
      <c r="A17" s="28" t="s">
        <v>102</v>
      </c>
      <c r="B17" s="41" t="s">
        <v>72</v>
      </c>
      <c r="C17" s="41"/>
      <c r="D17" s="42"/>
      <c r="E17" s="42"/>
      <c r="F17" s="42"/>
      <c r="G17" s="42"/>
      <c r="H17" s="42"/>
      <c r="I17" s="41" t="s">
        <v>72</v>
      </c>
      <c r="J17" s="42"/>
      <c r="L17" s="105" t="s">
        <v>250</v>
      </c>
      <c r="N17" s="133" t="s">
        <v>318</v>
      </c>
      <c r="O17" s="16"/>
      <c r="P17" s="161" t="s">
        <v>302</v>
      </c>
      <c r="Q17" s="358"/>
    </row>
    <row r="18" spans="1:17" ht="20.100000000000001" customHeight="1">
      <c r="A18" s="104" t="s">
        <v>101</v>
      </c>
      <c r="B18" s="111" t="s">
        <v>72</v>
      </c>
      <c r="I18" s="41" t="s">
        <v>72</v>
      </c>
      <c r="K18" s="184"/>
      <c r="N18" s="133" t="s">
        <v>319</v>
      </c>
      <c r="O18" s="105" t="s">
        <v>251</v>
      </c>
      <c r="P18" s="167" t="s">
        <v>302</v>
      </c>
    </row>
    <row r="19" spans="1:17" ht="20.100000000000001" customHeight="1">
      <c r="A19" s="28" t="s">
        <v>102</v>
      </c>
      <c r="B19" s="41" t="s">
        <v>72</v>
      </c>
      <c r="I19" s="165" t="s">
        <v>72</v>
      </c>
      <c r="K19" s="184"/>
      <c r="L19" s="112" t="s">
        <v>332</v>
      </c>
      <c r="N19" s="133" t="s">
        <v>333</v>
      </c>
      <c r="P19" s="167" t="s">
        <v>302</v>
      </c>
    </row>
    <row r="20" spans="1:17" ht="19.95" customHeight="1">
      <c r="A20" s="28" t="s">
        <v>102</v>
      </c>
      <c r="B20" s="41" t="s">
        <v>72</v>
      </c>
      <c r="G20" s="38" t="s">
        <v>72</v>
      </c>
      <c r="I20" s="41"/>
      <c r="K20" s="184"/>
      <c r="L20" s="112" t="s">
        <v>433</v>
      </c>
      <c r="N20" s="133" t="s">
        <v>433</v>
      </c>
      <c r="P20" s="167" t="s">
        <v>302</v>
      </c>
    </row>
    <row r="21" spans="1:17" ht="19.95" customHeight="1">
      <c r="A21" s="28"/>
      <c r="B21" s="41"/>
      <c r="I21" s="8"/>
      <c r="K21" s="184"/>
      <c r="L21" s="112"/>
      <c r="N21" s="133"/>
      <c r="P21" s="167"/>
    </row>
    <row r="22" spans="1:17" ht="19.95" customHeight="1">
      <c r="A22" s="28" t="s">
        <v>102</v>
      </c>
      <c r="B22" s="41" t="s">
        <v>72</v>
      </c>
      <c r="G22" s="38" t="s">
        <v>72</v>
      </c>
      <c r="K22" s="184"/>
      <c r="L22" s="112" t="s">
        <v>434</v>
      </c>
      <c r="N22" s="133" t="s">
        <v>434</v>
      </c>
      <c r="P22" s="167" t="s">
        <v>302</v>
      </c>
    </row>
    <row r="23" spans="1:17" ht="19.95" customHeight="1">
      <c r="A23" s="28" t="s">
        <v>102</v>
      </c>
      <c r="B23" s="41" t="s">
        <v>72</v>
      </c>
      <c r="G23" s="38" t="s">
        <v>72</v>
      </c>
      <c r="K23" s="184"/>
      <c r="L23" s="334" t="s">
        <v>772</v>
      </c>
      <c r="M23" s="334" t="s">
        <v>146</v>
      </c>
      <c r="N23" s="133" t="s">
        <v>435</v>
      </c>
      <c r="P23" s="167" t="s">
        <v>302</v>
      </c>
    </row>
    <row r="24" spans="1:17" ht="19.95" customHeight="1">
      <c r="A24" s="333" t="s">
        <v>101</v>
      </c>
      <c r="B24" s="41" t="s">
        <v>72</v>
      </c>
      <c r="G24" s="38" t="s">
        <v>72</v>
      </c>
      <c r="K24" s="184"/>
      <c r="L24" s="112"/>
      <c r="N24" s="133" t="s">
        <v>436</v>
      </c>
      <c r="P24" s="167" t="s">
        <v>302</v>
      </c>
    </row>
    <row r="25" spans="1:17" ht="19.95" customHeight="1">
      <c r="A25" s="28" t="s">
        <v>102</v>
      </c>
      <c r="B25" s="41" t="s">
        <v>72</v>
      </c>
      <c r="G25" s="38" t="s">
        <v>72</v>
      </c>
      <c r="K25" s="184"/>
      <c r="L25" s="112" t="s">
        <v>437</v>
      </c>
      <c r="N25" s="133" t="s">
        <v>437</v>
      </c>
      <c r="P25" s="167" t="s">
        <v>302</v>
      </c>
    </row>
    <row r="26" spans="1:17" ht="19.95" customHeight="1">
      <c r="A26" s="28" t="s">
        <v>102</v>
      </c>
      <c r="B26" s="41" t="s">
        <v>72</v>
      </c>
      <c r="K26" s="184"/>
      <c r="L26" s="112" t="s">
        <v>459</v>
      </c>
      <c r="N26" s="133" t="s">
        <v>438</v>
      </c>
      <c r="P26" s="167" t="s">
        <v>302</v>
      </c>
    </row>
    <row r="27" spans="1:17" ht="19.95" customHeight="1">
      <c r="A27" s="28" t="s">
        <v>102</v>
      </c>
      <c r="B27" s="41" t="s">
        <v>72</v>
      </c>
      <c r="K27" s="184"/>
      <c r="L27" s="112" t="s">
        <v>454</v>
      </c>
      <c r="M27" s="112" t="s">
        <v>339</v>
      </c>
      <c r="N27" s="133" t="s">
        <v>439</v>
      </c>
      <c r="O27" s="112"/>
      <c r="P27" s="167" t="s">
        <v>302</v>
      </c>
    </row>
    <row r="28" spans="1:17" ht="19.95" customHeight="1">
      <c r="A28" s="28" t="s">
        <v>102</v>
      </c>
      <c r="B28" s="41" t="s">
        <v>72</v>
      </c>
      <c r="K28" s="184"/>
      <c r="L28" s="112" t="s">
        <v>455</v>
      </c>
      <c r="M28" s="112" t="s">
        <v>339</v>
      </c>
      <c r="N28" s="133" t="s">
        <v>440</v>
      </c>
      <c r="O28" s="112" t="s">
        <v>347</v>
      </c>
      <c r="P28" s="167" t="s">
        <v>302</v>
      </c>
    </row>
    <row r="29" spans="1:17" ht="19.95" customHeight="1">
      <c r="A29" s="186" t="s">
        <v>101</v>
      </c>
      <c r="B29" s="41" t="s">
        <v>72</v>
      </c>
      <c r="K29" s="184"/>
      <c r="L29" s="112"/>
      <c r="M29" s="112" t="s">
        <v>339</v>
      </c>
      <c r="N29" s="133" t="s">
        <v>441</v>
      </c>
      <c r="O29" s="112" t="s">
        <v>346</v>
      </c>
      <c r="P29" s="167" t="s">
        <v>302</v>
      </c>
    </row>
    <row r="30" spans="1:17" ht="19.95" customHeight="1">
      <c r="A30" s="28" t="s">
        <v>102</v>
      </c>
      <c r="B30" s="41" t="s">
        <v>72</v>
      </c>
      <c r="K30" s="184"/>
      <c r="L30" s="112" t="s">
        <v>453</v>
      </c>
      <c r="M30" s="112" t="s">
        <v>339</v>
      </c>
      <c r="N30" s="133" t="s">
        <v>442</v>
      </c>
      <c r="O30" s="112"/>
      <c r="P30" s="167" t="s">
        <v>302</v>
      </c>
    </row>
    <row r="31" spans="1:17" ht="19.95" customHeight="1">
      <c r="A31" s="28" t="s">
        <v>102</v>
      </c>
      <c r="B31" s="41" t="s">
        <v>72</v>
      </c>
      <c r="K31" s="184"/>
      <c r="L31" s="112" t="s">
        <v>452</v>
      </c>
      <c r="M31" s="112"/>
      <c r="N31" s="133" t="s">
        <v>443</v>
      </c>
      <c r="O31" s="112"/>
      <c r="P31" s="167" t="s">
        <v>302</v>
      </c>
    </row>
    <row r="32" spans="1:17" ht="19.95" customHeight="1">
      <c r="A32" s="28" t="s">
        <v>102</v>
      </c>
      <c r="B32" s="41" t="s">
        <v>72</v>
      </c>
      <c r="J32" s="38" t="s">
        <v>72</v>
      </c>
      <c r="K32" s="184"/>
      <c r="L32" s="196" t="s">
        <v>458</v>
      </c>
      <c r="M32" s="112" t="s">
        <v>450</v>
      </c>
      <c r="N32" s="133" t="s">
        <v>444</v>
      </c>
      <c r="O32" s="112"/>
      <c r="P32" s="167" t="s">
        <v>302</v>
      </c>
    </row>
    <row r="33" spans="1:16" ht="19.95" customHeight="1">
      <c r="A33" s="186" t="s">
        <v>102</v>
      </c>
      <c r="B33" s="41" t="s">
        <v>72</v>
      </c>
      <c r="H33" s="38" t="s">
        <v>72</v>
      </c>
      <c r="K33" s="184"/>
      <c r="L33" s="112" t="s">
        <v>451</v>
      </c>
      <c r="M33" s="112"/>
      <c r="N33" s="133" t="s">
        <v>445</v>
      </c>
      <c r="O33" s="112" t="s">
        <v>456</v>
      </c>
      <c r="P33" s="167" t="s">
        <v>302</v>
      </c>
    </row>
    <row r="34" spans="1:16" ht="19.95" customHeight="1">
      <c r="A34" s="186" t="s">
        <v>101</v>
      </c>
      <c r="B34" s="41" t="s">
        <v>72</v>
      </c>
      <c r="H34" s="38" t="s">
        <v>72</v>
      </c>
      <c r="K34" s="38"/>
      <c r="L34" s="112"/>
      <c r="M34" s="112"/>
      <c r="N34" s="133" t="s">
        <v>446</v>
      </c>
      <c r="O34" s="112" t="s">
        <v>32</v>
      </c>
      <c r="P34" s="167" t="s">
        <v>302</v>
      </c>
    </row>
    <row r="35" spans="1:16" ht="19.95" customHeight="1">
      <c r="A35" s="186" t="s">
        <v>101</v>
      </c>
      <c r="B35" s="41" t="s">
        <v>72</v>
      </c>
      <c r="H35" s="38" t="s">
        <v>72</v>
      </c>
      <c r="L35" s="112"/>
      <c r="M35" s="112"/>
      <c r="N35" s="133" t="s">
        <v>447</v>
      </c>
      <c r="O35" s="112" t="s">
        <v>457</v>
      </c>
      <c r="P35" s="167" t="s">
        <v>302</v>
      </c>
    </row>
    <row r="36" spans="1:16" ht="19.95" customHeight="1">
      <c r="A36" s="186" t="s">
        <v>101</v>
      </c>
      <c r="B36" s="41" t="s">
        <v>72</v>
      </c>
      <c r="H36" s="38" t="s">
        <v>72</v>
      </c>
      <c r="L36" s="112"/>
      <c r="M36" s="112"/>
      <c r="N36" s="133" t="s">
        <v>448</v>
      </c>
      <c r="O36" s="112" t="s">
        <v>121</v>
      </c>
      <c r="P36" s="167" t="s">
        <v>302</v>
      </c>
    </row>
    <row r="37" spans="1:16" ht="19.95" customHeight="1">
      <c r="A37" s="28" t="s">
        <v>102</v>
      </c>
      <c r="B37" s="41" t="s">
        <v>72</v>
      </c>
      <c r="K37" s="197" t="s">
        <v>72</v>
      </c>
      <c r="L37" s="112" t="s">
        <v>462</v>
      </c>
      <c r="N37" s="133" t="s">
        <v>449</v>
      </c>
      <c r="P37" s="167" t="s">
        <v>302</v>
      </c>
    </row>
    <row r="38" spans="1:16" ht="19.95" customHeight="1">
      <c r="A38" s="186" t="s">
        <v>101</v>
      </c>
      <c r="B38" s="41" t="s">
        <v>72</v>
      </c>
      <c r="K38" s="197" t="s">
        <v>72</v>
      </c>
      <c r="L38" s="112"/>
      <c r="N38" s="133" t="s">
        <v>460</v>
      </c>
      <c r="P38" s="167" t="s">
        <v>302</v>
      </c>
    </row>
    <row r="39" spans="1:16" ht="19.95" customHeight="1">
      <c r="A39" s="28" t="s">
        <v>102</v>
      </c>
      <c r="B39" s="41" t="s">
        <v>72</v>
      </c>
      <c r="K39" s="197" t="s">
        <v>72</v>
      </c>
      <c r="L39" s="112" t="s">
        <v>454</v>
      </c>
      <c r="N39" s="133" t="s">
        <v>461</v>
      </c>
      <c r="P39" s="167" t="s">
        <v>302</v>
      </c>
    </row>
    <row r="40" spans="1:16" ht="19.95" customHeight="1">
      <c r="A40" s="28" t="s">
        <v>102</v>
      </c>
      <c r="B40" s="41" t="s">
        <v>72</v>
      </c>
      <c r="K40" s="197" t="s">
        <v>72</v>
      </c>
      <c r="L40" s="112" t="s">
        <v>464</v>
      </c>
      <c r="N40" s="133" t="s">
        <v>463</v>
      </c>
      <c r="P40" s="167" t="s">
        <v>302</v>
      </c>
    </row>
    <row r="41" spans="1:16" ht="19.95" customHeight="1">
      <c r="A41" s="28" t="s">
        <v>102</v>
      </c>
      <c r="B41" s="41" t="s">
        <v>72</v>
      </c>
      <c r="J41" s="38" t="s">
        <v>72</v>
      </c>
      <c r="K41" s="197" t="s">
        <v>72</v>
      </c>
      <c r="L41" s="196" t="s">
        <v>465</v>
      </c>
      <c r="N41" s="133" t="s">
        <v>466</v>
      </c>
      <c r="P41" s="167" t="s">
        <v>302</v>
      </c>
    </row>
    <row r="42" spans="1:16" ht="19.95" customHeight="1">
      <c r="A42" s="28" t="s">
        <v>102</v>
      </c>
      <c r="B42" s="41" t="s">
        <v>72</v>
      </c>
      <c r="J42" s="38" t="s">
        <v>72</v>
      </c>
      <c r="K42" s="197" t="s">
        <v>72</v>
      </c>
      <c r="L42" s="196" t="s">
        <v>753</v>
      </c>
      <c r="M42" s="112"/>
      <c r="N42" s="133" t="s">
        <v>753</v>
      </c>
      <c r="P42" s="167" t="s">
        <v>302</v>
      </c>
    </row>
    <row r="43" spans="1:16" ht="19.95" customHeight="1">
      <c r="A43" s="28" t="s">
        <v>102</v>
      </c>
      <c r="B43" s="41" t="s">
        <v>72</v>
      </c>
      <c r="J43" s="38" t="s">
        <v>72</v>
      </c>
      <c r="K43" s="184"/>
      <c r="L43" s="314" t="s">
        <v>762</v>
      </c>
      <c r="M43" s="112" t="s">
        <v>400</v>
      </c>
      <c r="N43" s="133" t="s">
        <v>754</v>
      </c>
      <c r="O43" s="314" t="s">
        <v>761</v>
      </c>
      <c r="P43" s="167" t="s">
        <v>302</v>
      </c>
    </row>
    <row r="44" spans="1:16" ht="19.95" customHeight="1">
      <c r="A44" s="315" t="s">
        <v>101</v>
      </c>
      <c r="B44" s="41" t="s">
        <v>72</v>
      </c>
      <c r="J44" s="38" t="s">
        <v>72</v>
      </c>
      <c r="K44" s="184"/>
      <c r="M44" s="112" t="s">
        <v>400</v>
      </c>
      <c r="N44" s="133" t="s">
        <v>755</v>
      </c>
      <c r="O44" s="314" t="s">
        <v>760</v>
      </c>
      <c r="P44" s="167" t="s">
        <v>302</v>
      </c>
    </row>
    <row r="45" spans="1:16" ht="19.95" customHeight="1">
      <c r="A45" s="315" t="s">
        <v>101</v>
      </c>
      <c r="B45" s="41" t="s">
        <v>72</v>
      </c>
      <c r="J45" s="38" t="s">
        <v>72</v>
      </c>
      <c r="K45" s="184"/>
      <c r="M45" s="112" t="s">
        <v>400</v>
      </c>
      <c r="N45" s="133" t="s">
        <v>756</v>
      </c>
      <c r="O45" s="314" t="s">
        <v>759</v>
      </c>
      <c r="P45" s="167" t="s">
        <v>302</v>
      </c>
    </row>
    <row r="46" spans="1:16" ht="19.95" customHeight="1">
      <c r="A46" s="315" t="s">
        <v>101</v>
      </c>
      <c r="B46" s="41" t="s">
        <v>72</v>
      </c>
      <c r="J46" s="38" t="s">
        <v>72</v>
      </c>
      <c r="K46" s="184"/>
      <c r="M46" s="112" t="s">
        <v>400</v>
      </c>
      <c r="N46" s="133" t="s">
        <v>757</v>
      </c>
      <c r="O46" s="314" t="s">
        <v>758</v>
      </c>
      <c r="P46" s="167" t="s">
        <v>302</v>
      </c>
    </row>
    <row r="47" spans="1:16" ht="19.95" customHeight="1">
      <c r="A47" s="28" t="s">
        <v>103</v>
      </c>
      <c r="K47" s="184"/>
      <c r="L47" s="196"/>
      <c r="M47" s="112"/>
      <c r="P47" s="166"/>
    </row>
    <row r="48" spans="1:16" ht="19.95" customHeight="1">
      <c r="A48" s="28" t="s">
        <v>103</v>
      </c>
      <c r="K48" s="184"/>
      <c r="P48" s="166"/>
    </row>
    <row r="49" spans="1:16" ht="19.95" customHeight="1">
      <c r="A49" s="28" t="s">
        <v>103</v>
      </c>
      <c r="K49" s="184"/>
      <c r="P49" s="166"/>
    </row>
    <row r="50" spans="1:16" ht="19.95" customHeight="1">
      <c r="A50" s="28" t="s">
        <v>103</v>
      </c>
      <c r="K50" s="184"/>
      <c r="P50" s="166"/>
    </row>
    <row r="51" spans="1:16" ht="19.95" customHeight="1">
      <c r="A51" s="28" t="s">
        <v>103</v>
      </c>
      <c r="K51" s="184"/>
      <c r="P51" s="166"/>
    </row>
    <row r="52" spans="1:16" ht="19.95" customHeight="1">
      <c r="A52" s="28" t="s">
        <v>103</v>
      </c>
      <c r="K52" s="184"/>
      <c r="P52" s="166"/>
    </row>
    <row r="53" spans="1:16" ht="19.95" customHeight="1">
      <c r="A53" s="28" t="s">
        <v>103</v>
      </c>
      <c r="K53" s="184"/>
      <c r="P53" s="166"/>
    </row>
    <row r="54" spans="1:16" ht="19.95" customHeight="1">
      <c r="A54" s="28" t="s">
        <v>103</v>
      </c>
      <c r="K54" s="184"/>
      <c r="P54" s="166"/>
    </row>
    <row r="55" spans="1:16" ht="19.95" customHeight="1">
      <c r="A55" s="28" t="s">
        <v>103</v>
      </c>
      <c r="K55" s="184"/>
      <c r="P55" s="166"/>
    </row>
    <row r="56" spans="1:16" ht="19.95" customHeight="1">
      <c r="A56" s="28" t="s">
        <v>103</v>
      </c>
      <c r="K56" s="184"/>
      <c r="P56" s="166"/>
    </row>
    <row r="57" spans="1:16">
      <c r="A57" s="28" t="s">
        <v>103</v>
      </c>
      <c r="K57" s="184"/>
      <c r="P57" s="166"/>
    </row>
    <row r="58" spans="1:16">
      <c r="A58" s="28" t="s">
        <v>103</v>
      </c>
      <c r="K58" s="184"/>
      <c r="P58" s="166"/>
    </row>
    <row r="59" spans="1:16">
      <c r="K59" s="184"/>
    </row>
    <row r="60" spans="1:16">
      <c r="K60" s="184"/>
    </row>
    <row r="61" spans="1:16">
      <c r="K61" s="184"/>
    </row>
    <row r="62" spans="1:16">
      <c r="K62" s="184"/>
    </row>
  </sheetData>
  <hyperlinks>
    <hyperlink ref="N3" r:id="rId1" xr:uid="{597091E5-2645-4CBF-B561-41E3F956A7CC}"/>
    <hyperlink ref="N4" r:id="rId2" xr:uid="{E077F74D-FD00-4E37-A06F-1F19496D6235}"/>
    <hyperlink ref="N5" r:id="rId3" xr:uid="{3C1D6AFF-3D8E-4354-8A23-C3BA331D6084}"/>
    <hyperlink ref="N6" r:id="rId4" xr:uid="{D8F2C229-E2F5-494C-BD9D-825180507FD3}"/>
    <hyperlink ref="N7" r:id="rId5" xr:uid="{37AEE14F-2AA2-4642-81CA-B5AD1FFE5708}"/>
    <hyperlink ref="N8" r:id="rId6" xr:uid="{279EB7E9-438D-4FFE-9F17-798DDC75596D}"/>
    <hyperlink ref="N9" r:id="rId7" xr:uid="{39941D69-FA6C-424B-ADCF-18DDAFD8B66D}"/>
    <hyperlink ref="N10" r:id="rId8" xr:uid="{AD9C01ED-5E1F-4E69-AF91-BD5FE889C777}"/>
    <hyperlink ref="N16" r:id="rId9" xr:uid="{922FA5C6-0DFC-4330-8C19-E57408B73575}"/>
    <hyperlink ref="N17" r:id="rId10" xr:uid="{25108C59-DF49-407D-98E7-CF1A226251B5}"/>
    <hyperlink ref="N18" r:id="rId11" xr:uid="{ECEF8326-4AD0-417D-8571-EE801E4A87BB}"/>
    <hyperlink ref="N19" r:id="rId12" xr:uid="{4BE6BF74-6411-4A56-9EE2-F896DE9270A4}"/>
    <hyperlink ref="N20" r:id="rId13" xr:uid="{ED622163-92A4-4070-AA57-3802906BA57F}"/>
    <hyperlink ref="N22" r:id="rId14" xr:uid="{2DCA5B5A-D0C5-49BE-B777-A9DEC0F5713D}"/>
    <hyperlink ref="N23" r:id="rId15" xr:uid="{FF960115-CF3C-489C-8076-8EED8D7371D2}"/>
    <hyperlink ref="N24" r:id="rId16" xr:uid="{C359E07D-7333-47AA-9506-6AC67C9BF851}"/>
    <hyperlink ref="N25" r:id="rId17" xr:uid="{ACA74239-0F15-466F-80F6-39C31C09EBB9}"/>
    <hyperlink ref="N26" r:id="rId18" xr:uid="{0EA6A8A8-B48A-4B08-B566-403AFA382C56}"/>
    <hyperlink ref="N27" r:id="rId19" xr:uid="{5558B1FA-E1A3-48C9-BFAD-18133402B9B0}"/>
    <hyperlink ref="N28" r:id="rId20" xr:uid="{2D302EB9-A984-4FE1-BEF0-F14FEF6E1332}"/>
    <hyperlink ref="N29" r:id="rId21" xr:uid="{7FE399F4-4653-4DA3-B046-06802E902525}"/>
    <hyperlink ref="N30" r:id="rId22" xr:uid="{29B752BE-F045-4253-8DBD-3222387EF583}"/>
    <hyperlink ref="N31" r:id="rId23" xr:uid="{79CA9FCE-797F-4C0B-8873-7136B4D02956}"/>
    <hyperlink ref="N32" r:id="rId24" xr:uid="{E60DAEC0-42A4-4C3A-8B46-D3184657A89A}"/>
    <hyperlink ref="N33" r:id="rId25" xr:uid="{61CA8CBF-7DEA-485D-9B75-2EF1A94A44C4}"/>
    <hyperlink ref="N34" r:id="rId26" xr:uid="{D9ABD0C6-1304-438B-A7BC-3933BC3BE984}"/>
    <hyperlink ref="N35" r:id="rId27" xr:uid="{AF14DCC1-001B-40F2-908E-7F2F7F104735}"/>
    <hyperlink ref="N36" r:id="rId28" xr:uid="{50491034-1D32-4D8D-BA3A-8E5DC11BA353}"/>
    <hyperlink ref="N37" r:id="rId29" xr:uid="{C322DCCF-797D-46A6-9584-3189695E040B}"/>
    <hyperlink ref="N38" r:id="rId30" xr:uid="{EE7A6B94-9435-4A96-BB3A-58262ACF85D6}"/>
    <hyperlink ref="N39" r:id="rId31" xr:uid="{16742493-ED61-4B30-9907-28239203B1C2}"/>
    <hyperlink ref="N40" r:id="rId32" xr:uid="{60776322-3B76-4FD8-839A-4A70FAC0C91A}"/>
    <hyperlink ref="N41" r:id="rId33" xr:uid="{5CE344D8-565F-4C01-8E83-4B6D67CE4F0E}"/>
    <hyperlink ref="N42" r:id="rId34" xr:uid="{4D0BDB82-89D0-4E8C-85C5-6709E246D822}"/>
    <hyperlink ref="N43" r:id="rId35" xr:uid="{DF7CE944-D838-41C3-8F78-C291DB8EB18A}"/>
    <hyperlink ref="N44" r:id="rId36" xr:uid="{B6400679-BCEF-49EB-8E9C-BCDF409323D9}"/>
    <hyperlink ref="N45" r:id="rId37" xr:uid="{3B1FFDC7-9513-48DD-A0E8-3F73183EE996}"/>
    <hyperlink ref="N46" r:id="rId38" xr:uid="{58C36703-9F8C-4BC0-A211-52EBA9E1E04E}"/>
    <hyperlink ref="Q12" location="'STD_F'!A3" display="SW002" xr:uid="{A4C43BF8-6DF9-44BD-A34A-1167BD712851}"/>
    <hyperlink ref="Q13" location="'STD_F'!A17" display="SW003" xr:uid="{65B69104-E74A-4E5F-B409-5AA207D7ECCC}"/>
  </hyperlinks>
  <pageMargins left="0.7" right="0.7" top="0.78740157499999996" bottom="0.78740157499999996" header="0.3" footer="0.3"/>
  <pageSetup paperSize="9" orientation="portrait" r:id="rId39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1BFA2-14D2-4424-8722-B60EE9A209E6}">
  <sheetPr codeName="Tabelle14"/>
  <dimension ref="A1:P35"/>
  <sheetViews>
    <sheetView workbookViewId="0">
      <selection activeCell="A3" sqref="A3:XFD3"/>
    </sheetView>
  </sheetViews>
  <sheetFormatPr baseColWidth="10" defaultColWidth="11.5546875" defaultRowHeight="15.6"/>
  <cols>
    <col min="1" max="1" width="8.33203125" style="20" customWidth="1"/>
    <col min="2" max="10" width="3.6640625" style="38" bestFit="1" customWidth="1"/>
    <col min="11" max="11" width="6.6640625" bestFit="1" customWidth="1"/>
    <col min="12" max="12" width="26.44140625" style="84" customWidth="1"/>
    <col min="13" max="13" width="19.6640625" style="17" customWidth="1"/>
    <col min="14" max="14" width="24.44140625" style="84" customWidth="1"/>
    <col min="15" max="15" width="32.5546875" style="81" bestFit="1" customWidth="1"/>
    <col min="16" max="16" width="5.88671875" style="17" customWidth="1"/>
    <col min="17" max="16384" width="11.5546875" style="17"/>
  </cols>
  <sheetData>
    <row r="1" spans="1:16" s="2" customFormat="1" ht="55.2" customHeight="1">
      <c r="A1" s="21" t="s">
        <v>96</v>
      </c>
      <c r="B1" s="259" t="s">
        <v>109</v>
      </c>
      <c r="C1" s="259" t="s">
        <v>136</v>
      </c>
      <c r="D1" s="259" t="s">
        <v>137</v>
      </c>
      <c r="E1" s="259" t="s">
        <v>224</v>
      </c>
      <c r="F1" s="259" t="s">
        <v>138</v>
      </c>
      <c r="G1" s="259" t="s">
        <v>146</v>
      </c>
      <c r="H1" s="259" t="s">
        <v>195</v>
      </c>
      <c r="I1" s="259" t="s">
        <v>235</v>
      </c>
      <c r="J1" s="259" t="s">
        <v>223</v>
      </c>
      <c r="K1" s="259" t="s">
        <v>390</v>
      </c>
      <c r="L1" s="82" t="s">
        <v>70</v>
      </c>
      <c r="M1" s="25" t="s">
        <v>71</v>
      </c>
      <c r="N1" s="82" t="s">
        <v>14</v>
      </c>
      <c r="O1" s="24" t="s">
        <v>97</v>
      </c>
    </row>
    <row r="2" spans="1:16" s="2" customFormat="1" ht="20.100000000000001" customHeight="1">
      <c r="A2" s="27" t="s">
        <v>104</v>
      </c>
      <c r="B2" s="32"/>
      <c r="C2" s="32"/>
      <c r="D2" s="33"/>
      <c r="E2" s="33"/>
      <c r="F2" s="33"/>
      <c r="G2" s="33"/>
      <c r="H2" s="33"/>
      <c r="J2" s="33"/>
      <c r="L2" s="112"/>
      <c r="M2" s="112"/>
      <c r="N2" s="195"/>
      <c r="O2" s="11"/>
    </row>
    <row r="3" spans="1:16" s="2" customFormat="1" ht="20.100000000000001" customHeight="1">
      <c r="A3" s="28" t="s">
        <v>102</v>
      </c>
      <c r="B3" s="41" t="s">
        <v>72</v>
      </c>
      <c r="C3" s="38"/>
      <c r="D3" s="38"/>
      <c r="E3" s="38"/>
      <c r="F3" s="38"/>
      <c r="G3" s="38"/>
      <c r="H3" s="38"/>
      <c r="I3" s="41" t="s">
        <v>72</v>
      </c>
      <c r="J3" s="38"/>
      <c r="K3" s="184"/>
      <c r="L3" s="112" t="s">
        <v>252</v>
      </c>
      <c r="M3" s="112" t="s">
        <v>254</v>
      </c>
      <c r="N3" s="133" t="s">
        <v>467</v>
      </c>
      <c r="O3" s="19"/>
      <c r="P3" s="161" t="s">
        <v>302</v>
      </c>
    </row>
    <row r="4" spans="1:16" s="2" customFormat="1" ht="20.100000000000001" customHeight="1">
      <c r="A4" s="28" t="s">
        <v>102</v>
      </c>
      <c r="B4" s="41" t="s">
        <v>72</v>
      </c>
      <c r="C4" s="38"/>
      <c r="D4" s="38"/>
      <c r="E4" s="38"/>
      <c r="F4" s="38"/>
      <c r="G4" s="38"/>
      <c r="H4" s="38"/>
      <c r="I4" s="41" t="s">
        <v>72</v>
      </c>
      <c r="J4" s="38"/>
      <c r="K4" s="184"/>
      <c r="L4" s="112" t="s">
        <v>253</v>
      </c>
      <c r="M4" s="112" t="s">
        <v>254</v>
      </c>
      <c r="N4" s="133" t="s">
        <v>468</v>
      </c>
      <c r="O4" s="19"/>
      <c r="P4" s="161" t="s">
        <v>302</v>
      </c>
    </row>
    <row r="5" spans="1:16" s="2" customFormat="1" ht="20.100000000000001" customHeight="1">
      <c r="A5" s="28" t="s">
        <v>102</v>
      </c>
      <c r="B5" s="34" t="s">
        <v>72</v>
      </c>
      <c r="C5" s="36"/>
      <c r="D5" s="37"/>
      <c r="E5" s="37"/>
      <c r="F5" s="37"/>
      <c r="G5" s="37"/>
      <c r="H5" s="37"/>
      <c r="I5" s="108"/>
      <c r="J5" s="37"/>
      <c r="K5" s="34" t="s">
        <v>72</v>
      </c>
      <c r="L5" s="196" t="s">
        <v>472</v>
      </c>
      <c r="M5" s="112"/>
      <c r="N5" s="133" t="s">
        <v>469</v>
      </c>
      <c r="O5" s="11"/>
      <c r="P5" s="161" t="s">
        <v>302</v>
      </c>
    </row>
    <row r="6" spans="1:16" s="2" customFormat="1" ht="20.100000000000001" customHeight="1">
      <c r="A6" s="28" t="s">
        <v>102</v>
      </c>
      <c r="B6" s="34" t="s">
        <v>72</v>
      </c>
      <c r="C6" s="34"/>
      <c r="D6" s="35"/>
      <c r="E6" s="35"/>
      <c r="F6" s="35"/>
      <c r="G6" s="35"/>
      <c r="H6" s="35"/>
      <c r="I6" s="35"/>
      <c r="J6" s="35"/>
      <c r="K6" s="189" t="s">
        <v>72</v>
      </c>
      <c r="L6" s="112" t="s">
        <v>471</v>
      </c>
      <c r="M6" s="112"/>
      <c r="N6" s="133" t="s">
        <v>470</v>
      </c>
      <c r="O6" s="11"/>
      <c r="P6" s="161" t="s">
        <v>302</v>
      </c>
    </row>
    <row r="7" spans="1:16" s="2" customFormat="1" ht="20.100000000000001" customHeight="1">
      <c r="A7" s="104" t="s">
        <v>103</v>
      </c>
      <c r="B7" s="34"/>
      <c r="C7" s="36"/>
      <c r="D7" s="37"/>
      <c r="E7" s="37"/>
      <c r="F7" s="37"/>
      <c r="G7" s="37"/>
      <c r="H7" s="37"/>
      <c r="I7" s="37"/>
      <c r="J7" s="37"/>
      <c r="L7" s="112"/>
      <c r="M7" s="112"/>
      <c r="N7" s="88"/>
      <c r="O7" s="11"/>
      <c r="P7" s="160"/>
    </row>
    <row r="8" spans="1:16" ht="20.100000000000001" customHeight="1">
      <c r="A8" s="104" t="s">
        <v>103</v>
      </c>
      <c r="B8" s="34"/>
      <c r="C8" s="34"/>
      <c r="D8" s="35"/>
      <c r="E8" s="35"/>
      <c r="F8" s="35"/>
      <c r="G8" s="35"/>
      <c r="H8" s="35"/>
      <c r="I8" s="35"/>
      <c r="J8" s="35"/>
      <c r="K8" s="184"/>
      <c r="L8" s="112"/>
      <c r="M8" s="112"/>
      <c r="N8" s="88"/>
      <c r="O8" s="11"/>
      <c r="P8" s="166"/>
    </row>
    <row r="9" spans="1:16" ht="20.100000000000001" customHeight="1">
      <c r="A9" s="104" t="s">
        <v>103</v>
      </c>
      <c r="B9" s="34"/>
      <c r="K9" s="184"/>
      <c r="L9" s="112"/>
      <c r="M9" s="112"/>
      <c r="O9" s="11"/>
      <c r="P9" s="166"/>
    </row>
    <row r="10" spans="1:16" ht="20.100000000000001" customHeight="1">
      <c r="A10" s="104" t="s">
        <v>103</v>
      </c>
      <c r="B10" s="34"/>
      <c r="K10" s="184"/>
      <c r="L10" s="112"/>
      <c r="M10" s="112"/>
      <c r="O10" s="11"/>
      <c r="P10" s="166"/>
    </row>
    <row r="11" spans="1:16" ht="20.100000000000001" customHeight="1">
      <c r="A11" s="104" t="s">
        <v>103</v>
      </c>
      <c r="B11" s="34"/>
      <c r="K11" s="184"/>
      <c r="L11" s="112"/>
      <c r="M11" s="112"/>
      <c r="O11" s="11"/>
      <c r="P11" s="166"/>
    </row>
    <row r="12" spans="1:16" ht="20.100000000000001" customHeight="1">
      <c r="A12" s="104" t="s">
        <v>103</v>
      </c>
      <c r="B12" s="34"/>
      <c r="K12" s="184"/>
      <c r="L12" s="112"/>
      <c r="M12" s="112"/>
      <c r="O12" s="11"/>
      <c r="P12" s="166"/>
    </row>
    <row r="13" spans="1:16" ht="20.100000000000001" customHeight="1">
      <c r="A13" s="104" t="s">
        <v>103</v>
      </c>
      <c r="B13" s="34"/>
      <c r="K13" s="184"/>
      <c r="L13" s="112"/>
      <c r="M13" s="112"/>
      <c r="O13" s="11"/>
      <c r="P13" s="166"/>
    </row>
    <row r="14" spans="1:16" ht="20.100000000000001" customHeight="1">
      <c r="A14" s="104" t="s">
        <v>103</v>
      </c>
      <c r="B14" s="34"/>
      <c r="K14" s="184"/>
      <c r="L14" s="112"/>
      <c r="M14" s="112"/>
      <c r="P14" s="166"/>
    </row>
    <row r="15" spans="1:16" ht="20.100000000000001" customHeight="1">
      <c r="A15" s="104" t="s">
        <v>103</v>
      </c>
      <c r="K15" s="184"/>
      <c r="L15" s="112"/>
      <c r="M15" s="112"/>
      <c r="P15" s="166"/>
    </row>
    <row r="16" spans="1:16" ht="20.100000000000001" customHeight="1">
      <c r="A16" s="104" t="s">
        <v>103</v>
      </c>
      <c r="K16" s="184"/>
      <c r="L16" s="112"/>
      <c r="M16" s="112"/>
      <c r="P16" s="166"/>
    </row>
    <row r="17" spans="1:16" ht="20.100000000000001" customHeight="1">
      <c r="A17" s="104" t="s">
        <v>103</v>
      </c>
      <c r="K17" s="184"/>
      <c r="L17" s="112"/>
      <c r="M17" s="112"/>
      <c r="P17" s="166"/>
    </row>
    <row r="18" spans="1:16" ht="20.100000000000001" customHeight="1">
      <c r="A18" s="104" t="s">
        <v>103</v>
      </c>
      <c r="K18" s="184"/>
      <c r="L18" s="112"/>
      <c r="M18" s="112"/>
      <c r="P18" s="166"/>
    </row>
    <row r="19" spans="1:16" ht="20.100000000000001" customHeight="1">
      <c r="A19" s="104" t="s">
        <v>103</v>
      </c>
      <c r="K19" s="184"/>
      <c r="L19" s="112"/>
      <c r="M19" s="112"/>
      <c r="P19" s="166"/>
    </row>
    <row r="20" spans="1:16">
      <c r="A20" s="104" t="s">
        <v>103</v>
      </c>
      <c r="K20" s="184"/>
      <c r="L20" s="112"/>
      <c r="M20" s="112"/>
      <c r="P20" s="166"/>
    </row>
    <row r="21" spans="1:16">
      <c r="A21" s="104" t="s">
        <v>103</v>
      </c>
      <c r="K21" s="184"/>
      <c r="L21" s="112"/>
      <c r="M21" s="112"/>
      <c r="P21" s="166"/>
    </row>
    <row r="22" spans="1:16">
      <c r="A22" s="104" t="s">
        <v>103</v>
      </c>
      <c r="K22" s="184"/>
      <c r="L22" s="112"/>
      <c r="M22" s="112"/>
      <c r="P22" s="166"/>
    </row>
    <row r="23" spans="1:16">
      <c r="A23" s="104" t="s">
        <v>103</v>
      </c>
      <c r="K23" s="184"/>
      <c r="L23" s="112"/>
      <c r="M23" s="112"/>
      <c r="P23" s="166"/>
    </row>
    <row r="24" spans="1:16">
      <c r="A24" s="104" t="s">
        <v>103</v>
      </c>
      <c r="K24" s="184"/>
      <c r="L24" s="112"/>
      <c r="M24" s="112"/>
      <c r="P24" s="166"/>
    </row>
    <row r="25" spans="1:16">
      <c r="A25" s="104" t="s">
        <v>103</v>
      </c>
      <c r="K25" s="184"/>
      <c r="L25" s="112"/>
      <c r="M25" s="112"/>
      <c r="P25" s="166"/>
    </row>
    <row r="26" spans="1:16">
      <c r="A26" s="104" t="s">
        <v>103</v>
      </c>
      <c r="K26" s="184"/>
      <c r="L26" s="112"/>
      <c r="M26" s="112"/>
      <c r="P26" s="166"/>
    </row>
    <row r="27" spans="1:16">
      <c r="A27" s="104" t="s">
        <v>103</v>
      </c>
      <c r="K27" s="184"/>
      <c r="L27" s="112"/>
      <c r="M27" s="112"/>
      <c r="P27" s="166"/>
    </row>
    <row r="28" spans="1:16">
      <c r="A28" s="104" t="s">
        <v>103</v>
      </c>
      <c r="K28" s="184"/>
      <c r="L28" s="112"/>
      <c r="M28" s="112"/>
      <c r="P28" s="166"/>
    </row>
    <row r="29" spans="1:16">
      <c r="A29" s="104" t="s">
        <v>103</v>
      </c>
      <c r="K29" s="184"/>
      <c r="P29" s="166"/>
    </row>
    <row r="30" spans="1:16">
      <c r="K30" s="184"/>
    </row>
    <row r="31" spans="1:16">
      <c r="K31" s="184"/>
    </row>
    <row r="32" spans="1:16">
      <c r="K32" s="184"/>
    </row>
    <row r="33" spans="11:11">
      <c r="K33" s="184"/>
    </row>
    <row r="34" spans="11:11">
      <c r="K34" s="184"/>
    </row>
    <row r="35" spans="11:11">
      <c r="K35" s="38"/>
    </row>
  </sheetData>
  <hyperlinks>
    <hyperlink ref="N3" r:id="rId1" xr:uid="{CA8CCB04-75F3-4015-8797-501F8D5ABB5E}"/>
    <hyperlink ref="N4" r:id="rId2" xr:uid="{C606B886-9144-4CB0-93BA-C57CF29F200D}"/>
    <hyperlink ref="N5" r:id="rId3" xr:uid="{BA63BBE1-2B7F-4099-A92A-EA15817AFC1F}"/>
    <hyperlink ref="N6" r:id="rId4" xr:uid="{8A06D5FC-3569-48B3-8388-D1B4C66303AD}"/>
    <hyperlink ref="L6" r:id="rId5" display="AS SW Learn to dance Waltz Butterfly Fallaway Spin.mp4" xr:uid="{6CA453F2-710F-42BA-A23D-B5D0F8EC1A6F}"/>
  </hyperlinks>
  <pageMargins left="0.7" right="0.7" top="0.78740157499999996" bottom="0.78740157499999996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41A385-E5CE-4DAE-9D7C-524FFA51A499}">
  <sheetPr codeName="Tabelle9"/>
  <dimension ref="A1:P53"/>
  <sheetViews>
    <sheetView workbookViewId="0">
      <pane ySplit="1" topLeftCell="A14" activePane="bottomLeft" state="frozen"/>
      <selection activeCell="A3" sqref="A3:XFD3"/>
      <selection pane="bottomLeft" activeCell="N22" sqref="N22"/>
    </sheetView>
  </sheetViews>
  <sheetFormatPr baseColWidth="10" defaultColWidth="11.5546875" defaultRowHeight="15.6"/>
  <cols>
    <col min="1" max="1" width="8.33203125" style="20" customWidth="1"/>
    <col min="2" max="9" width="3.6640625" style="38" bestFit="1" customWidth="1"/>
    <col min="10" max="10" width="7.109375" style="38" bestFit="1" customWidth="1"/>
    <col min="11" max="11" width="6.6640625" bestFit="1" customWidth="1"/>
    <col min="12" max="12" width="27.33203125" style="84" customWidth="1"/>
    <col min="13" max="13" width="49.88671875" style="84" customWidth="1"/>
    <col min="14" max="14" width="16.88671875" style="17" customWidth="1"/>
    <col min="15" max="15" width="16.6640625" style="81" bestFit="1" customWidth="1"/>
    <col min="16" max="16384" width="11.5546875" style="17"/>
  </cols>
  <sheetData>
    <row r="1" spans="1:16" s="2" customFormat="1" ht="55.2" customHeight="1">
      <c r="A1" s="21" t="s">
        <v>96</v>
      </c>
      <c r="B1" s="259" t="s">
        <v>109</v>
      </c>
      <c r="C1" s="259" t="s">
        <v>136</v>
      </c>
      <c r="D1" s="259" t="s">
        <v>137</v>
      </c>
      <c r="E1" s="259" t="s">
        <v>224</v>
      </c>
      <c r="F1" s="259" t="s">
        <v>138</v>
      </c>
      <c r="G1" s="259" t="s">
        <v>146</v>
      </c>
      <c r="H1" s="259" t="s">
        <v>195</v>
      </c>
      <c r="I1" s="259" t="s">
        <v>235</v>
      </c>
      <c r="J1" s="259" t="s">
        <v>223</v>
      </c>
      <c r="K1" s="259" t="s">
        <v>390</v>
      </c>
      <c r="L1" s="82" t="s">
        <v>70</v>
      </c>
      <c r="M1" s="82" t="s">
        <v>71</v>
      </c>
      <c r="N1" s="25" t="s">
        <v>14</v>
      </c>
      <c r="O1" s="24" t="s">
        <v>97</v>
      </c>
    </row>
    <row r="2" spans="1:16" s="2" customFormat="1" ht="25.2" customHeight="1">
      <c r="A2" s="27" t="s">
        <v>104</v>
      </c>
      <c r="B2" s="32"/>
      <c r="C2" s="32"/>
      <c r="D2" s="33"/>
      <c r="E2" s="33"/>
      <c r="F2" s="33"/>
      <c r="G2" s="33"/>
      <c r="H2" s="33"/>
      <c r="I2" s="33"/>
      <c r="J2" s="33"/>
      <c r="L2" s="83"/>
      <c r="M2" s="93"/>
      <c r="N2" s="91"/>
      <c r="O2" s="11"/>
    </row>
    <row r="3" spans="1:16" s="2" customFormat="1" ht="25.2" customHeight="1">
      <c r="A3" s="28" t="s">
        <v>102</v>
      </c>
      <c r="B3" s="39" t="s">
        <v>72</v>
      </c>
      <c r="C3" s="39" t="s">
        <v>72</v>
      </c>
      <c r="D3" s="293" t="s">
        <v>72</v>
      </c>
      <c r="E3" s="40"/>
      <c r="F3" s="40"/>
      <c r="G3" s="40"/>
      <c r="H3" s="40"/>
      <c r="I3" s="40"/>
      <c r="J3" s="40"/>
      <c r="L3" s="295" t="s">
        <v>733</v>
      </c>
      <c r="M3" s="89"/>
      <c r="N3" s="133" t="s">
        <v>734</v>
      </c>
      <c r="O3" s="11"/>
      <c r="P3" s="160"/>
    </row>
    <row r="4" spans="1:16" s="2" customFormat="1" ht="25.2" customHeight="1">
      <c r="A4" s="294" t="s">
        <v>101</v>
      </c>
      <c r="B4" s="296" t="s">
        <v>72</v>
      </c>
      <c r="C4" s="296" t="s">
        <v>72</v>
      </c>
      <c r="D4" s="293" t="s">
        <v>72</v>
      </c>
      <c r="E4" s="40"/>
      <c r="F4" s="40"/>
      <c r="G4" s="40"/>
      <c r="H4" s="40"/>
      <c r="I4" s="40"/>
      <c r="J4" s="40"/>
      <c r="L4" s="295"/>
      <c r="M4" s="89"/>
      <c r="N4" s="133" t="s">
        <v>732</v>
      </c>
      <c r="O4" s="11"/>
      <c r="P4" s="160"/>
    </row>
    <row r="5" spans="1:16" s="2" customFormat="1" ht="25.2" customHeight="1">
      <c r="A5" s="28" t="s">
        <v>102</v>
      </c>
      <c r="B5" s="39" t="s">
        <v>72</v>
      </c>
      <c r="C5" s="34"/>
      <c r="D5" s="35" t="s">
        <v>72</v>
      </c>
      <c r="E5" s="35"/>
      <c r="F5" s="35"/>
      <c r="G5" s="35"/>
      <c r="H5" s="35"/>
      <c r="I5" s="35"/>
      <c r="J5" s="35"/>
      <c r="L5" s="1" t="s">
        <v>3</v>
      </c>
      <c r="M5" s="89"/>
      <c r="N5" s="133" t="s">
        <v>176</v>
      </c>
      <c r="O5" s="11"/>
      <c r="P5" s="160"/>
    </row>
    <row r="6" spans="1:16" s="2" customFormat="1" ht="25.2" customHeight="1">
      <c r="A6" s="28" t="s">
        <v>102</v>
      </c>
      <c r="B6" s="39" t="s">
        <v>72</v>
      </c>
      <c r="C6" s="292" t="s">
        <v>72</v>
      </c>
      <c r="D6" s="35" t="s">
        <v>72</v>
      </c>
      <c r="E6" s="35"/>
      <c r="F6" s="35"/>
      <c r="G6" s="35"/>
      <c r="H6" s="35"/>
      <c r="I6" s="35"/>
      <c r="J6" s="35"/>
      <c r="L6" s="1" t="s">
        <v>2</v>
      </c>
      <c r="M6" s="89" t="s">
        <v>9</v>
      </c>
      <c r="N6" s="133" t="s">
        <v>177</v>
      </c>
      <c r="O6" s="11"/>
      <c r="P6" s="160"/>
    </row>
    <row r="7" spans="1:16" s="2" customFormat="1" ht="25.2" customHeight="1">
      <c r="A7" s="28" t="s">
        <v>102</v>
      </c>
      <c r="B7" s="39" t="s">
        <v>72</v>
      </c>
      <c r="C7" s="39"/>
      <c r="D7" s="40" t="s">
        <v>72</v>
      </c>
      <c r="E7" s="40"/>
      <c r="F7" s="40"/>
      <c r="G7" s="40"/>
      <c r="H7" s="40"/>
      <c r="I7" s="40"/>
      <c r="J7" s="40"/>
      <c r="L7" s="89" t="s">
        <v>42</v>
      </c>
      <c r="M7" s="89"/>
      <c r="N7" s="133" t="s">
        <v>178</v>
      </c>
      <c r="O7" s="11"/>
      <c r="P7" s="160"/>
    </row>
    <row r="8" spans="1:16" s="2" customFormat="1" ht="25.2" customHeight="1">
      <c r="A8" s="28" t="s">
        <v>102</v>
      </c>
      <c r="B8" s="39" t="s">
        <v>72</v>
      </c>
      <c r="C8" s="39"/>
      <c r="D8" s="40" t="s">
        <v>72</v>
      </c>
      <c r="E8" s="40"/>
      <c r="F8" s="40"/>
      <c r="G8" s="40"/>
      <c r="H8" s="40"/>
      <c r="I8" s="40"/>
      <c r="J8" s="40"/>
      <c r="L8" s="89" t="s">
        <v>21</v>
      </c>
      <c r="M8" s="89"/>
      <c r="N8" s="133" t="s">
        <v>179</v>
      </c>
      <c r="O8" s="11"/>
      <c r="P8" s="160"/>
    </row>
    <row r="9" spans="1:16" s="2" customFormat="1" ht="25.2" customHeight="1">
      <c r="A9" s="28" t="s">
        <v>101</v>
      </c>
      <c r="B9" s="39" t="s">
        <v>72</v>
      </c>
      <c r="C9" s="39"/>
      <c r="D9" s="293" t="s">
        <v>72</v>
      </c>
      <c r="E9" s="40"/>
      <c r="F9" s="40"/>
      <c r="G9" s="40"/>
      <c r="H9" s="40"/>
      <c r="I9" s="40"/>
      <c r="J9" s="40"/>
      <c r="L9" s="89"/>
      <c r="M9" s="89"/>
      <c r="N9" s="133" t="s">
        <v>179</v>
      </c>
      <c r="O9" s="11"/>
      <c r="P9" s="160"/>
    </row>
    <row r="10" spans="1:16" s="2" customFormat="1" ht="25.2" customHeight="1">
      <c r="A10" s="28" t="s">
        <v>102</v>
      </c>
      <c r="B10" s="39" t="s">
        <v>72</v>
      </c>
      <c r="C10" s="39"/>
      <c r="D10" s="40" t="s">
        <v>72</v>
      </c>
      <c r="E10" s="40"/>
      <c r="F10" s="40"/>
      <c r="G10" s="40"/>
      <c r="H10" s="40"/>
      <c r="I10" s="40"/>
      <c r="J10" s="40"/>
      <c r="L10" s="306" t="s">
        <v>750</v>
      </c>
      <c r="M10" s="89" t="s">
        <v>216</v>
      </c>
      <c r="N10" s="133" t="s">
        <v>215</v>
      </c>
      <c r="O10" s="11"/>
      <c r="P10" s="160"/>
    </row>
    <row r="11" spans="1:16" s="2" customFormat="1" ht="25.2" customHeight="1">
      <c r="A11" s="294" t="s">
        <v>101</v>
      </c>
      <c r="B11" s="39" t="s">
        <v>72</v>
      </c>
      <c r="C11" s="39"/>
      <c r="D11" s="40" t="s">
        <v>72</v>
      </c>
      <c r="E11" s="40"/>
      <c r="F11" s="40"/>
      <c r="G11" s="40"/>
      <c r="H11" s="40"/>
      <c r="I11" s="40"/>
      <c r="J11" s="40"/>
      <c r="L11" s="89"/>
      <c r="M11" s="89"/>
      <c r="N11" s="133" t="s">
        <v>735</v>
      </c>
      <c r="O11" s="11"/>
      <c r="P11" s="160"/>
    </row>
    <row r="12" spans="1:16" s="2" customFormat="1" ht="25.2" customHeight="1">
      <c r="A12" s="92" t="s">
        <v>102</v>
      </c>
      <c r="B12" s="39" t="s">
        <v>72</v>
      </c>
      <c r="C12" s="39"/>
      <c r="D12" s="40"/>
      <c r="E12" s="40"/>
      <c r="F12" s="40"/>
      <c r="G12" s="40"/>
      <c r="H12" s="40" t="s">
        <v>72</v>
      </c>
      <c r="I12" s="40"/>
      <c r="J12" s="40"/>
      <c r="L12" s="89" t="s">
        <v>212</v>
      </c>
      <c r="M12" s="89"/>
      <c r="N12" s="133" t="s">
        <v>320</v>
      </c>
      <c r="O12" s="11"/>
      <c r="P12" s="161" t="s">
        <v>302</v>
      </c>
    </row>
    <row r="13" spans="1:16" s="2" customFormat="1" ht="25.2" customHeight="1">
      <c r="A13" s="92" t="s">
        <v>102</v>
      </c>
      <c r="B13" s="39" t="s">
        <v>72</v>
      </c>
      <c r="C13" s="39"/>
      <c r="D13" s="40"/>
      <c r="E13" s="40"/>
      <c r="F13" s="40"/>
      <c r="G13" s="40"/>
      <c r="H13" s="40" t="s">
        <v>72</v>
      </c>
      <c r="I13" s="40"/>
      <c r="J13" s="40"/>
      <c r="L13" s="89" t="s">
        <v>213</v>
      </c>
      <c r="M13" s="89"/>
      <c r="N13" s="133" t="s">
        <v>321</v>
      </c>
      <c r="O13" s="11"/>
      <c r="P13" s="161" t="s">
        <v>302</v>
      </c>
    </row>
    <row r="14" spans="1:16" s="2" customFormat="1" ht="25.2" customHeight="1">
      <c r="A14" s="92" t="s">
        <v>102</v>
      </c>
      <c r="B14" s="39" t="s">
        <v>72</v>
      </c>
      <c r="C14" s="39"/>
      <c r="D14" s="40"/>
      <c r="E14" s="40"/>
      <c r="F14" s="40"/>
      <c r="G14" s="40"/>
      <c r="H14" s="40" t="s">
        <v>72</v>
      </c>
      <c r="I14" s="40"/>
      <c r="J14" s="40"/>
      <c r="L14" s="105" t="s">
        <v>255</v>
      </c>
      <c r="M14" s="89"/>
      <c r="N14" s="133" t="s">
        <v>322</v>
      </c>
      <c r="O14" s="11"/>
      <c r="P14" s="161" t="s">
        <v>302</v>
      </c>
    </row>
    <row r="15" spans="1:16" s="2" customFormat="1" ht="25.2" customHeight="1">
      <c r="A15" s="92" t="s">
        <v>102</v>
      </c>
      <c r="B15" s="39" t="s">
        <v>72</v>
      </c>
      <c r="C15" s="39"/>
      <c r="D15" s="40"/>
      <c r="E15" s="40"/>
      <c r="F15" s="40"/>
      <c r="G15" s="40"/>
      <c r="H15" s="40"/>
      <c r="I15" s="113" t="s">
        <v>72</v>
      </c>
      <c r="J15" s="40"/>
      <c r="L15" s="105" t="s">
        <v>256</v>
      </c>
      <c r="M15" s="89"/>
      <c r="N15" s="133" t="s">
        <v>256</v>
      </c>
      <c r="P15" s="161" t="s">
        <v>302</v>
      </c>
    </row>
    <row r="16" spans="1:16" s="2" customFormat="1" ht="25.2" customHeight="1">
      <c r="A16" s="104" t="s">
        <v>101</v>
      </c>
      <c r="B16" s="39" t="s">
        <v>72</v>
      </c>
      <c r="C16" s="39"/>
      <c r="D16" s="40"/>
      <c r="E16" s="40"/>
      <c r="F16" s="40"/>
      <c r="G16" s="40"/>
      <c r="H16" s="40"/>
      <c r="I16" s="113" t="s">
        <v>72</v>
      </c>
      <c r="J16" s="40"/>
      <c r="L16" s="89"/>
      <c r="M16" s="89"/>
      <c r="N16" s="133" t="s">
        <v>323</v>
      </c>
      <c r="O16" s="1" t="s">
        <v>258</v>
      </c>
      <c r="P16" s="161" t="s">
        <v>302</v>
      </c>
    </row>
    <row r="17" spans="1:16" s="2" customFormat="1" ht="25.2" customHeight="1">
      <c r="A17" s="104" t="s">
        <v>101</v>
      </c>
      <c r="B17" s="39"/>
      <c r="C17" s="39"/>
      <c r="D17" s="40"/>
      <c r="E17" s="40"/>
      <c r="F17" s="40"/>
      <c r="G17" s="40"/>
      <c r="H17" s="40"/>
      <c r="I17" s="113" t="s">
        <v>72</v>
      </c>
      <c r="J17" s="40"/>
      <c r="L17" s="89"/>
      <c r="M17" s="89"/>
      <c r="N17" s="133" t="s">
        <v>324</v>
      </c>
      <c r="O17" s="107" t="s">
        <v>257</v>
      </c>
      <c r="P17" s="161" t="s">
        <v>302</v>
      </c>
    </row>
    <row r="18" spans="1:16" s="2" customFormat="1" ht="25.2" customHeight="1">
      <c r="A18" s="231" t="s">
        <v>102</v>
      </c>
      <c r="B18" s="234" t="s">
        <v>72</v>
      </c>
      <c r="C18" s="39"/>
      <c r="D18" s="40"/>
      <c r="E18" s="40"/>
      <c r="F18" s="40"/>
      <c r="G18" s="40"/>
      <c r="H18" s="40"/>
      <c r="I18" s="40"/>
      <c r="J18" s="246" t="s">
        <v>651</v>
      </c>
      <c r="L18" s="105" t="s">
        <v>643</v>
      </c>
      <c r="M18" s="89"/>
      <c r="N18" s="133" t="s">
        <v>643</v>
      </c>
      <c r="O18" s="11"/>
      <c r="P18" s="161" t="s">
        <v>302</v>
      </c>
    </row>
    <row r="19" spans="1:16" s="2" customFormat="1" ht="25.2" customHeight="1">
      <c r="A19" s="333" t="s">
        <v>102</v>
      </c>
      <c r="B19" s="335" t="s">
        <v>72</v>
      </c>
      <c r="C19" s="39"/>
      <c r="D19" s="40"/>
      <c r="E19" s="40"/>
      <c r="F19" s="40"/>
      <c r="G19" s="336" t="s">
        <v>72</v>
      </c>
      <c r="H19" s="40"/>
      <c r="I19" s="40"/>
      <c r="J19" s="40"/>
      <c r="L19" s="337" t="s">
        <v>774</v>
      </c>
      <c r="M19" s="338" t="s">
        <v>146</v>
      </c>
      <c r="N19" s="133" t="s">
        <v>773</v>
      </c>
      <c r="O19" s="11"/>
      <c r="P19" s="161" t="s">
        <v>302</v>
      </c>
    </row>
    <row r="20" spans="1:16" s="2" customFormat="1" ht="25.2" customHeight="1">
      <c r="A20" s="231" t="s">
        <v>103</v>
      </c>
      <c r="B20" s="39"/>
      <c r="C20" s="39"/>
      <c r="D20" s="40"/>
      <c r="E20" s="40"/>
      <c r="F20" s="40"/>
      <c r="G20" s="40"/>
      <c r="H20" s="40"/>
      <c r="I20" s="40"/>
      <c r="J20" s="40"/>
      <c r="L20" s="89"/>
      <c r="M20" s="89"/>
      <c r="N20" s="91"/>
      <c r="O20" s="11"/>
      <c r="P20" s="160"/>
    </row>
    <row r="21" spans="1:16" s="2" customFormat="1" ht="25.2" customHeight="1">
      <c r="A21" s="231" t="s">
        <v>103</v>
      </c>
      <c r="B21" s="39"/>
      <c r="C21" s="39"/>
      <c r="D21" s="40"/>
      <c r="E21" s="40"/>
      <c r="F21" s="40"/>
      <c r="G21" s="40"/>
      <c r="H21" s="40"/>
      <c r="I21" s="40"/>
      <c r="J21" s="40"/>
      <c r="L21" s="89"/>
      <c r="M21" s="89"/>
      <c r="N21" s="91"/>
      <c r="O21" s="11"/>
      <c r="P21" s="160"/>
    </row>
    <row r="22" spans="1:16" s="2" customFormat="1" ht="25.2" customHeight="1">
      <c r="A22" s="231" t="s">
        <v>103</v>
      </c>
      <c r="B22" s="39"/>
      <c r="C22" s="39"/>
      <c r="D22" s="40"/>
      <c r="E22" s="40"/>
      <c r="F22" s="40"/>
      <c r="G22" s="40"/>
      <c r="H22" s="40"/>
      <c r="I22" s="40"/>
      <c r="J22" s="40"/>
      <c r="L22" s="89"/>
      <c r="M22" s="89"/>
      <c r="N22" s="91"/>
      <c r="O22" s="11"/>
      <c r="P22" s="160"/>
    </row>
    <row r="23" spans="1:16" s="2" customFormat="1" ht="25.2" customHeight="1">
      <c r="A23" s="231" t="s">
        <v>103</v>
      </c>
      <c r="B23" s="39"/>
      <c r="C23" s="39"/>
      <c r="D23" s="40"/>
      <c r="E23" s="40"/>
      <c r="F23" s="40"/>
      <c r="G23" s="40"/>
      <c r="H23" s="40"/>
      <c r="I23" s="40"/>
      <c r="J23" s="40"/>
      <c r="L23" s="89"/>
      <c r="M23" s="89"/>
      <c r="N23" s="91"/>
      <c r="O23" s="11"/>
      <c r="P23" s="160"/>
    </row>
    <row r="24" spans="1:16" s="2" customFormat="1" ht="25.2" customHeight="1">
      <c r="A24" s="231" t="s">
        <v>103</v>
      </c>
      <c r="B24" s="39"/>
      <c r="C24" s="39"/>
      <c r="D24" s="40"/>
      <c r="E24" s="40"/>
      <c r="F24" s="40"/>
      <c r="G24" s="40"/>
      <c r="H24" s="40"/>
      <c r="I24" s="40"/>
      <c r="J24" s="40"/>
      <c r="L24" s="89"/>
      <c r="M24" s="89"/>
      <c r="N24" s="91"/>
      <c r="O24" s="11"/>
      <c r="P24" s="160"/>
    </row>
    <row r="25" spans="1:16" s="2" customFormat="1" ht="25.2" customHeight="1">
      <c r="A25" s="231" t="s">
        <v>103</v>
      </c>
      <c r="B25" s="39"/>
      <c r="C25" s="39"/>
      <c r="D25" s="40"/>
      <c r="E25" s="40"/>
      <c r="F25" s="40"/>
      <c r="G25" s="40"/>
      <c r="H25" s="40"/>
      <c r="I25" s="40"/>
      <c r="J25" s="40"/>
      <c r="L25" s="89"/>
      <c r="M25" s="89"/>
      <c r="N25" s="91"/>
      <c r="O25" s="11"/>
      <c r="P25" s="160"/>
    </row>
    <row r="26" spans="1:16" s="2" customFormat="1" ht="25.2" customHeight="1">
      <c r="A26" s="231" t="s">
        <v>103</v>
      </c>
      <c r="B26" s="39"/>
      <c r="C26" s="39"/>
      <c r="D26" s="40"/>
      <c r="E26" s="40"/>
      <c r="F26" s="40"/>
      <c r="G26" s="40"/>
      <c r="H26" s="40"/>
      <c r="I26" s="40"/>
      <c r="J26" s="40"/>
      <c r="L26" s="89"/>
      <c r="M26" s="89"/>
      <c r="N26" s="4"/>
      <c r="O26" s="11"/>
      <c r="P26" s="160"/>
    </row>
    <row r="27" spans="1:16" s="2" customFormat="1" ht="25.2" customHeight="1">
      <c r="A27" s="231" t="s">
        <v>103</v>
      </c>
      <c r="B27" s="39"/>
      <c r="C27" s="39"/>
      <c r="D27" s="40"/>
      <c r="E27" s="40"/>
      <c r="F27" s="40"/>
      <c r="G27" s="40"/>
      <c r="H27" s="40"/>
      <c r="I27" s="40"/>
      <c r="J27" s="40"/>
      <c r="L27" s="89"/>
      <c r="M27" s="89"/>
      <c r="N27" s="4"/>
      <c r="O27" s="11"/>
      <c r="P27" s="160"/>
    </row>
    <row r="28" spans="1:16" s="2" customFormat="1" ht="25.2" customHeight="1">
      <c r="A28" s="231" t="s">
        <v>103</v>
      </c>
      <c r="B28" s="39"/>
      <c r="C28" s="39"/>
      <c r="D28" s="40"/>
      <c r="E28" s="40"/>
      <c r="F28" s="40"/>
      <c r="G28" s="40"/>
      <c r="H28" s="40"/>
      <c r="I28" s="40"/>
      <c r="J28" s="40"/>
      <c r="L28" s="89"/>
      <c r="M28" s="89"/>
      <c r="N28" s="4"/>
      <c r="O28" s="11"/>
      <c r="P28" s="160"/>
    </row>
    <row r="29" spans="1:16" s="2" customFormat="1" ht="25.2" customHeight="1">
      <c r="A29" s="231" t="s">
        <v>103</v>
      </c>
      <c r="B29" s="39"/>
      <c r="C29" s="39"/>
      <c r="D29" s="40"/>
      <c r="E29" s="40"/>
      <c r="F29" s="40"/>
      <c r="G29" s="40"/>
      <c r="H29" s="40"/>
      <c r="I29" s="40"/>
      <c r="J29" s="40"/>
      <c r="L29" s="89"/>
      <c r="M29" s="89"/>
      <c r="N29" s="4"/>
      <c r="O29" s="11"/>
      <c r="P29" s="160"/>
    </row>
    <row r="30" spans="1:16" s="2" customFormat="1" ht="25.2" customHeight="1">
      <c r="A30" s="231" t="s">
        <v>103</v>
      </c>
      <c r="B30" s="39"/>
      <c r="C30" s="39"/>
      <c r="D30" s="40"/>
      <c r="E30" s="40"/>
      <c r="F30" s="40"/>
      <c r="G30" s="40"/>
      <c r="H30" s="40"/>
      <c r="I30" s="40"/>
      <c r="J30" s="40"/>
      <c r="L30" s="89"/>
      <c r="M30" s="89"/>
      <c r="N30" s="4"/>
      <c r="O30" s="11"/>
      <c r="P30" s="160"/>
    </row>
    <row r="31" spans="1:16" s="2" customFormat="1" ht="25.2" customHeight="1">
      <c r="A31" s="231" t="s">
        <v>103</v>
      </c>
      <c r="B31" s="39"/>
      <c r="C31" s="39"/>
      <c r="D31" s="40"/>
      <c r="E31" s="40"/>
      <c r="F31" s="40"/>
      <c r="G31" s="40"/>
      <c r="H31" s="40"/>
      <c r="I31" s="40"/>
      <c r="J31" s="40"/>
      <c r="L31" s="89"/>
      <c r="M31" s="89"/>
      <c r="N31" s="4"/>
      <c r="O31" s="11"/>
      <c r="P31" s="160"/>
    </row>
    <row r="32" spans="1:16" s="2" customFormat="1" ht="25.2" customHeight="1">
      <c r="A32" s="231" t="s">
        <v>103</v>
      </c>
      <c r="B32" s="39"/>
      <c r="C32" s="39"/>
      <c r="D32" s="40"/>
      <c r="E32" s="40"/>
      <c r="F32" s="40"/>
      <c r="G32" s="40"/>
      <c r="H32" s="40"/>
      <c r="I32" s="40"/>
      <c r="J32" s="40"/>
      <c r="L32" s="89"/>
      <c r="M32" s="89"/>
      <c r="N32" s="4"/>
      <c r="O32" s="11"/>
      <c r="P32" s="160"/>
    </row>
    <row r="33" spans="1:16" s="2" customFormat="1" ht="25.2" customHeight="1">
      <c r="A33" s="231" t="s">
        <v>103</v>
      </c>
      <c r="B33" s="39"/>
      <c r="C33" s="39"/>
      <c r="D33" s="40"/>
      <c r="E33" s="40"/>
      <c r="F33" s="40"/>
      <c r="G33" s="40"/>
      <c r="H33" s="40"/>
      <c r="I33" s="40"/>
      <c r="J33" s="40"/>
      <c r="L33" s="89"/>
      <c r="M33" s="89"/>
      <c r="N33" s="4"/>
      <c r="O33" s="11"/>
      <c r="P33" s="160"/>
    </row>
    <row r="34" spans="1:16" s="2" customFormat="1" ht="25.2" customHeight="1">
      <c r="A34" s="231" t="s">
        <v>103</v>
      </c>
      <c r="B34" s="39"/>
      <c r="C34" s="39"/>
      <c r="D34" s="40"/>
      <c r="E34" s="40"/>
      <c r="F34" s="40"/>
      <c r="G34" s="40"/>
      <c r="H34" s="40"/>
      <c r="I34" s="40"/>
      <c r="J34" s="40"/>
      <c r="L34" s="89"/>
      <c r="M34" s="89"/>
      <c r="N34" s="4"/>
      <c r="O34" s="11"/>
      <c r="P34" s="160"/>
    </row>
    <row r="35" spans="1:16" s="2" customFormat="1" ht="25.2" customHeight="1">
      <c r="A35" s="231" t="s">
        <v>103</v>
      </c>
      <c r="B35" s="39"/>
      <c r="C35" s="39"/>
      <c r="D35" s="40"/>
      <c r="E35" s="40"/>
      <c r="F35" s="40"/>
      <c r="G35" s="40"/>
      <c r="H35" s="40"/>
      <c r="I35" s="40"/>
      <c r="J35" s="40"/>
      <c r="L35" s="89"/>
      <c r="M35" s="89"/>
      <c r="N35" s="4"/>
      <c r="O35" s="11"/>
      <c r="P35" s="160"/>
    </row>
    <row r="36" spans="1:16" s="2" customFormat="1" ht="25.2" customHeight="1">
      <c r="A36" s="231" t="s">
        <v>103</v>
      </c>
      <c r="B36" s="39"/>
      <c r="C36" s="39"/>
      <c r="D36" s="40"/>
      <c r="E36" s="40"/>
      <c r="F36" s="40"/>
      <c r="G36" s="40"/>
      <c r="H36" s="40"/>
      <c r="I36" s="40"/>
      <c r="K36" s="40"/>
      <c r="L36" s="89"/>
      <c r="M36" s="89"/>
      <c r="N36" s="4"/>
      <c r="O36" s="11"/>
      <c r="P36" s="160"/>
    </row>
    <row r="37" spans="1:16" s="2" customFormat="1" ht="25.2" customHeight="1">
      <c r="A37" s="231" t="s">
        <v>103</v>
      </c>
      <c r="B37" s="39"/>
      <c r="C37" s="39"/>
      <c r="D37" s="40"/>
      <c r="E37" s="40"/>
      <c r="F37" s="40"/>
      <c r="G37" s="40"/>
      <c r="H37" s="40"/>
      <c r="I37" s="40"/>
      <c r="J37" s="40"/>
      <c r="L37" s="89"/>
      <c r="M37" s="89"/>
      <c r="N37" s="4"/>
      <c r="O37" s="11"/>
      <c r="P37" s="160"/>
    </row>
    <row r="38" spans="1:16" s="2" customFormat="1" ht="25.2" customHeight="1">
      <c r="A38" s="231" t="s">
        <v>103</v>
      </c>
      <c r="B38" s="39"/>
      <c r="C38" s="39"/>
      <c r="D38" s="40"/>
      <c r="E38" s="40"/>
      <c r="F38" s="40"/>
      <c r="G38" s="40"/>
      <c r="H38" s="40"/>
      <c r="I38" s="40"/>
      <c r="J38" s="40"/>
      <c r="L38" s="89"/>
      <c r="M38" s="89"/>
      <c r="N38" s="4"/>
      <c r="O38" s="11"/>
      <c r="P38" s="160"/>
    </row>
    <row r="39" spans="1:16" s="2" customFormat="1" ht="25.2" customHeight="1">
      <c r="A39" s="231" t="s">
        <v>103</v>
      </c>
      <c r="B39" s="39"/>
      <c r="C39" s="39"/>
      <c r="D39" s="40"/>
      <c r="E39" s="40"/>
      <c r="F39" s="40"/>
      <c r="G39" s="40"/>
      <c r="H39" s="40"/>
      <c r="I39" s="40"/>
      <c r="J39" s="40"/>
      <c r="L39" s="89"/>
      <c r="M39" s="89"/>
      <c r="N39" s="4"/>
      <c r="O39" s="11"/>
      <c r="P39" s="160"/>
    </row>
    <row r="40" spans="1:16" s="2" customFormat="1" ht="25.2" customHeight="1">
      <c r="A40" s="231" t="s">
        <v>103</v>
      </c>
      <c r="B40" s="39"/>
      <c r="C40" s="39"/>
      <c r="D40" s="40"/>
      <c r="E40" s="40"/>
      <c r="F40" s="40"/>
      <c r="G40" s="40"/>
      <c r="H40" s="40"/>
      <c r="I40" s="40"/>
      <c r="J40" s="40"/>
      <c r="L40" s="89"/>
      <c r="M40" s="89"/>
      <c r="N40" s="4"/>
      <c r="O40" s="11"/>
      <c r="P40" s="160"/>
    </row>
    <row r="41" spans="1:16" s="2" customFormat="1" ht="25.2" customHeight="1">
      <c r="A41" s="231" t="s">
        <v>103</v>
      </c>
      <c r="B41" s="39"/>
      <c r="C41" s="39"/>
      <c r="D41" s="40"/>
      <c r="E41" s="40"/>
      <c r="F41" s="40"/>
      <c r="G41" s="40"/>
      <c r="H41" s="40"/>
      <c r="I41" s="40"/>
      <c r="J41" s="40"/>
      <c r="L41" s="89"/>
      <c r="M41" s="89"/>
      <c r="N41" s="4"/>
      <c r="O41" s="11"/>
      <c r="P41" s="160"/>
    </row>
    <row r="42" spans="1:16" s="2" customFormat="1" ht="25.2" customHeight="1">
      <c r="A42" s="231" t="s">
        <v>103</v>
      </c>
      <c r="B42" s="39"/>
      <c r="C42" s="39"/>
      <c r="D42" s="40"/>
      <c r="E42" s="40"/>
      <c r="F42" s="40"/>
      <c r="G42" s="40"/>
      <c r="H42" s="40"/>
      <c r="I42" s="40"/>
      <c r="J42" s="40"/>
      <c r="L42" s="89"/>
      <c r="M42" s="89"/>
      <c r="N42" s="4"/>
      <c r="O42" s="11"/>
      <c r="P42" s="160"/>
    </row>
    <row r="43" spans="1:16" s="2" customFormat="1" ht="25.2" customHeight="1">
      <c r="A43" s="231" t="s">
        <v>103</v>
      </c>
      <c r="B43" s="39"/>
      <c r="C43" s="39"/>
      <c r="D43" s="40"/>
      <c r="E43" s="40"/>
      <c r="F43" s="40"/>
      <c r="G43" s="40"/>
      <c r="H43" s="40"/>
      <c r="I43" s="40"/>
      <c r="J43" s="40"/>
      <c r="L43" s="89"/>
      <c r="M43" s="89"/>
      <c r="N43" s="4"/>
      <c r="O43" s="11"/>
      <c r="P43" s="160"/>
    </row>
    <row r="44" spans="1:16" s="2" customFormat="1" ht="25.2" customHeight="1">
      <c r="A44" s="231" t="s">
        <v>103</v>
      </c>
      <c r="B44" s="39"/>
      <c r="C44" s="39"/>
      <c r="D44" s="40"/>
      <c r="E44" s="40"/>
      <c r="F44" s="40"/>
      <c r="G44" s="40"/>
      <c r="H44" s="40"/>
      <c r="I44" s="40"/>
      <c r="J44" s="40"/>
      <c r="L44" s="89"/>
      <c r="M44" s="89"/>
      <c r="N44" s="4"/>
      <c r="O44" s="11"/>
      <c r="P44" s="160"/>
    </row>
    <row r="45" spans="1:16" s="2" customFormat="1" ht="25.2" customHeight="1">
      <c r="A45" s="231" t="s">
        <v>103</v>
      </c>
      <c r="B45" s="39"/>
      <c r="C45" s="39"/>
      <c r="D45" s="40"/>
      <c r="E45" s="40"/>
      <c r="F45" s="40"/>
      <c r="G45" s="40"/>
      <c r="H45" s="40"/>
      <c r="I45" s="40"/>
      <c r="J45" s="40"/>
      <c r="L45" s="89"/>
      <c r="M45" s="89"/>
      <c r="N45" s="4"/>
      <c r="O45" s="11"/>
      <c r="P45" s="160"/>
    </row>
    <row r="46" spans="1:16" s="2" customFormat="1" ht="25.2" customHeight="1">
      <c r="A46" s="231" t="s">
        <v>103</v>
      </c>
      <c r="B46" s="39"/>
      <c r="C46" s="39"/>
      <c r="D46" s="40"/>
      <c r="E46" s="40"/>
      <c r="F46" s="40"/>
      <c r="G46" s="40"/>
      <c r="H46" s="40"/>
      <c r="I46" s="40"/>
      <c r="J46" s="40"/>
      <c r="L46" s="89"/>
      <c r="M46" s="89"/>
      <c r="N46" s="4"/>
      <c r="O46" s="11"/>
      <c r="P46" s="160"/>
    </row>
    <row r="47" spans="1:16" s="2" customFormat="1" ht="25.2" customHeight="1">
      <c r="A47" s="231" t="s">
        <v>103</v>
      </c>
      <c r="B47" s="39"/>
      <c r="C47" s="39"/>
      <c r="D47" s="40"/>
      <c r="E47" s="40"/>
      <c r="F47" s="40"/>
      <c r="G47" s="40"/>
      <c r="H47" s="40"/>
      <c r="I47" s="40"/>
      <c r="J47" s="40"/>
      <c r="L47" s="89"/>
      <c r="M47" s="89"/>
      <c r="N47" s="4"/>
      <c r="O47" s="11"/>
      <c r="P47" s="160"/>
    </row>
    <row r="48" spans="1:16" s="2" customFormat="1" ht="25.2" customHeight="1">
      <c r="A48" s="231" t="s">
        <v>103</v>
      </c>
      <c r="B48" s="39"/>
      <c r="C48" s="39"/>
      <c r="D48" s="40"/>
      <c r="E48" s="40"/>
      <c r="F48" s="40"/>
      <c r="G48" s="40"/>
      <c r="H48" s="40"/>
      <c r="I48" s="40"/>
      <c r="J48" s="40"/>
      <c r="L48" s="89"/>
      <c r="M48" s="89"/>
      <c r="N48" s="4"/>
      <c r="O48" s="11"/>
      <c r="P48" s="160"/>
    </row>
    <row r="49" spans="1:16" s="2" customFormat="1" ht="25.2" customHeight="1">
      <c r="A49" s="231" t="s">
        <v>103</v>
      </c>
      <c r="B49" s="39"/>
      <c r="C49" s="39"/>
      <c r="D49" s="40"/>
      <c r="E49" s="40"/>
      <c r="F49" s="40"/>
      <c r="G49" s="40"/>
      <c r="H49" s="40"/>
      <c r="I49" s="40"/>
      <c r="J49" s="40"/>
      <c r="L49" s="89"/>
      <c r="M49" s="89"/>
      <c r="N49" s="4"/>
      <c r="O49" s="11"/>
      <c r="P49" s="160"/>
    </row>
    <row r="50" spans="1:16" s="2" customFormat="1" ht="25.2" customHeight="1">
      <c r="A50" s="231" t="s">
        <v>103</v>
      </c>
      <c r="B50" s="39"/>
      <c r="C50" s="39"/>
      <c r="D50" s="40"/>
      <c r="E50" s="40"/>
      <c r="F50" s="40"/>
      <c r="G50" s="40"/>
      <c r="H50" s="40"/>
      <c r="I50" s="40"/>
      <c r="J50" s="40"/>
      <c r="L50" s="89"/>
      <c r="M50" s="89"/>
      <c r="N50" s="4"/>
      <c r="O50" s="11"/>
      <c r="P50" s="160"/>
    </row>
    <row r="51" spans="1:16" s="2" customFormat="1" ht="25.2" customHeight="1">
      <c r="A51" s="28"/>
      <c r="B51" s="39"/>
      <c r="C51" s="39"/>
      <c r="D51" s="40"/>
      <c r="E51" s="40"/>
      <c r="F51" s="40"/>
      <c r="G51" s="40"/>
      <c r="H51" s="40"/>
      <c r="I51" s="40"/>
      <c r="J51" s="40"/>
      <c r="L51" s="89"/>
      <c r="M51" s="89"/>
      <c r="N51" s="4"/>
      <c r="O51" s="11"/>
    </row>
    <row r="52" spans="1:16" s="2" customFormat="1" ht="25.2" customHeight="1">
      <c r="A52" s="28"/>
      <c r="B52" s="39"/>
      <c r="C52" s="39"/>
      <c r="D52" s="40"/>
      <c r="E52" s="40"/>
      <c r="F52" s="40"/>
      <c r="G52" s="40"/>
      <c r="H52" s="40"/>
      <c r="I52" s="40"/>
      <c r="J52" s="40"/>
      <c r="L52" s="89"/>
      <c r="M52" s="89"/>
      <c r="N52" s="4"/>
      <c r="O52" s="11"/>
    </row>
    <row r="53" spans="1:16" s="2" customFormat="1" ht="25.2" customHeight="1">
      <c r="A53" s="28"/>
      <c r="B53" s="39"/>
      <c r="C53" s="39"/>
      <c r="D53" s="40"/>
      <c r="E53" s="40"/>
      <c r="F53" s="40"/>
      <c r="G53" s="40"/>
      <c r="H53" s="40"/>
      <c r="I53" s="40"/>
      <c r="J53" s="40"/>
      <c r="L53" s="89"/>
      <c r="M53" s="89"/>
      <c r="N53" s="4"/>
      <c r="O53" s="11"/>
    </row>
  </sheetData>
  <hyperlinks>
    <hyperlink ref="N3" r:id="rId1" xr:uid="{EE1BF211-B297-4F95-90CF-D95ACD345476}"/>
    <hyperlink ref="N4" r:id="rId2" xr:uid="{D0977A42-722F-4A51-A36B-D5985E44C16A}"/>
    <hyperlink ref="N5" r:id="rId3" xr:uid="{244F9BDD-95BD-4F6E-AE2D-5CC054A47BFF}"/>
    <hyperlink ref="N6" r:id="rId4" xr:uid="{02614A8B-8336-470F-B970-65D531EEC668}"/>
    <hyperlink ref="N7" r:id="rId5" xr:uid="{887E84A7-25E7-412C-A31F-E752878BEC91}"/>
    <hyperlink ref="N8" r:id="rId6" xr:uid="{0919D940-49B8-43E8-A97A-4C434E5CE28A}"/>
    <hyperlink ref="N9" r:id="rId7" xr:uid="{224ACBBF-6AD1-4CE6-B220-1D858C92A7D6}"/>
    <hyperlink ref="N10" r:id="rId8" xr:uid="{9902CF38-864C-4D82-9BB3-6704855F7FB2}"/>
    <hyperlink ref="N11" r:id="rId9" xr:uid="{30731101-36F1-48DA-902B-BA5578EAAD8F}"/>
    <hyperlink ref="N12" r:id="rId10" xr:uid="{51B162EB-DB70-49E2-BCEA-D299AE871C0F}"/>
    <hyperlink ref="N13" r:id="rId11" xr:uid="{F066E73B-A829-4D5E-A4D2-93BA1B9FA947}"/>
    <hyperlink ref="N14" r:id="rId12" xr:uid="{39502A48-EB5A-40B2-9E88-40FE9988874C}"/>
    <hyperlink ref="N15" r:id="rId13" xr:uid="{A33B4B50-94FD-4BA9-B0B0-30B1BC11D53D}"/>
    <hyperlink ref="N16" r:id="rId14" xr:uid="{DCEE851C-C98B-4FC3-A0D4-C4D3690866B5}"/>
    <hyperlink ref="N17" r:id="rId15" xr:uid="{CA4A323B-B955-4123-84D5-CF395EAE1B17}"/>
    <hyperlink ref="N18" r:id="rId16" xr:uid="{5DCFA08B-C101-43C6-BCCD-2A7EDAC8E4AB}"/>
    <hyperlink ref="N19" r:id="rId17" xr:uid="{07EF5D0B-7372-4E02-A3C8-11426463C638}"/>
  </hyperlinks>
  <pageMargins left="0.7" right="0.7" top="0.78740157499999996" bottom="0.78740157499999996" header="0.3" footer="0.3"/>
  <pageSetup paperSize="9" orientation="portrait" r:id="rId18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85FE02-37DF-411A-A070-F10A10BF27F4}">
  <sheetPr codeName="Tabelle10"/>
  <dimension ref="A1:P35"/>
  <sheetViews>
    <sheetView workbookViewId="0">
      <selection activeCell="A3" sqref="A3:XFD3"/>
    </sheetView>
  </sheetViews>
  <sheetFormatPr baseColWidth="10" defaultColWidth="11.5546875" defaultRowHeight="15.6"/>
  <cols>
    <col min="1" max="1" width="8.33203125" style="132" customWidth="1"/>
    <col min="2" max="10" width="3.6640625" style="127" bestFit="1" customWidth="1"/>
    <col min="11" max="11" width="6.6640625" bestFit="1" customWidth="1"/>
    <col min="12" max="12" width="23.5546875" style="112" bestFit="1" customWidth="1"/>
    <col min="13" max="13" width="23.44140625" style="126" bestFit="1" customWidth="1"/>
    <col min="14" max="14" width="18.5546875" style="128" bestFit="1" customWidth="1"/>
    <col min="15" max="15" width="32.5546875" style="130" bestFit="1" customWidth="1"/>
    <col min="16" max="16384" width="11.5546875" style="126"/>
  </cols>
  <sheetData>
    <row r="1" spans="1:16" s="110" customFormat="1" ht="55.2" customHeight="1">
      <c r="A1" s="116" t="s">
        <v>96</v>
      </c>
      <c r="B1" s="259" t="s">
        <v>109</v>
      </c>
      <c r="C1" s="259" t="s">
        <v>136</v>
      </c>
      <c r="D1" s="259" t="s">
        <v>137</v>
      </c>
      <c r="E1" s="259" t="s">
        <v>224</v>
      </c>
      <c r="F1" s="259" t="s">
        <v>138</v>
      </c>
      <c r="G1" s="259" t="s">
        <v>146</v>
      </c>
      <c r="H1" s="259" t="s">
        <v>195</v>
      </c>
      <c r="I1" s="259" t="s">
        <v>235</v>
      </c>
      <c r="J1" s="259" t="s">
        <v>223</v>
      </c>
      <c r="K1" s="259" t="s">
        <v>390</v>
      </c>
      <c r="L1" s="114" t="s">
        <v>70</v>
      </c>
      <c r="M1" s="117" t="s">
        <v>71</v>
      </c>
      <c r="N1" s="118" t="s">
        <v>14</v>
      </c>
      <c r="O1" s="119" t="s">
        <v>97</v>
      </c>
    </row>
    <row r="2" spans="1:16" s="110" customFormat="1" ht="25.2" customHeight="1">
      <c r="A2" s="120" t="s">
        <v>104</v>
      </c>
      <c r="B2" s="121"/>
      <c r="C2" s="121"/>
      <c r="D2" s="108"/>
      <c r="E2" s="108"/>
      <c r="F2" s="108"/>
      <c r="G2" s="108"/>
      <c r="H2" s="108"/>
      <c r="I2" s="108"/>
      <c r="J2" s="108"/>
      <c r="L2" s="115"/>
      <c r="M2" s="122" t="s">
        <v>28</v>
      </c>
      <c r="N2" s="123"/>
      <c r="O2" s="107"/>
    </row>
    <row r="3" spans="1:16" s="110" customFormat="1" ht="25.2" customHeight="1">
      <c r="A3" s="104" t="s">
        <v>102</v>
      </c>
      <c r="B3" s="106" t="s">
        <v>72</v>
      </c>
      <c r="C3" s="106"/>
      <c r="D3" s="103" t="s">
        <v>72</v>
      </c>
      <c r="E3" s="103"/>
      <c r="F3" s="103"/>
      <c r="G3" s="103"/>
      <c r="H3" s="103"/>
      <c r="I3" s="103"/>
      <c r="J3" s="103"/>
      <c r="L3" s="105" t="s">
        <v>19</v>
      </c>
      <c r="M3" s="124" t="s">
        <v>29</v>
      </c>
      <c r="N3" s="133" t="s">
        <v>180</v>
      </c>
      <c r="O3" s="107"/>
      <c r="P3" s="152" t="s">
        <v>302</v>
      </c>
    </row>
    <row r="4" spans="1:16" s="110" customFormat="1" ht="46.8">
      <c r="A4" s="104" t="s">
        <v>101</v>
      </c>
      <c r="B4" s="106" t="s">
        <v>72</v>
      </c>
      <c r="C4" s="36"/>
      <c r="D4" s="37"/>
      <c r="E4" s="37"/>
      <c r="F4" s="37"/>
      <c r="G4" s="37"/>
      <c r="H4" s="37"/>
      <c r="I4" s="37"/>
      <c r="J4" s="37"/>
      <c r="L4" s="105"/>
      <c r="M4" s="124" t="s">
        <v>27</v>
      </c>
      <c r="N4" s="133" t="s">
        <v>172</v>
      </c>
      <c r="O4" s="107"/>
      <c r="P4" s="152" t="s">
        <v>302</v>
      </c>
    </row>
    <row r="5" spans="1:16" s="110" customFormat="1" ht="20.100000000000001" customHeight="1">
      <c r="A5" s="104" t="s">
        <v>101</v>
      </c>
      <c r="B5" s="106" t="s">
        <v>72</v>
      </c>
      <c r="C5" s="36"/>
      <c r="D5" s="37"/>
      <c r="E5" s="37"/>
      <c r="F5" s="37"/>
      <c r="G5" s="37"/>
      <c r="H5" s="37"/>
      <c r="I5" s="37"/>
      <c r="J5" s="37"/>
      <c r="L5" s="105"/>
      <c r="M5" s="124"/>
      <c r="N5" s="133" t="s">
        <v>145</v>
      </c>
      <c r="O5" s="107" t="s">
        <v>144</v>
      </c>
      <c r="P5" s="152" t="s">
        <v>302</v>
      </c>
    </row>
    <row r="6" spans="1:16" s="110" customFormat="1" ht="20.100000000000001" customHeight="1">
      <c r="A6" s="104" t="s">
        <v>102</v>
      </c>
      <c r="B6" s="106" t="s">
        <v>72</v>
      </c>
      <c r="C6" s="106"/>
      <c r="D6" s="103" t="s">
        <v>72</v>
      </c>
      <c r="E6" s="103"/>
      <c r="F6" s="103"/>
      <c r="G6" s="103"/>
      <c r="H6" s="103"/>
      <c r="I6" s="103"/>
      <c r="J6" s="103"/>
      <c r="L6" s="105" t="s">
        <v>18</v>
      </c>
      <c r="M6" s="124"/>
      <c r="N6" s="133" t="s">
        <v>181</v>
      </c>
      <c r="O6" s="107"/>
      <c r="P6" s="152" t="s">
        <v>302</v>
      </c>
    </row>
    <row r="7" spans="1:16" s="110" customFormat="1" ht="20.100000000000001" customHeight="1">
      <c r="A7" s="104" t="s">
        <v>101</v>
      </c>
      <c r="B7" s="106" t="s">
        <v>72</v>
      </c>
      <c r="C7" s="36"/>
      <c r="D7" s="37"/>
      <c r="E7" s="37"/>
      <c r="F7" s="37"/>
      <c r="G7" s="37"/>
      <c r="H7" s="37"/>
      <c r="I7" s="37"/>
      <c r="J7" s="37"/>
      <c r="L7" s="105"/>
      <c r="M7" s="124"/>
      <c r="N7" s="133" t="s">
        <v>182</v>
      </c>
      <c r="O7" s="107"/>
      <c r="P7" s="152" t="s">
        <v>302</v>
      </c>
    </row>
    <row r="8" spans="1:16" ht="20.100000000000001" customHeight="1">
      <c r="A8" s="104" t="s">
        <v>102</v>
      </c>
      <c r="B8" s="106" t="s">
        <v>72</v>
      </c>
      <c r="C8" s="106" t="s">
        <v>72</v>
      </c>
      <c r="D8" s="103" t="s">
        <v>72</v>
      </c>
      <c r="E8" s="103"/>
      <c r="F8" s="103"/>
      <c r="G8" s="103"/>
      <c r="H8" s="103"/>
      <c r="I8" s="103"/>
      <c r="J8" s="103"/>
      <c r="K8" s="184"/>
      <c r="L8" s="105" t="s">
        <v>17</v>
      </c>
      <c r="N8" s="133" t="s">
        <v>182</v>
      </c>
      <c r="O8" s="107"/>
      <c r="P8" s="153" t="s">
        <v>302</v>
      </c>
    </row>
    <row r="9" spans="1:16" ht="20.100000000000001" customHeight="1">
      <c r="A9" s="104" t="s">
        <v>102</v>
      </c>
      <c r="B9" s="106" t="s">
        <v>72</v>
      </c>
      <c r="I9" s="127" t="s">
        <v>72</v>
      </c>
      <c r="K9" s="184"/>
      <c r="L9" s="105" t="s">
        <v>259</v>
      </c>
      <c r="N9" s="133" t="s">
        <v>325</v>
      </c>
      <c r="O9" s="107"/>
      <c r="P9" s="153" t="s">
        <v>302</v>
      </c>
    </row>
    <row r="10" spans="1:16" ht="20.100000000000001" customHeight="1">
      <c r="A10" s="104" t="s">
        <v>102</v>
      </c>
      <c r="B10" s="106" t="s">
        <v>72</v>
      </c>
      <c r="I10" s="127" t="s">
        <v>72</v>
      </c>
      <c r="K10" s="184"/>
      <c r="L10" s="105" t="s">
        <v>260</v>
      </c>
      <c r="N10" s="133" t="s">
        <v>260</v>
      </c>
      <c r="O10" s="107"/>
      <c r="P10" s="153" t="s">
        <v>302</v>
      </c>
    </row>
    <row r="11" spans="1:16" ht="20.100000000000001" customHeight="1">
      <c r="A11" s="104" t="s">
        <v>103</v>
      </c>
      <c r="B11" s="106"/>
      <c r="K11" s="184"/>
      <c r="N11" s="125"/>
      <c r="O11" s="107"/>
      <c r="P11" s="151"/>
    </row>
    <row r="12" spans="1:16" ht="20.100000000000001" customHeight="1">
      <c r="A12" s="129"/>
      <c r="B12" s="106"/>
      <c r="K12" s="184"/>
      <c r="N12" s="125"/>
      <c r="O12" s="107"/>
    </row>
    <row r="13" spans="1:16" ht="20.100000000000001" customHeight="1">
      <c r="A13" s="129"/>
      <c r="B13" s="106"/>
      <c r="K13" s="184"/>
      <c r="O13" s="107"/>
    </row>
    <row r="14" spans="1:16" ht="20.100000000000001" customHeight="1">
      <c r="A14" s="129"/>
      <c r="B14" s="106"/>
      <c r="K14" s="184"/>
    </row>
    <row r="15" spans="1:16" ht="20.100000000000001" customHeight="1">
      <c r="A15" s="129"/>
      <c r="K15" s="184"/>
    </row>
    <row r="16" spans="1:16" ht="20.100000000000001" customHeight="1">
      <c r="A16" s="129"/>
      <c r="K16" s="184"/>
    </row>
    <row r="17" spans="1:11" ht="20.100000000000001" customHeight="1">
      <c r="A17" s="129"/>
      <c r="K17" s="184"/>
    </row>
    <row r="18" spans="1:11" ht="20.100000000000001" customHeight="1">
      <c r="A18" s="131"/>
      <c r="K18" s="184"/>
    </row>
    <row r="19" spans="1:11">
      <c r="K19" s="184"/>
    </row>
    <row r="20" spans="1:11">
      <c r="K20" s="184"/>
    </row>
    <row r="21" spans="1:11">
      <c r="K21" s="184"/>
    </row>
    <row r="22" spans="1:11">
      <c r="K22" s="184"/>
    </row>
    <row r="23" spans="1:11">
      <c r="K23" s="184"/>
    </row>
    <row r="24" spans="1:11">
      <c r="K24" s="184"/>
    </row>
    <row r="25" spans="1:11">
      <c r="K25" s="184"/>
    </row>
    <row r="26" spans="1:11">
      <c r="K26" s="184"/>
    </row>
    <row r="27" spans="1:11">
      <c r="K27" s="184"/>
    </row>
    <row r="28" spans="1:11">
      <c r="K28" s="184"/>
    </row>
    <row r="29" spans="1:11">
      <c r="K29" s="184"/>
    </row>
    <row r="30" spans="1:11">
      <c r="K30" s="184"/>
    </row>
    <row r="31" spans="1:11">
      <c r="K31" s="184"/>
    </row>
    <row r="32" spans="1:11">
      <c r="K32" s="184"/>
    </row>
    <row r="33" spans="11:11">
      <c r="K33" s="184"/>
    </row>
    <row r="34" spans="11:11">
      <c r="K34" s="184"/>
    </row>
    <row r="35" spans="11:11">
      <c r="K35" s="127"/>
    </row>
  </sheetData>
  <hyperlinks>
    <hyperlink ref="N3" r:id="rId1" xr:uid="{7B14E0E4-0D8D-4F3F-B360-687265E89F49}"/>
    <hyperlink ref="N4" r:id="rId2" xr:uid="{4E874525-FD53-4155-8B94-8BB3B5657425}"/>
    <hyperlink ref="N5" r:id="rId3" xr:uid="{DC8767A7-39F0-4D75-B453-A2E956A94E64}"/>
    <hyperlink ref="N6" r:id="rId4" xr:uid="{ECF0886C-9C04-4C21-82A6-73F5A88BDE7C}"/>
    <hyperlink ref="N7" r:id="rId5" xr:uid="{73C0FC54-0F26-44F8-9A4D-86818826230C}"/>
    <hyperlink ref="N8" r:id="rId6" xr:uid="{FA7617B5-2B70-4065-AB50-8FC1EC215EEE}"/>
    <hyperlink ref="N9" r:id="rId7" xr:uid="{36A9D8E7-9863-429B-A1F4-15C6B15D6830}"/>
    <hyperlink ref="N10" r:id="rId8" xr:uid="{2C6D06D9-6424-4C0C-82E2-14283E968489}"/>
  </hyperlinks>
  <pageMargins left="0.7" right="0.7" top="0.78740157499999996" bottom="0.78740157499999996" header="0.3" footer="0.3"/>
  <pageSetup paperSize="9" orientation="portrait" r:id="rId9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7C94B8-4882-425D-939E-D3EE7CB3DB94}">
  <sheetPr codeName="Tabelle15"/>
  <dimension ref="A1:P44"/>
  <sheetViews>
    <sheetView workbookViewId="0">
      <selection activeCell="A3" sqref="A3:XFD3"/>
    </sheetView>
  </sheetViews>
  <sheetFormatPr baseColWidth="10" defaultColWidth="11.5546875" defaultRowHeight="15.6"/>
  <cols>
    <col min="1" max="1" width="8.33203125" style="20" customWidth="1"/>
    <col min="2" max="10" width="3.6640625" style="38" bestFit="1" customWidth="1"/>
    <col min="11" max="11" width="6.6640625" bestFit="1" customWidth="1"/>
    <col min="12" max="12" width="26.44140625" style="84" customWidth="1"/>
    <col min="13" max="13" width="19.6640625" style="17" customWidth="1"/>
    <col min="14" max="14" width="24.44140625" style="84" customWidth="1"/>
    <col min="15" max="15" width="32.5546875" style="81" bestFit="1" customWidth="1"/>
    <col min="16" max="16" width="5.88671875" style="17" customWidth="1"/>
    <col min="17" max="16384" width="11.5546875" style="17"/>
  </cols>
  <sheetData>
    <row r="1" spans="1:16" s="2" customFormat="1" ht="55.2" customHeight="1">
      <c r="A1" s="21" t="s">
        <v>96</v>
      </c>
      <c r="B1" s="259" t="s">
        <v>109</v>
      </c>
      <c r="C1" s="259" t="s">
        <v>136</v>
      </c>
      <c r="D1" s="259" t="s">
        <v>137</v>
      </c>
      <c r="E1" s="259" t="s">
        <v>224</v>
      </c>
      <c r="F1" s="259" t="s">
        <v>138</v>
      </c>
      <c r="G1" s="259" t="s">
        <v>146</v>
      </c>
      <c r="H1" s="259" t="s">
        <v>195</v>
      </c>
      <c r="I1" s="259" t="s">
        <v>235</v>
      </c>
      <c r="J1" s="259" t="s">
        <v>223</v>
      </c>
      <c r="K1" s="259" t="s">
        <v>390</v>
      </c>
      <c r="L1" s="82" t="s">
        <v>70</v>
      </c>
      <c r="M1" s="25" t="s">
        <v>71</v>
      </c>
      <c r="N1" s="82" t="s">
        <v>14</v>
      </c>
      <c r="O1" s="24" t="s">
        <v>97</v>
      </c>
    </row>
    <row r="2" spans="1:16" s="2" customFormat="1" ht="20.100000000000001" customHeight="1">
      <c r="A2" s="27" t="s">
        <v>104</v>
      </c>
      <c r="B2" s="32"/>
      <c r="C2" s="32"/>
      <c r="D2" s="33"/>
      <c r="E2" s="33"/>
      <c r="F2" s="33"/>
      <c r="G2" s="33"/>
      <c r="H2" s="33"/>
      <c r="J2" s="33"/>
      <c r="L2" s="83"/>
      <c r="M2" s="10"/>
      <c r="N2" s="83"/>
      <c r="O2" s="11"/>
    </row>
    <row r="3" spans="1:16" s="2" customFormat="1" ht="20.100000000000001" customHeight="1">
      <c r="A3" s="28" t="s">
        <v>102</v>
      </c>
      <c r="B3" s="34" t="s">
        <v>72</v>
      </c>
      <c r="C3" s="34"/>
      <c r="D3" s="35"/>
      <c r="E3" s="35"/>
      <c r="F3" s="35"/>
      <c r="G3" s="35"/>
      <c r="H3" s="35"/>
      <c r="I3" s="103" t="s">
        <v>72</v>
      </c>
      <c r="J3" s="35"/>
      <c r="L3" s="105" t="s">
        <v>247</v>
      </c>
      <c r="M3" s="4"/>
      <c r="N3" s="133" t="s">
        <v>326</v>
      </c>
      <c r="O3" s="11"/>
      <c r="P3" s="161" t="s">
        <v>302</v>
      </c>
    </row>
    <row r="4" spans="1:16" s="2" customFormat="1" ht="20.100000000000001" customHeight="1">
      <c r="A4" s="28" t="s">
        <v>101</v>
      </c>
      <c r="B4" s="34" t="s">
        <v>72</v>
      </c>
      <c r="C4" s="36"/>
      <c r="D4" s="37"/>
      <c r="E4" s="37"/>
      <c r="F4" s="37"/>
      <c r="G4" s="37"/>
      <c r="H4" s="37"/>
      <c r="I4" s="109" t="s">
        <v>72</v>
      </c>
      <c r="J4" s="37"/>
      <c r="M4" s="4"/>
      <c r="N4" s="133" t="s">
        <v>327</v>
      </c>
      <c r="O4" s="105" t="s">
        <v>248</v>
      </c>
      <c r="P4" s="161" t="s">
        <v>302</v>
      </c>
    </row>
    <row r="5" spans="1:16" s="2" customFormat="1" ht="20.100000000000001" customHeight="1">
      <c r="A5" s="104" t="s">
        <v>102</v>
      </c>
      <c r="B5" s="34" t="s">
        <v>72</v>
      </c>
      <c r="C5" s="36"/>
      <c r="D5" s="37"/>
      <c r="E5" s="37"/>
      <c r="F5" s="37"/>
      <c r="G5" s="37"/>
      <c r="H5" s="37"/>
      <c r="I5" s="108" t="s">
        <v>72</v>
      </c>
      <c r="J5" s="37"/>
      <c r="L5" s="1" t="s">
        <v>249</v>
      </c>
      <c r="M5" s="4"/>
      <c r="N5" s="133" t="s">
        <v>328</v>
      </c>
      <c r="O5" s="11"/>
      <c r="P5" s="161" t="s">
        <v>302</v>
      </c>
    </row>
    <row r="6" spans="1:16" s="2" customFormat="1" ht="20.100000000000001" customHeight="1">
      <c r="A6" s="104" t="s">
        <v>102</v>
      </c>
      <c r="B6" s="34" t="s">
        <v>72</v>
      </c>
      <c r="C6" s="34"/>
      <c r="D6" s="35"/>
      <c r="E6" s="35"/>
      <c r="F6" s="35"/>
      <c r="G6" s="35"/>
      <c r="H6" s="35"/>
      <c r="I6" s="35"/>
      <c r="J6" s="205" t="s">
        <v>72</v>
      </c>
      <c r="L6" s="201" t="s">
        <v>571</v>
      </c>
      <c r="M6" s="4"/>
      <c r="N6" s="133" t="s">
        <v>549</v>
      </c>
      <c r="O6" s="11"/>
      <c r="P6" s="161" t="s">
        <v>302</v>
      </c>
    </row>
    <row r="7" spans="1:16" s="2" customFormat="1" ht="20.100000000000001" customHeight="1">
      <c r="A7" s="104" t="s">
        <v>102</v>
      </c>
      <c r="B7" s="34" t="s">
        <v>72</v>
      </c>
      <c r="C7" s="36"/>
      <c r="D7" s="37"/>
      <c r="E7" s="37"/>
      <c r="F7" s="37"/>
      <c r="G7" s="37"/>
      <c r="H7" s="37"/>
      <c r="I7" s="37"/>
      <c r="J7" s="205" t="s">
        <v>72</v>
      </c>
      <c r="L7" s="201" t="s">
        <v>571</v>
      </c>
      <c r="M7" s="4"/>
      <c r="N7" s="133" t="s">
        <v>550</v>
      </c>
      <c r="O7" s="11"/>
      <c r="P7" s="161" t="s">
        <v>302</v>
      </c>
    </row>
    <row r="8" spans="1:16" ht="20.100000000000001" customHeight="1">
      <c r="A8" s="104" t="s">
        <v>102</v>
      </c>
      <c r="B8" s="34" t="s">
        <v>72</v>
      </c>
      <c r="C8" s="34"/>
      <c r="D8" s="35"/>
      <c r="E8" s="35"/>
      <c r="F8" s="35"/>
      <c r="G8" s="35"/>
      <c r="H8" s="35"/>
      <c r="I8" s="35"/>
      <c r="J8" s="205" t="s">
        <v>72</v>
      </c>
      <c r="K8" s="184"/>
      <c r="L8" s="201" t="s">
        <v>571</v>
      </c>
      <c r="N8" s="133" t="s">
        <v>551</v>
      </c>
      <c r="O8" s="11"/>
      <c r="P8" s="167" t="s">
        <v>302</v>
      </c>
    </row>
    <row r="9" spans="1:16" ht="20.100000000000001" customHeight="1">
      <c r="A9" s="104" t="s">
        <v>102</v>
      </c>
      <c r="B9" s="34" t="s">
        <v>72</v>
      </c>
      <c r="J9" s="205" t="s">
        <v>72</v>
      </c>
      <c r="K9" s="184"/>
      <c r="L9" s="201" t="s">
        <v>571</v>
      </c>
      <c r="N9" s="133" t="s">
        <v>552</v>
      </c>
      <c r="O9" s="11"/>
      <c r="P9" s="167" t="s">
        <v>302</v>
      </c>
    </row>
    <row r="10" spans="1:16" ht="20.100000000000001" customHeight="1">
      <c r="A10" s="104" t="s">
        <v>102</v>
      </c>
      <c r="B10" s="34" t="s">
        <v>72</v>
      </c>
      <c r="J10" s="205" t="s">
        <v>72</v>
      </c>
      <c r="K10" s="184"/>
      <c r="L10" s="201" t="s">
        <v>571</v>
      </c>
      <c r="N10" s="133" t="s">
        <v>553</v>
      </c>
      <c r="O10" s="11"/>
      <c r="P10" s="167" t="s">
        <v>302</v>
      </c>
    </row>
    <row r="11" spans="1:16" ht="20.100000000000001" customHeight="1">
      <c r="A11" s="104" t="s">
        <v>102</v>
      </c>
      <c r="B11" s="34" t="s">
        <v>72</v>
      </c>
      <c r="J11" s="205" t="s">
        <v>72</v>
      </c>
      <c r="K11" s="184"/>
      <c r="L11" s="201" t="s">
        <v>571</v>
      </c>
      <c r="N11" s="133" t="s">
        <v>554</v>
      </c>
      <c r="O11" s="11"/>
      <c r="P11" s="167" t="s">
        <v>302</v>
      </c>
    </row>
    <row r="12" spans="1:16" ht="20.100000000000001" customHeight="1">
      <c r="A12" s="104" t="s">
        <v>102</v>
      </c>
      <c r="B12" s="34" t="s">
        <v>72</v>
      </c>
      <c r="J12" s="205" t="s">
        <v>72</v>
      </c>
      <c r="K12" s="184"/>
      <c r="L12" s="201" t="s">
        <v>571</v>
      </c>
      <c r="N12" s="133" t="s">
        <v>555</v>
      </c>
      <c r="O12" s="11"/>
      <c r="P12" s="167" t="s">
        <v>302</v>
      </c>
    </row>
    <row r="13" spans="1:16" ht="20.100000000000001" customHeight="1">
      <c r="A13" s="104" t="s">
        <v>102</v>
      </c>
      <c r="B13" s="34" t="s">
        <v>72</v>
      </c>
      <c r="J13" s="205" t="s">
        <v>72</v>
      </c>
      <c r="K13" s="184"/>
      <c r="L13" s="201" t="s">
        <v>571</v>
      </c>
      <c r="N13" s="133" t="s">
        <v>556</v>
      </c>
      <c r="O13" s="11"/>
      <c r="P13" s="167" t="s">
        <v>302</v>
      </c>
    </row>
    <row r="14" spans="1:16" ht="20.100000000000001" customHeight="1">
      <c r="A14" s="104" t="s">
        <v>102</v>
      </c>
      <c r="B14" s="34" t="s">
        <v>72</v>
      </c>
      <c r="J14" s="205" t="s">
        <v>72</v>
      </c>
      <c r="K14" s="184"/>
      <c r="L14" s="201" t="s">
        <v>571</v>
      </c>
      <c r="N14" s="133" t="s">
        <v>557</v>
      </c>
      <c r="P14" s="167" t="s">
        <v>302</v>
      </c>
    </row>
    <row r="15" spans="1:16" ht="20.100000000000001" customHeight="1">
      <c r="A15" s="104" t="s">
        <v>102</v>
      </c>
      <c r="B15" s="34" t="s">
        <v>72</v>
      </c>
      <c r="J15" s="205" t="s">
        <v>72</v>
      </c>
      <c r="K15" s="184"/>
      <c r="L15" s="201" t="s">
        <v>571</v>
      </c>
      <c r="N15" s="133" t="s">
        <v>558</v>
      </c>
      <c r="P15" s="167" t="s">
        <v>302</v>
      </c>
    </row>
    <row r="16" spans="1:16" ht="20.100000000000001" customHeight="1">
      <c r="A16" s="104" t="s">
        <v>102</v>
      </c>
      <c r="B16" s="34" t="s">
        <v>72</v>
      </c>
      <c r="J16" s="205" t="s">
        <v>72</v>
      </c>
      <c r="K16" s="184"/>
      <c r="L16" s="201" t="s">
        <v>571</v>
      </c>
      <c r="N16" s="133" t="s">
        <v>559</v>
      </c>
      <c r="P16" s="167" t="s">
        <v>302</v>
      </c>
    </row>
    <row r="17" spans="1:16" ht="20.100000000000001" customHeight="1">
      <c r="A17" s="104" t="s">
        <v>102</v>
      </c>
      <c r="B17" s="34" t="s">
        <v>72</v>
      </c>
      <c r="J17" s="205" t="s">
        <v>72</v>
      </c>
      <c r="K17" s="184"/>
      <c r="L17" s="201" t="s">
        <v>571</v>
      </c>
      <c r="N17" s="133" t="s">
        <v>560</v>
      </c>
      <c r="P17" s="167" t="s">
        <v>302</v>
      </c>
    </row>
    <row r="18" spans="1:16" ht="20.100000000000001" customHeight="1">
      <c r="A18" s="104" t="s">
        <v>102</v>
      </c>
      <c r="B18" s="34" t="s">
        <v>72</v>
      </c>
      <c r="J18" s="205" t="s">
        <v>72</v>
      </c>
      <c r="K18" s="184"/>
      <c r="L18" s="201" t="s">
        <v>571</v>
      </c>
      <c r="N18" s="133" t="s">
        <v>561</v>
      </c>
      <c r="P18" s="167" t="s">
        <v>302</v>
      </c>
    </row>
    <row r="19" spans="1:16" ht="20.100000000000001" customHeight="1">
      <c r="A19" s="104" t="s">
        <v>102</v>
      </c>
      <c r="B19" s="34" t="s">
        <v>72</v>
      </c>
      <c r="J19" s="205" t="s">
        <v>72</v>
      </c>
      <c r="K19" s="184"/>
      <c r="L19" s="201" t="s">
        <v>571</v>
      </c>
      <c r="N19" s="133" t="s">
        <v>562</v>
      </c>
      <c r="P19" s="167" t="s">
        <v>302</v>
      </c>
    </row>
    <row r="20" spans="1:16">
      <c r="A20" s="104" t="s">
        <v>102</v>
      </c>
      <c r="B20" s="34" t="s">
        <v>72</v>
      </c>
      <c r="J20" s="205" t="s">
        <v>72</v>
      </c>
      <c r="K20" s="184"/>
      <c r="L20" s="201" t="s">
        <v>571</v>
      </c>
      <c r="N20" s="133" t="s">
        <v>563</v>
      </c>
      <c r="P20" s="167" t="s">
        <v>302</v>
      </c>
    </row>
    <row r="21" spans="1:16">
      <c r="A21" s="104" t="s">
        <v>102</v>
      </c>
      <c r="B21" s="34" t="s">
        <v>72</v>
      </c>
      <c r="J21" s="205" t="s">
        <v>72</v>
      </c>
      <c r="K21" s="184"/>
      <c r="L21" s="201" t="s">
        <v>571</v>
      </c>
      <c r="N21" s="133" t="s">
        <v>564</v>
      </c>
      <c r="P21" s="167" t="s">
        <v>302</v>
      </c>
    </row>
    <row r="22" spans="1:16">
      <c r="A22" s="104" t="s">
        <v>102</v>
      </c>
      <c r="B22" s="34" t="s">
        <v>72</v>
      </c>
      <c r="J22" s="205" t="s">
        <v>72</v>
      </c>
      <c r="K22" s="184"/>
      <c r="L22" s="201" t="s">
        <v>571</v>
      </c>
      <c r="N22" s="133" t="s">
        <v>565</v>
      </c>
      <c r="P22" s="167" t="s">
        <v>302</v>
      </c>
    </row>
    <row r="23" spans="1:16">
      <c r="A23" s="104" t="s">
        <v>102</v>
      </c>
      <c r="B23" s="34" t="s">
        <v>72</v>
      </c>
      <c r="J23" s="205" t="s">
        <v>72</v>
      </c>
      <c r="K23" s="184"/>
      <c r="L23" s="201" t="s">
        <v>571</v>
      </c>
      <c r="N23" s="133" t="s">
        <v>566</v>
      </c>
      <c r="P23" s="167" t="s">
        <v>302</v>
      </c>
    </row>
    <row r="24" spans="1:16">
      <c r="A24" s="104" t="s">
        <v>102</v>
      </c>
      <c r="B24" s="34" t="s">
        <v>72</v>
      </c>
      <c r="J24" s="205" t="s">
        <v>72</v>
      </c>
      <c r="K24" s="184"/>
      <c r="L24" s="201" t="s">
        <v>571</v>
      </c>
      <c r="N24" s="133" t="s">
        <v>567</v>
      </c>
      <c r="P24" s="167" t="s">
        <v>302</v>
      </c>
    </row>
    <row r="25" spans="1:16">
      <c r="A25" s="104" t="s">
        <v>102</v>
      </c>
      <c r="B25" s="34" t="s">
        <v>72</v>
      </c>
      <c r="J25" s="205" t="s">
        <v>72</v>
      </c>
      <c r="K25" s="184"/>
      <c r="L25" s="201" t="s">
        <v>571</v>
      </c>
      <c r="N25" s="133" t="s">
        <v>568</v>
      </c>
      <c r="P25" s="167" t="s">
        <v>302</v>
      </c>
    </row>
    <row r="26" spans="1:16">
      <c r="A26" s="104" t="s">
        <v>102</v>
      </c>
      <c r="B26" s="34" t="s">
        <v>72</v>
      </c>
      <c r="J26" s="205" t="s">
        <v>72</v>
      </c>
      <c r="K26" s="184"/>
      <c r="L26" s="201" t="s">
        <v>571</v>
      </c>
      <c r="N26" s="133" t="s">
        <v>569</v>
      </c>
      <c r="P26" s="167" t="s">
        <v>302</v>
      </c>
    </row>
    <row r="27" spans="1:16">
      <c r="A27" s="203" t="s">
        <v>103</v>
      </c>
      <c r="K27" s="184"/>
      <c r="N27" s="133" t="s">
        <v>570</v>
      </c>
      <c r="P27" s="166" t="s">
        <v>302</v>
      </c>
    </row>
    <row r="28" spans="1:16">
      <c r="A28" s="104" t="s">
        <v>102</v>
      </c>
      <c r="K28" s="184"/>
      <c r="N28" s="133"/>
      <c r="P28" s="166" t="s">
        <v>302</v>
      </c>
    </row>
    <row r="29" spans="1:16">
      <c r="A29" s="104" t="s">
        <v>102</v>
      </c>
      <c r="K29" s="184"/>
      <c r="N29" s="133"/>
      <c r="P29" s="166" t="s">
        <v>302</v>
      </c>
    </row>
    <row r="30" spans="1:16">
      <c r="A30" s="104" t="s">
        <v>102</v>
      </c>
      <c r="K30" s="184"/>
      <c r="N30" s="133"/>
      <c r="P30" s="166" t="s">
        <v>302</v>
      </c>
    </row>
    <row r="31" spans="1:16">
      <c r="A31" s="104" t="s">
        <v>102</v>
      </c>
      <c r="K31" s="184"/>
      <c r="N31" s="133"/>
      <c r="P31" s="166" t="s">
        <v>302</v>
      </c>
    </row>
    <row r="32" spans="1:16">
      <c r="A32" s="104" t="s">
        <v>102</v>
      </c>
      <c r="K32" s="184"/>
      <c r="N32" s="133"/>
      <c r="P32" s="166" t="s">
        <v>302</v>
      </c>
    </row>
    <row r="33" spans="1:16">
      <c r="A33" s="104" t="s">
        <v>102</v>
      </c>
      <c r="K33" s="184"/>
      <c r="N33" s="133"/>
      <c r="P33" s="166" t="s">
        <v>302</v>
      </c>
    </row>
    <row r="34" spans="1:16">
      <c r="A34" s="104" t="s">
        <v>102</v>
      </c>
      <c r="K34" s="184"/>
      <c r="N34" s="133"/>
      <c r="P34" s="166" t="s">
        <v>302</v>
      </c>
    </row>
    <row r="35" spans="1:16">
      <c r="A35" s="104" t="s">
        <v>102</v>
      </c>
      <c r="K35" s="38"/>
      <c r="N35" s="133"/>
      <c r="P35" s="166" t="s">
        <v>302</v>
      </c>
    </row>
    <row r="36" spans="1:16">
      <c r="A36" s="104" t="s">
        <v>102</v>
      </c>
      <c r="N36" s="133"/>
      <c r="P36" s="166" t="s">
        <v>302</v>
      </c>
    </row>
    <row r="37" spans="1:16">
      <c r="A37" s="104" t="s">
        <v>102</v>
      </c>
      <c r="N37" s="133"/>
      <c r="P37" s="166" t="s">
        <v>302</v>
      </c>
    </row>
    <row r="38" spans="1:16">
      <c r="A38" s="104" t="s">
        <v>102</v>
      </c>
      <c r="N38" s="133"/>
      <c r="P38" s="166" t="s">
        <v>302</v>
      </c>
    </row>
    <row r="39" spans="1:16">
      <c r="A39" s="104" t="s">
        <v>102</v>
      </c>
      <c r="N39" s="133"/>
      <c r="P39" s="166" t="s">
        <v>302</v>
      </c>
    </row>
    <row r="40" spans="1:16">
      <c r="A40" s="104" t="s">
        <v>102</v>
      </c>
      <c r="N40" s="133"/>
      <c r="P40" s="166" t="s">
        <v>302</v>
      </c>
    </row>
    <row r="41" spans="1:16">
      <c r="A41" s="104" t="s">
        <v>102</v>
      </c>
      <c r="N41" s="133"/>
      <c r="P41" s="166" t="s">
        <v>302</v>
      </c>
    </row>
    <row r="42" spans="1:16">
      <c r="A42" s="104" t="s">
        <v>102</v>
      </c>
      <c r="N42" s="133"/>
      <c r="P42" s="166" t="s">
        <v>302</v>
      </c>
    </row>
    <row r="43" spans="1:16">
      <c r="A43" s="104" t="s">
        <v>102</v>
      </c>
      <c r="N43" s="133"/>
      <c r="P43" s="166" t="s">
        <v>302</v>
      </c>
    </row>
    <row r="44" spans="1:16">
      <c r="A44" s="203" t="s">
        <v>103</v>
      </c>
      <c r="P44" s="166"/>
    </row>
  </sheetData>
  <hyperlinks>
    <hyperlink ref="N27" r:id="rId1" xr:uid="{7C091A4C-16D3-4B76-86A5-6EB4F5343F0C}"/>
    <hyperlink ref="N3" r:id="rId2" xr:uid="{5C90E64F-04D2-4B4B-B335-1D6B45645B1C}"/>
    <hyperlink ref="N4" r:id="rId3" xr:uid="{973A86D1-81A0-47FD-9CB1-E05AD2294C56}"/>
    <hyperlink ref="N5" r:id="rId4" xr:uid="{8D4DD79F-7874-44B5-B61B-A47CB5FEAF74}"/>
    <hyperlink ref="N6" r:id="rId5" xr:uid="{8CA931F8-3FFC-4C02-913E-44868AD6497D}"/>
    <hyperlink ref="N7" r:id="rId6" xr:uid="{F1D95523-DF93-42A0-B77B-7BC613890F5F}"/>
    <hyperlink ref="N8" r:id="rId7" xr:uid="{4CCE6586-633D-4EE1-A61D-314EF44BDA7F}"/>
    <hyperlink ref="N9" r:id="rId8" xr:uid="{85E25542-46CB-4505-BAE4-3954A77A9DBE}"/>
    <hyperlink ref="N10" r:id="rId9" xr:uid="{C7D4AF38-BC54-4A8B-885F-6F429F08D0B6}"/>
    <hyperlink ref="N11" r:id="rId10" xr:uid="{3BD96D6B-E3CB-4086-AEF3-86F129F5B1FC}"/>
    <hyperlink ref="N12" r:id="rId11" xr:uid="{A948941B-631B-4F16-B684-260973593EF4}"/>
    <hyperlink ref="N13" r:id="rId12" xr:uid="{DC849524-386C-4300-92D3-F6389A2A1BF2}"/>
    <hyperlink ref="N14" r:id="rId13" xr:uid="{721D0C67-FB2F-4F26-BAFC-81FF38E42E54}"/>
    <hyperlink ref="N15" r:id="rId14" xr:uid="{0E8C836B-991C-4262-B909-36FC00C346CD}"/>
    <hyperlink ref="N16" r:id="rId15" xr:uid="{10947D52-E003-4E8F-811E-35059C1398CE}"/>
    <hyperlink ref="N17" r:id="rId16" xr:uid="{F265CB2E-4739-43F6-852D-E4EE7442368D}"/>
    <hyperlink ref="N18" r:id="rId17" xr:uid="{C28F83A8-0AC6-4070-8DFB-9641D70F966A}"/>
    <hyperlink ref="N19" r:id="rId18" xr:uid="{484F8791-56A0-4927-BDE3-F22E9378B332}"/>
    <hyperlink ref="N20" r:id="rId19" xr:uid="{C1E736B2-26D7-4BD1-86C0-A1DA0BE698EA}"/>
    <hyperlink ref="N21" r:id="rId20" xr:uid="{EECFF1A1-579D-4C56-AB69-7C482FF140AB}"/>
    <hyperlink ref="N22" r:id="rId21" xr:uid="{48E6E19B-9E01-48AB-9742-891937DB6585}"/>
    <hyperlink ref="N23" r:id="rId22" xr:uid="{4B761DEA-1C9A-4F58-A73B-205D0957D93F}"/>
    <hyperlink ref="N24" r:id="rId23" xr:uid="{809753B1-B863-4E6D-9B4B-EF7B6083FC53}"/>
    <hyperlink ref="N25" r:id="rId24" xr:uid="{E2F24DBC-786E-45A5-89C8-E67222B8AE9D}"/>
    <hyperlink ref="N26" r:id="rId25" xr:uid="{C2551C1E-7B7E-450D-82DB-C850F5659EC2}"/>
  </hyperlinks>
  <pageMargins left="0.7" right="0.7" top="0.78740157499999996" bottom="0.78740157499999996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ED3550-6606-4D7D-AD47-55C420DEF3AA}">
  <sheetPr codeName="Tabelle16"/>
  <dimension ref="A1:Q36"/>
  <sheetViews>
    <sheetView workbookViewId="0">
      <selection activeCell="Q3" sqref="Q3"/>
    </sheetView>
  </sheetViews>
  <sheetFormatPr baseColWidth="10" defaultColWidth="11.5546875" defaultRowHeight="15.6"/>
  <cols>
    <col min="1" max="1" width="8.33203125" style="20" customWidth="1"/>
    <col min="2" max="10" width="3.6640625" style="38" bestFit="1" customWidth="1"/>
    <col min="11" max="11" width="6.6640625" bestFit="1" customWidth="1"/>
    <col min="12" max="12" width="41.88671875" style="84" bestFit="1" customWidth="1"/>
    <col min="13" max="13" width="19.6640625" style="17" customWidth="1"/>
    <col min="14" max="14" width="39" style="84" bestFit="1" customWidth="1"/>
    <col min="15" max="15" width="16.109375" style="81" customWidth="1"/>
    <col min="16" max="16" width="5.88671875" style="17" customWidth="1"/>
    <col min="17" max="16384" width="11.5546875" style="17"/>
  </cols>
  <sheetData>
    <row r="1" spans="1:17" s="2" customFormat="1" ht="55.2" customHeight="1">
      <c r="A1" s="21" t="s">
        <v>96</v>
      </c>
      <c r="B1" s="259" t="s">
        <v>109</v>
      </c>
      <c r="C1" s="259" t="s">
        <v>136</v>
      </c>
      <c r="D1" s="259" t="s">
        <v>137</v>
      </c>
      <c r="E1" s="259" t="s">
        <v>224</v>
      </c>
      <c r="F1" s="259" t="s">
        <v>138</v>
      </c>
      <c r="G1" s="259" t="s">
        <v>146</v>
      </c>
      <c r="H1" s="259" t="s">
        <v>195</v>
      </c>
      <c r="I1" s="259" t="s">
        <v>235</v>
      </c>
      <c r="J1" s="259" t="s">
        <v>223</v>
      </c>
      <c r="K1" s="259" t="s">
        <v>390</v>
      </c>
      <c r="L1" s="82" t="s">
        <v>70</v>
      </c>
      <c r="M1" s="25" t="s">
        <v>71</v>
      </c>
      <c r="N1" s="82" t="s">
        <v>14</v>
      </c>
      <c r="O1" s="24" t="s">
        <v>97</v>
      </c>
    </row>
    <row r="2" spans="1:17" s="2" customFormat="1" ht="20.100000000000001" customHeight="1">
      <c r="A2" s="27" t="s">
        <v>104</v>
      </c>
      <c r="B2" s="32"/>
      <c r="C2" s="32"/>
      <c r="D2" s="33"/>
      <c r="E2" s="33"/>
      <c r="F2" s="33"/>
      <c r="G2" s="33"/>
      <c r="H2" s="33"/>
      <c r="J2" s="33"/>
      <c r="L2" s="83"/>
      <c r="M2" s="10"/>
      <c r="N2" s="83"/>
      <c r="O2" s="11"/>
    </row>
    <row r="3" spans="1:17" s="2" customFormat="1" ht="20.100000000000001" customHeight="1">
      <c r="A3" s="192" t="s">
        <v>102</v>
      </c>
      <c r="B3" s="193" t="s">
        <v>72</v>
      </c>
      <c r="C3" s="32"/>
      <c r="D3" s="33"/>
      <c r="E3" s="33"/>
      <c r="F3" s="33"/>
      <c r="G3" s="33"/>
      <c r="H3" s="33"/>
      <c r="J3" s="33"/>
      <c r="K3" s="189" t="s">
        <v>72</v>
      </c>
      <c r="L3" s="191" t="s">
        <v>401</v>
      </c>
      <c r="M3" s="190" t="s">
        <v>400</v>
      </c>
      <c r="N3" s="133" t="s">
        <v>401</v>
      </c>
      <c r="O3" s="11"/>
      <c r="Q3" s="2" t="s">
        <v>674</v>
      </c>
    </row>
    <row r="4" spans="1:17" s="2" customFormat="1" ht="20.100000000000001" customHeight="1">
      <c r="A4" s="28" t="s">
        <v>102</v>
      </c>
      <c r="B4" s="34" t="s">
        <v>72</v>
      </c>
      <c r="C4" s="34"/>
      <c r="D4" s="35"/>
      <c r="E4" s="35"/>
      <c r="F4" s="35"/>
      <c r="G4" s="35"/>
      <c r="H4" s="35"/>
      <c r="I4" s="103"/>
      <c r="J4" s="35"/>
      <c r="K4" s="189" t="s">
        <v>72</v>
      </c>
      <c r="L4" s="191" t="s">
        <v>402</v>
      </c>
      <c r="M4" s="190" t="s">
        <v>400</v>
      </c>
      <c r="N4" s="133" t="s">
        <v>402</v>
      </c>
      <c r="O4" s="11"/>
      <c r="P4" s="161" t="s">
        <v>302</v>
      </c>
    </row>
    <row r="5" spans="1:17" s="2" customFormat="1" ht="20.100000000000001" customHeight="1">
      <c r="A5" s="28" t="s">
        <v>102</v>
      </c>
      <c r="B5" s="34" t="s">
        <v>72</v>
      </c>
      <c r="C5" s="36"/>
      <c r="D5" s="37"/>
      <c r="E5" s="37"/>
      <c r="F5" s="37"/>
      <c r="G5" s="37"/>
      <c r="H5" s="37"/>
      <c r="I5" s="109"/>
      <c r="J5" s="37"/>
      <c r="K5" s="189" t="s">
        <v>72</v>
      </c>
      <c r="L5" s="191" t="s">
        <v>403</v>
      </c>
      <c r="M5" s="190" t="s">
        <v>400</v>
      </c>
      <c r="N5" s="133" t="s">
        <v>403</v>
      </c>
      <c r="O5" s="190"/>
      <c r="P5" s="161" t="s">
        <v>302</v>
      </c>
    </row>
    <row r="6" spans="1:17" s="2" customFormat="1" ht="20.100000000000001" customHeight="1">
      <c r="A6" s="28" t="s">
        <v>102</v>
      </c>
      <c r="B6" s="34" t="s">
        <v>72</v>
      </c>
      <c r="C6" s="36"/>
      <c r="D6" s="37"/>
      <c r="E6" s="37"/>
      <c r="F6" s="37"/>
      <c r="G6" s="37"/>
      <c r="H6" s="37"/>
      <c r="I6" s="108"/>
      <c r="J6" s="37"/>
      <c r="K6" s="189" t="s">
        <v>72</v>
      </c>
      <c r="L6" s="191" t="s">
        <v>473</v>
      </c>
      <c r="M6" s="190" t="s">
        <v>400</v>
      </c>
      <c r="N6" s="133" t="s">
        <v>404</v>
      </c>
      <c r="O6" s="190" t="s">
        <v>480</v>
      </c>
      <c r="P6" s="161" t="s">
        <v>302</v>
      </c>
    </row>
    <row r="7" spans="1:17" s="2" customFormat="1" ht="20.100000000000001" customHeight="1">
      <c r="A7" s="186" t="s">
        <v>101</v>
      </c>
      <c r="B7" s="34" t="s">
        <v>72</v>
      </c>
      <c r="C7" s="34"/>
      <c r="D7" s="35"/>
      <c r="E7" s="35"/>
      <c r="F7" s="35"/>
      <c r="G7" s="35"/>
      <c r="H7" s="35"/>
      <c r="I7" s="35"/>
      <c r="J7" s="35"/>
      <c r="K7" s="189" t="s">
        <v>72</v>
      </c>
      <c r="L7" s="191"/>
      <c r="M7" s="190" t="s">
        <v>400</v>
      </c>
      <c r="N7" s="133" t="s">
        <v>405</v>
      </c>
      <c r="O7" s="190" t="s">
        <v>475</v>
      </c>
      <c r="P7" s="161" t="s">
        <v>302</v>
      </c>
    </row>
    <row r="8" spans="1:17" s="2" customFormat="1" ht="20.100000000000001" customHeight="1">
      <c r="A8" s="186" t="s">
        <v>101</v>
      </c>
      <c r="B8" s="34" t="s">
        <v>72</v>
      </c>
      <c r="C8" s="36"/>
      <c r="D8" s="37"/>
      <c r="E8" s="37"/>
      <c r="F8" s="37"/>
      <c r="G8" s="37"/>
      <c r="H8" s="37"/>
      <c r="I8" s="37"/>
      <c r="J8" s="37"/>
      <c r="K8" s="189" t="s">
        <v>72</v>
      </c>
      <c r="L8" s="191"/>
      <c r="M8" s="190" t="s">
        <v>400</v>
      </c>
      <c r="N8" s="133" t="s">
        <v>406</v>
      </c>
      <c r="O8" s="190" t="s">
        <v>476</v>
      </c>
      <c r="P8" s="161" t="s">
        <v>302</v>
      </c>
    </row>
    <row r="9" spans="1:17" ht="20.100000000000001" customHeight="1">
      <c r="A9" s="186" t="s">
        <v>101</v>
      </c>
      <c r="B9" s="34" t="s">
        <v>72</v>
      </c>
      <c r="C9" s="34"/>
      <c r="D9" s="35"/>
      <c r="E9" s="35"/>
      <c r="F9" s="35"/>
      <c r="G9" s="35"/>
      <c r="H9" s="35"/>
      <c r="I9" s="35"/>
      <c r="J9" s="35"/>
      <c r="K9" s="189" t="s">
        <v>72</v>
      </c>
      <c r="L9" s="191"/>
      <c r="M9" s="190" t="s">
        <v>400</v>
      </c>
      <c r="N9" s="133" t="s">
        <v>407</v>
      </c>
      <c r="O9" s="190" t="s">
        <v>477</v>
      </c>
      <c r="P9" s="167" t="s">
        <v>302</v>
      </c>
    </row>
    <row r="10" spans="1:17" ht="20.100000000000001" customHeight="1">
      <c r="A10" s="186" t="s">
        <v>101</v>
      </c>
      <c r="B10" s="34" t="s">
        <v>72</v>
      </c>
      <c r="K10" s="189" t="s">
        <v>72</v>
      </c>
      <c r="L10" s="191"/>
      <c r="M10" s="190" t="s">
        <v>400</v>
      </c>
      <c r="N10" s="133" t="s">
        <v>408</v>
      </c>
      <c r="O10" s="190" t="s">
        <v>478</v>
      </c>
      <c r="P10" s="167" t="s">
        <v>302</v>
      </c>
    </row>
    <row r="11" spans="1:17" ht="20.100000000000001" customHeight="1">
      <c r="A11" s="28" t="s">
        <v>102</v>
      </c>
      <c r="B11" s="34" t="s">
        <v>72</v>
      </c>
      <c r="K11" s="189" t="s">
        <v>72</v>
      </c>
      <c r="L11" s="191" t="s">
        <v>409</v>
      </c>
      <c r="M11" s="190" t="s">
        <v>400</v>
      </c>
      <c r="N11" s="133" t="s">
        <v>409</v>
      </c>
      <c r="O11" s="190"/>
      <c r="P11" s="167" t="s">
        <v>302</v>
      </c>
    </row>
    <row r="12" spans="1:17" ht="20.100000000000001" customHeight="1">
      <c r="A12" s="28" t="s">
        <v>102</v>
      </c>
      <c r="B12" s="34" t="s">
        <v>72</v>
      </c>
      <c r="K12" s="189" t="s">
        <v>72</v>
      </c>
      <c r="L12" s="191" t="s">
        <v>410</v>
      </c>
      <c r="M12" s="190" t="s">
        <v>400</v>
      </c>
      <c r="N12" s="133" t="s">
        <v>410</v>
      </c>
      <c r="O12" s="190"/>
      <c r="P12" s="167" t="s">
        <v>302</v>
      </c>
    </row>
    <row r="13" spans="1:17" ht="20.100000000000001" customHeight="1">
      <c r="A13" s="28" t="s">
        <v>102</v>
      </c>
      <c r="B13" s="34" t="s">
        <v>72</v>
      </c>
      <c r="K13" s="189" t="s">
        <v>72</v>
      </c>
      <c r="L13" s="191" t="s">
        <v>474</v>
      </c>
      <c r="M13" s="190" t="s">
        <v>400</v>
      </c>
      <c r="N13" s="133" t="s">
        <v>411</v>
      </c>
      <c r="O13" s="190" t="s">
        <v>480</v>
      </c>
      <c r="P13" s="167" t="s">
        <v>302</v>
      </c>
    </row>
    <row r="14" spans="1:17" ht="20.100000000000001" customHeight="1">
      <c r="A14" s="186" t="s">
        <v>101</v>
      </c>
      <c r="B14" s="34" t="s">
        <v>72</v>
      </c>
      <c r="K14" s="189" t="s">
        <v>72</v>
      </c>
      <c r="L14" s="191"/>
      <c r="M14" s="190" t="s">
        <v>400</v>
      </c>
      <c r="N14" s="133" t="s">
        <v>412</v>
      </c>
      <c r="O14" s="190" t="s">
        <v>475</v>
      </c>
      <c r="P14" s="167" t="s">
        <v>302</v>
      </c>
    </row>
    <row r="15" spans="1:17" ht="20.100000000000001" customHeight="1">
      <c r="A15" s="186" t="s">
        <v>101</v>
      </c>
      <c r="B15" s="34" t="s">
        <v>72</v>
      </c>
      <c r="K15" s="189" t="s">
        <v>72</v>
      </c>
      <c r="L15" s="191"/>
      <c r="M15" s="190" t="s">
        <v>400</v>
      </c>
      <c r="N15" s="133" t="s">
        <v>413</v>
      </c>
      <c r="O15" s="190" t="s">
        <v>476</v>
      </c>
      <c r="P15" s="167" t="s">
        <v>302</v>
      </c>
    </row>
    <row r="16" spans="1:17" ht="20.100000000000001" customHeight="1">
      <c r="A16" s="186" t="s">
        <v>102</v>
      </c>
      <c r="B16" s="34" t="s">
        <v>72</v>
      </c>
      <c r="K16" s="189" t="s">
        <v>72</v>
      </c>
      <c r="L16" s="191" t="s">
        <v>479</v>
      </c>
      <c r="M16" s="190" t="s">
        <v>400</v>
      </c>
      <c r="N16" s="133" t="s">
        <v>414</v>
      </c>
      <c r="O16" s="190" t="s">
        <v>480</v>
      </c>
      <c r="P16" s="167" t="s">
        <v>302</v>
      </c>
    </row>
    <row r="17" spans="1:16" ht="20.100000000000001" customHeight="1">
      <c r="A17" s="186" t="s">
        <v>101</v>
      </c>
      <c r="B17" s="34" t="s">
        <v>72</v>
      </c>
      <c r="K17" s="189" t="s">
        <v>72</v>
      </c>
      <c r="L17" s="191"/>
      <c r="M17" s="190" t="s">
        <v>400</v>
      </c>
      <c r="N17" s="133" t="s">
        <v>415</v>
      </c>
      <c r="O17" s="190" t="s">
        <v>475</v>
      </c>
      <c r="P17" s="167" t="s">
        <v>302</v>
      </c>
    </row>
    <row r="18" spans="1:16" ht="20.100000000000001" customHeight="1">
      <c r="A18" s="186" t="s">
        <v>101</v>
      </c>
      <c r="B18" s="34" t="s">
        <v>72</v>
      </c>
      <c r="K18" s="189" t="s">
        <v>72</v>
      </c>
      <c r="L18" s="191"/>
      <c r="M18" s="190" t="s">
        <v>400</v>
      </c>
      <c r="N18" s="133" t="s">
        <v>416</v>
      </c>
      <c r="O18" s="190" t="s">
        <v>476</v>
      </c>
      <c r="P18" s="167" t="s">
        <v>302</v>
      </c>
    </row>
    <row r="19" spans="1:16" ht="20.100000000000001" customHeight="1">
      <c r="A19" s="186" t="s">
        <v>101</v>
      </c>
      <c r="B19" s="34" t="s">
        <v>72</v>
      </c>
      <c r="K19" s="189" t="s">
        <v>72</v>
      </c>
      <c r="L19" s="191"/>
      <c r="M19" s="190" t="s">
        <v>400</v>
      </c>
      <c r="N19" s="133" t="s">
        <v>417</v>
      </c>
      <c r="O19" s="190" t="s">
        <v>477</v>
      </c>
      <c r="P19" s="167" t="s">
        <v>302</v>
      </c>
    </row>
    <row r="20" spans="1:16" ht="20.100000000000001" customHeight="1">
      <c r="A20" s="186" t="s">
        <v>101</v>
      </c>
      <c r="B20" s="34" t="s">
        <v>72</v>
      </c>
      <c r="K20" s="189" t="s">
        <v>72</v>
      </c>
      <c r="L20" s="191"/>
      <c r="M20" s="190" t="s">
        <v>400</v>
      </c>
      <c r="N20" s="133" t="s">
        <v>418</v>
      </c>
      <c r="O20" s="190" t="s">
        <v>478</v>
      </c>
      <c r="P20" s="167" t="s">
        <v>302</v>
      </c>
    </row>
    <row r="21" spans="1:16" ht="20.100000000000001" customHeight="1">
      <c r="A21" s="186" t="s">
        <v>101</v>
      </c>
      <c r="B21" s="34" t="s">
        <v>72</v>
      </c>
      <c r="K21" s="189" t="s">
        <v>72</v>
      </c>
      <c r="L21" s="191"/>
      <c r="M21" s="190" t="s">
        <v>400</v>
      </c>
      <c r="N21" s="133" t="s">
        <v>419</v>
      </c>
      <c r="O21" s="190" t="s">
        <v>481</v>
      </c>
      <c r="P21" s="167" t="s">
        <v>302</v>
      </c>
    </row>
    <row r="22" spans="1:16" ht="20.100000000000001" customHeight="1">
      <c r="A22" s="28" t="s">
        <v>102</v>
      </c>
      <c r="B22" s="34" t="s">
        <v>72</v>
      </c>
      <c r="K22" s="189" t="s">
        <v>72</v>
      </c>
      <c r="L22" s="191" t="s">
        <v>420</v>
      </c>
      <c r="M22" s="190" t="s">
        <v>400</v>
      </c>
      <c r="N22" s="133" t="s">
        <v>420</v>
      </c>
      <c r="O22" s="11"/>
      <c r="P22" s="167" t="s">
        <v>302</v>
      </c>
    </row>
    <row r="23" spans="1:16" ht="20.100000000000001" customHeight="1">
      <c r="A23" s="28" t="s">
        <v>102</v>
      </c>
      <c r="B23" s="34" t="s">
        <v>72</v>
      </c>
      <c r="K23" s="189" t="s">
        <v>72</v>
      </c>
      <c r="L23" s="191" t="s">
        <v>421</v>
      </c>
      <c r="M23" s="190" t="s">
        <v>400</v>
      </c>
      <c r="N23" s="133" t="s">
        <v>421</v>
      </c>
      <c r="O23" s="11"/>
      <c r="P23" s="167" t="s">
        <v>302</v>
      </c>
    </row>
    <row r="24" spans="1:16" ht="20.100000000000001" customHeight="1">
      <c r="A24" s="28" t="s">
        <v>102</v>
      </c>
      <c r="B24" s="34" t="s">
        <v>72</v>
      </c>
      <c r="K24" s="189" t="s">
        <v>72</v>
      </c>
      <c r="L24" s="191" t="s">
        <v>422</v>
      </c>
      <c r="M24" s="190" t="s">
        <v>400</v>
      </c>
      <c r="N24" s="133" t="s">
        <v>422</v>
      </c>
      <c r="O24" s="11"/>
      <c r="P24" s="167" t="s">
        <v>302</v>
      </c>
    </row>
    <row r="25" spans="1:16" ht="20.100000000000001" customHeight="1">
      <c r="A25" s="28" t="s">
        <v>102</v>
      </c>
      <c r="B25" s="34" t="s">
        <v>72</v>
      </c>
      <c r="K25" s="189" t="s">
        <v>72</v>
      </c>
      <c r="L25" s="191" t="s">
        <v>423</v>
      </c>
      <c r="M25" s="190" t="s">
        <v>400</v>
      </c>
      <c r="N25" s="133" t="s">
        <v>423</v>
      </c>
      <c r="O25" s="11"/>
      <c r="P25" s="167" t="s">
        <v>302</v>
      </c>
    </row>
    <row r="26" spans="1:16" ht="20.100000000000001" customHeight="1">
      <c r="A26" s="28" t="s">
        <v>102</v>
      </c>
      <c r="B26" s="34" t="s">
        <v>72</v>
      </c>
      <c r="K26" s="189" t="s">
        <v>72</v>
      </c>
      <c r="L26" s="191" t="s">
        <v>424</v>
      </c>
      <c r="M26" s="190" t="s">
        <v>400</v>
      </c>
      <c r="N26" s="133" t="s">
        <v>424</v>
      </c>
      <c r="O26" s="11"/>
      <c r="P26" s="167" t="s">
        <v>302</v>
      </c>
    </row>
    <row r="27" spans="1:16" ht="20.100000000000001" customHeight="1">
      <c r="A27" s="28" t="s">
        <v>102</v>
      </c>
      <c r="B27" s="34" t="s">
        <v>72</v>
      </c>
      <c r="K27" s="189" t="s">
        <v>72</v>
      </c>
      <c r="L27" s="191" t="s">
        <v>425</v>
      </c>
      <c r="M27" s="190" t="s">
        <v>400</v>
      </c>
      <c r="N27" s="133" t="s">
        <v>425</v>
      </c>
      <c r="O27" s="11"/>
      <c r="P27" s="167" t="s">
        <v>302</v>
      </c>
    </row>
    <row r="28" spans="1:16" ht="20.100000000000001" customHeight="1">
      <c r="A28" s="186" t="s">
        <v>103</v>
      </c>
      <c r="B28" s="34" t="s">
        <v>72</v>
      </c>
      <c r="K28" s="189" t="s">
        <v>72</v>
      </c>
      <c r="L28" s="17"/>
      <c r="N28" s="17"/>
      <c r="O28" s="11"/>
      <c r="P28" s="167" t="s">
        <v>302</v>
      </c>
    </row>
    <row r="29" spans="1:16" ht="20.100000000000001" customHeight="1">
      <c r="A29" s="28" t="s">
        <v>103</v>
      </c>
      <c r="B29" s="34"/>
      <c r="K29" s="189"/>
      <c r="L29" s="191"/>
      <c r="M29" s="190"/>
      <c r="N29" s="133"/>
      <c r="O29" s="11"/>
      <c r="P29" s="167"/>
    </row>
    <row r="30" spans="1:16">
      <c r="K30" s="184"/>
      <c r="N30" s="17"/>
    </row>
    <row r="31" spans="1:16">
      <c r="K31" s="184"/>
    </row>
    <row r="32" spans="1:16">
      <c r="K32" s="184"/>
    </row>
    <row r="33" spans="11:11">
      <c r="K33" s="184"/>
    </row>
    <row r="34" spans="11:11">
      <c r="K34" s="184"/>
    </row>
    <row r="35" spans="11:11">
      <c r="K35" s="184"/>
    </row>
    <row r="36" spans="11:11">
      <c r="K36" s="38"/>
    </row>
  </sheetData>
  <phoneticPr fontId="55" type="noConversion"/>
  <hyperlinks>
    <hyperlink ref="N4" r:id="rId1" xr:uid="{72443208-9466-44E7-B9DF-A3B0E2EFBB15}"/>
    <hyperlink ref="N5" r:id="rId2" xr:uid="{C4EBC773-9374-4503-8852-1E8E9CBD65C6}"/>
    <hyperlink ref="N6" r:id="rId3" xr:uid="{90A20EEF-202F-4AC5-B0DD-D1DC4CB98F1F}"/>
    <hyperlink ref="N7" r:id="rId4" xr:uid="{69F4E128-0A47-4F71-9A1A-32C44AF388B2}"/>
    <hyperlink ref="N8" r:id="rId5" xr:uid="{73E67DEA-4243-43E8-94B9-D40E597FAEB0}"/>
    <hyperlink ref="N9" r:id="rId6" xr:uid="{D1B97A44-1BA2-4818-8A2D-73949DF8A818}"/>
    <hyperlink ref="N10" r:id="rId7" xr:uid="{638F114E-B641-4E6B-A9C5-53C19C2B982D}"/>
    <hyperlink ref="N11" r:id="rId8" xr:uid="{626FF4B9-B6FD-4CC1-9FE5-EEFAE11F79EC}"/>
    <hyperlink ref="N12" r:id="rId9" xr:uid="{1926DFEE-F924-450E-BB10-E24482F88188}"/>
    <hyperlink ref="N13" r:id="rId10" xr:uid="{1137AF67-1F06-4E04-A1A1-B47B8CE5EFA8}"/>
    <hyperlink ref="N14" r:id="rId11" xr:uid="{7EEDA419-A34D-449A-B6F4-F29C0E0CB4DC}"/>
    <hyperlink ref="N15" r:id="rId12" xr:uid="{0EF1DF50-2EE8-4DCD-8276-37592ABA0B71}"/>
    <hyperlink ref="N16" r:id="rId13" xr:uid="{DCEDAE21-A331-4D8B-A7A6-5B004BC3D161}"/>
    <hyperlink ref="N17" r:id="rId14" xr:uid="{ECC29C9D-8263-428F-B300-D116F857603B}"/>
    <hyperlink ref="N18" r:id="rId15" xr:uid="{F5327D90-5E31-46A3-894A-516FAE8F9DD7}"/>
    <hyperlink ref="N19" r:id="rId16" xr:uid="{F4E58019-3BFD-440D-A938-92699766D767}"/>
    <hyperlink ref="N20" r:id="rId17" xr:uid="{05DEB545-C1ED-4CCA-A69A-9B9EF8EEA014}"/>
    <hyperlink ref="N21" r:id="rId18" xr:uid="{B4B9E3FE-A52A-4A00-B874-AAF7D7BEADC1}"/>
    <hyperlink ref="N22" r:id="rId19" xr:uid="{0BBBDCD3-1C6B-48D6-B2FC-5A27F592F56E}"/>
    <hyperlink ref="N23" r:id="rId20" xr:uid="{26A17425-F6AE-4CD2-AD58-F984ADBC2C47}"/>
    <hyperlink ref="N24" r:id="rId21" xr:uid="{6A15C188-6037-43E2-9855-9B8A5B8D7BD2}"/>
    <hyperlink ref="N25" r:id="rId22" xr:uid="{AA88CC45-FEF2-46B3-9C0A-2FE754166F61}"/>
    <hyperlink ref="N26" r:id="rId23" xr:uid="{7AE6CDC1-9DE1-4926-BDDD-C18055EE6206}"/>
    <hyperlink ref="N27" r:id="rId24" xr:uid="{E32405DE-B0A3-46B9-8126-08E615427350}"/>
    <hyperlink ref="N3" r:id="rId25" xr:uid="{72A0F0C1-3440-41F4-99BB-96FFCF0C4475}"/>
  </hyperlinks>
  <pageMargins left="0.7" right="0.7" top="0.78740157499999996" bottom="0.78740157499999996" header="0.3" footer="0.3"/>
  <pageSetup paperSize="9" orientation="portrait" r:id="rId26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C16DB9-3F0B-4939-ABED-2796E201A1F9}">
  <sheetPr codeName="Tabelle17"/>
  <dimension ref="A1:P35"/>
  <sheetViews>
    <sheetView workbookViewId="0">
      <selection activeCell="A3" sqref="A3:XFD3"/>
    </sheetView>
  </sheetViews>
  <sheetFormatPr baseColWidth="10" defaultColWidth="11.5546875" defaultRowHeight="15.6"/>
  <cols>
    <col min="1" max="1" width="8.33203125" style="20" customWidth="1"/>
    <col min="2" max="10" width="3.6640625" style="38" bestFit="1" customWidth="1"/>
    <col min="11" max="11" width="6.6640625" bestFit="1" customWidth="1"/>
    <col min="12" max="12" width="26.44140625" style="84" customWidth="1"/>
    <col min="13" max="13" width="19.6640625" style="17" customWidth="1"/>
    <col min="14" max="14" width="24.44140625" style="84" customWidth="1"/>
    <col min="15" max="15" width="32.5546875" style="81" bestFit="1" customWidth="1"/>
    <col min="16" max="16" width="5.88671875" style="17" customWidth="1"/>
    <col min="17" max="16384" width="11.5546875" style="17"/>
  </cols>
  <sheetData>
    <row r="1" spans="1:16" s="2" customFormat="1" ht="55.2" customHeight="1">
      <c r="A1" s="21" t="s">
        <v>96</v>
      </c>
      <c r="B1" s="259" t="s">
        <v>109</v>
      </c>
      <c r="C1" s="259" t="s">
        <v>136</v>
      </c>
      <c r="D1" s="259" t="s">
        <v>137</v>
      </c>
      <c r="E1" s="259" t="s">
        <v>224</v>
      </c>
      <c r="F1" s="259" t="s">
        <v>138</v>
      </c>
      <c r="G1" s="259" t="s">
        <v>146</v>
      </c>
      <c r="H1" s="259" t="s">
        <v>195</v>
      </c>
      <c r="I1" s="259" t="s">
        <v>235</v>
      </c>
      <c r="J1" s="259" t="s">
        <v>223</v>
      </c>
      <c r="K1" s="259" t="s">
        <v>390</v>
      </c>
      <c r="L1" s="82" t="s">
        <v>70</v>
      </c>
      <c r="M1" s="25" t="s">
        <v>71</v>
      </c>
      <c r="N1" s="82" t="s">
        <v>14</v>
      </c>
      <c r="O1" s="24" t="s">
        <v>97</v>
      </c>
    </row>
    <row r="2" spans="1:16" s="2" customFormat="1" ht="20.100000000000001" customHeight="1">
      <c r="A2" s="27" t="s">
        <v>104</v>
      </c>
      <c r="B2" s="32"/>
      <c r="C2" s="32"/>
      <c r="D2" s="33"/>
      <c r="E2" s="33"/>
      <c r="F2" s="33"/>
      <c r="G2" s="33"/>
      <c r="H2" s="33"/>
      <c r="J2" s="33"/>
      <c r="L2" s="83"/>
      <c r="O2" s="11"/>
    </row>
    <row r="3" spans="1:16" s="2" customFormat="1" ht="20.100000000000001" customHeight="1">
      <c r="A3" s="186" t="s">
        <v>102</v>
      </c>
      <c r="B3" s="34" t="s">
        <v>72</v>
      </c>
      <c r="C3" s="34"/>
      <c r="D3" s="35"/>
      <c r="E3" s="35"/>
      <c r="F3" s="35"/>
      <c r="G3" s="35"/>
      <c r="H3" s="35"/>
      <c r="I3" s="103"/>
      <c r="J3" s="35"/>
      <c r="K3" s="189" t="s">
        <v>72</v>
      </c>
      <c r="L3" s="105"/>
      <c r="M3" s="194" t="s">
        <v>400</v>
      </c>
      <c r="N3" s="83" t="s">
        <v>426</v>
      </c>
      <c r="O3" s="11"/>
      <c r="P3" s="160" t="s">
        <v>302</v>
      </c>
    </row>
    <row r="4" spans="1:16" s="2" customFormat="1" ht="20.100000000000001" customHeight="1">
      <c r="A4" s="186" t="s">
        <v>102</v>
      </c>
      <c r="B4" s="34" t="s">
        <v>72</v>
      </c>
      <c r="C4" s="36"/>
      <c r="D4" s="37"/>
      <c r="E4" s="37"/>
      <c r="F4" s="37"/>
      <c r="G4" s="37"/>
      <c r="H4" s="37"/>
      <c r="I4" s="109"/>
      <c r="J4" s="37"/>
      <c r="K4" s="189" t="s">
        <v>72</v>
      </c>
      <c r="M4" s="4"/>
      <c r="N4" s="133" t="s">
        <v>427</v>
      </c>
      <c r="O4" s="105"/>
      <c r="P4" s="160" t="s">
        <v>302</v>
      </c>
    </row>
    <row r="5" spans="1:16" s="2" customFormat="1" ht="20.100000000000001" customHeight="1">
      <c r="A5" s="186" t="s">
        <v>103</v>
      </c>
      <c r="B5" s="34" t="s">
        <v>72</v>
      </c>
      <c r="C5" s="36"/>
      <c r="D5" s="37"/>
      <c r="E5" s="37"/>
      <c r="F5" s="37"/>
      <c r="G5" s="37"/>
      <c r="H5" s="37"/>
      <c r="I5" s="108"/>
      <c r="J5" s="37"/>
      <c r="L5" s="1"/>
      <c r="M5" s="4"/>
      <c r="N5" s="133"/>
      <c r="O5" s="11"/>
      <c r="P5" s="160" t="s">
        <v>302</v>
      </c>
    </row>
    <row r="6" spans="1:16" s="2" customFormat="1" ht="20.100000000000001" customHeight="1">
      <c r="A6" s="104" t="s">
        <v>103</v>
      </c>
      <c r="B6" s="34"/>
      <c r="C6" s="34"/>
      <c r="D6" s="35"/>
      <c r="E6" s="35"/>
      <c r="F6" s="35"/>
      <c r="G6" s="35"/>
      <c r="H6" s="35"/>
      <c r="I6" s="35"/>
      <c r="J6" s="35"/>
      <c r="L6" s="1"/>
      <c r="M6" s="4"/>
      <c r="N6" s="88"/>
      <c r="O6" s="11"/>
      <c r="P6" s="160"/>
    </row>
    <row r="7" spans="1:16" s="2" customFormat="1" ht="20.100000000000001" customHeight="1">
      <c r="A7" s="28"/>
      <c r="B7" s="34"/>
      <c r="C7" s="36"/>
      <c r="D7" s="37"/>
      <c r="E7" s="37"/>
      <c r="F7" s="37"/>
      <c r="G7" s="37"/>
      <c r="H7" s="37"/>
      <c r="I7" s="37"/>
      <c r="J7" s="37"/>
      <c r="L7" s="1"/>
      <c r="M7" s="4"/>
      <c r="N7" s="88"/>
      <c r="O7" s="11"/>
    </row>
    <row r="8" spans="1:16" ht="20.100000000000001" customHeight="1">
      <c r="A8" s="28"/>
      <c r="B8" s="34"/>
      <c r="C8" s="34"/>
      <c r="D8" s="35"/>
      <c r="E8" s="35"/>
      <c r="F8" s="35"/>
      <c r="G8" s="35"/>
      <c r="H8" s="35"/>
      <c r="I8" s="35"/>
      <c r="J8" s="35"/>
      <c r="K8" s="184"/>
      <c r="L8" s="1"/>
      <c r="N8" s="88"/>
      <c r="O8" s="11"/>
    </row>
    <row r="9" spans="1:16" ht="20.100000000000001" customHeight="1">
      <c r="A9" s="28"/>
      <c r="B9" s="34"/>
      <c r="K9" s="184"/>
      <c r="O9" s="11"/>
    </row>
    <row r="10" spans="1:16" ht="20.100000000000001" customHeight="1">
      <c r="A10" s="28"/>
      <c r="B10" s="34"/>
      <c r="K10" s="184"/>
      <c r="O10" s="11"/>
    </row>
    <row r="11" spans="1:16" ht="20.100000000000001" customHeight="1">
      <c r="A11" s="28"/>
      <c r="B11" s="34"/>
      <c r="K11" s="184"/>
      <c r="O11" s="11"/>
    </row>
    <row r="12" spans="1:16" ht="20.100000000000001" customHeight="1">
      <c r="A12" s="30"/>
      <c r="B12" s="34"/>
      <c r="K12" s="184"/>
      <c r="O12" s="11"/>
    </row>
    <row r="13" spans="1:16" ht="20.100000000000001" customHeight="1">
      <c r="A13" s="30"/>
      <c r="B13" s="34"/>
      <c r="K13" s="184"/>
      <c r="O13" s="11"/>
    </row>
    <row r="14" spans="1:16" ht="20.100000000000001" customHeight="1">
      <c r="A14" s="30"/>
      <c r="B14" s="34"/>
      <c r="K14" s="184"/>
    </row>
    <row r="15" spans="1:16" ht="20.100000000000001" customHeight="1">
      <c r="A15" s="30"/>
      <c r="K15" s="184"/>
    </row>
    <row r="16" spans="1:16" ht="20.100000000000001" customHeight="1">
      <c r="A16" s="30"/>
      <c r="K16" s="184"/>
    </row>
    <row r="17" spans="1:11" ht="20.100000000000001" customHeight="1">
      <c r="A17" s="30"/>
      <c r="K17" s="184"/>
    </row>
    <row r="18" spans="1:11" ht="20.100000000000001" customHeight="1">
      <c r="A18" s="18"/>
      <c r="K18" s="184"/>
    </row>
    <row r="19" spans="1:11" ht="20.100000000000001" customHeight="1">
      <c r="K19" s="184"/>
    </row>
    <row r="20" spans="1:11">
      <c r="K20" s="184"/>
    </row>
    <row r="21" spans="1:11">
      <c r="K21" s="184"/>
    </row>
    <row r="22" spans="1:11">
      <c r="K22" s="184"/>
    </row>
    <row r="23" spans="1:11">
      <c r="K23" s="184"/>
    </row>
    <row r="24" spans="1:11">
      <c r="K24" s="184"/>
    </row>
    <row r="25" spans="1:11">
      <c r="K25" s="184"/>
    </row>
    <row r="26" spans="1:11">
      <c r="K26" s="184"/>
    </row>
    <row r="27" spans="1:11">
      <c r="K27" s="184"/>
    </row>
    <row r="28" spans="1:11">
      <c r="K28" s="184"/>
    </row>
    <row r="29" spans="1:11">
      <c r="K29" s="184"/>
    </row>
    <row r="30" spans="1:11">
      <c r="K30" s="184"/>
    </row>
    <row r="31" spans="1:11">
      <c r="K31" s="184"/>
    </row>
    <row r="32" spans="1:11">
      <c r="K32" s="184"/>
    </row>
    <row r="33" spans="11:11">
      <c r="K33" s="184"/>
    </row>
    <row r="34" spans="11:11">
      <c r="K34" s="184"/>
    </row>
    <row r="35" spans="11:11">
      <c r="K35" s="38"/>
    </row>
  </sheetData>
  <pageMargins left="0.7" right="0.7" top="0.78740157499999996" bottom="0.78740157499999996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CA490C-551E-4BF7-84E9-B3E612D9E692}">
  <sheetPr codeName="Tabelle18"/>
  <dimension ref="A1:P35"/>
  <sheetViews>
    <sheetView workbookViewId="0">
      <selection activeCell="K1" sqref="K1"/>
    </sheetView>
  </sheetViews>
  <sheetFormatPr baseColWidth="10" defaultColWidth="11.5546875" defaultRowHeight="15.6"/>
  <cols>
    <col min="1" max="1" width="8.33203125" style="20" customWidth="1"/>
    <col min="2" max="10" width="3.6640625" style="38" bestFit="1" customWidth="1"/>
    <col min="11" max="11" width="6.6640625" bestFit="1" customWidth="1"/>
    <col min="12" max="12" width="26.44140625" style="84" customWidth="1"/>
    <col min="13" max="13" width="19.6640625" style="17" customWidth="1"/>
    <col min="14" max="14" width="24.44140625" style="84" customWidth="1"/>
    <col min="15" max="15" width="32.5546875" style="81" bestFit="1" customWidth="1"/>
    <col min="16" max="16" width="5.88671875" style="17" customWidth="1"/>
    <col min="17" max="16384" width="11.5546875" style="17"/>
  </cols>
  <sheetData>
    <row r="1" spans="1:16" s="2" customFormat="1" ht="55.2" customHeight="1">
      <c r="A1" s="21" t="s">
        <v>96</v>
      </c>
      <c r="B1" s="259" t="s">
        <v>109</v>
      </c>
      <c r="C1" s="259" t="s">
        <v>136</v>
      </c>
      <c r="D1" s="259" t="s">
        <v>137</v>
      </c>
      <c r="E1" s="259" t="s">
        <v>224</v>
      </c>
      <c r="F1" s="259" t="s">
        <v>138</v>
      </c>
      <c r="G1" s="259" t="s">
        <v>146</v>
      </c>
      <c r="H1" s="259" t="s">
        <v>195</v>
      </c>
      <c r="I1" s="259" t="s">
        <v>235</v>
      </c>
      <c r="J1" s="259" t="s">
        <v>223</v>
      </c>
      <c r="K1" s="259" t="s">
        <v>390</v>
      </c>
      <c r="L1" s="82" t="s">
        <v>70</v>
      </c>
      <c r="M1" s="25" t="s">
        <v>71</v>
      </c>
      <c r="N1" s="82" t="s">
        <v>14</v>
      </c>
      <c r="O1" s="24" t="s">
        <v>97</v>
      </c>
    </row>
    <row r="2" spans="1:16" s="2" customFormat="1" ht="20.100000000000001" customHeight="1">
      <c r="A2" s="27" t="s">
        <v>104</v>
      </c>
      <c r="B2" s="32"/>
      <c r="C2" s="32"/>
      <c r="D2" s="33"/>
      <c r="E2" s="33"/>
      <c r="F2" s="33"/>
      <c r="G2" s="33"/>
      <c r="H2" s="33"/>
      <c r="J2" s="33"/>
      <c r="L2" s="83"/>
      <c r="M2" s="10"/>
      <c r="N2" s="195" t="s">
        <v>428</v>
      </c>
      <c r="O2" s="11"/>
    </row>
    <row r="3" spans="1:16" s="2" customFormat="1" ht="20.100000000000001" customHeight="1">
      <c r="A3" s="28" t="s">
        <v>102</v>
      </c>
      <c r="B3" s="34" t="s">
        <v>72</v>
      </c>
      <c r="C3" s="34"/>
      <c r="D3" s="35"/>
      <c r="E3" s="35"/>
      <c r="F3" s="35"/>
      <c r="G3" s="35"/>
      <c r="H3" s="35"/>
      <c r="I3" s="103"/>
      <c r="J3" s="35"/>
      <c r="K3" s="34" t="s">
        <v>72</v>
      </c>
      <c r="L3" s="105"/>
      <c r="M3" s="4"/>
      <c r="N3" s="133" t="s">
        <v>429</v>
      </c>
      <c r="O3" s="11"/>
      <c r="P3" s="161" t="s">
        <v>302</v>
      </c>
    </row>
    <row r="4" spans="1:16" s="2" customFormat="1" ht="20.100000000000001" customHeight="1">
      <c r="A4" s="28" t="s">
        <v>102</v>
      </c>
      <c r="B4" s="34" t="s">
        <v>72</v>
      </c>
      <c r="C4" s="36"/>
      <c r="D4" s="37"/>
      <c r="E4" s="37"/>
      <c r="F4" s="37"/>
      <c r="G4" s="37"/>
      <c r="H4" s="37"/>
      <c r="I4" s="109"/>
      <c r="J4" s="37"/>
      <c r="K4" s="34" t="s">
        <v>72</v>
      </c>
      <c r="M4" s="4"/>
      <c r="N4" s="133" t="s">
        <v>430</v>
      </c>
      <c r="O4" s="105"/>
      <c r="P4" s="161" t="s">
        <v>302</v>
      </c>
    </row>
    <row r="5" spans="1:16" s="2" customFormat="1" ht="20.100000000000001" customHeight="1">
      <c r="A5" s="28" t="s">
        <v>102</v>
      </c>
      <c r="B5" s="34" t="s">
        <v>72</v>
      </c>
      <c r="C5" s="36"/>
      <c r="D5" s="37"/>
      <c r="E5" s="37"/>
      <c r="F5" s="37"/>
      <c r="G5" s="37"/>
      <c r="H5" s="37"/>
      <c r="I5" s="108"/>
      <c r="J5" s="37"/>
      <c r="K5" s="34" t="s">
        <v>72</v>
      </c>
      <c r="L5" s="1"/>
      <c r="M5" s="4"/>
      <c r="N5" s="133" t="s">
        <v>431</v>
      </c>
      <c r="O5" s="11"/>
      <c r="P5" s="161" t="s">
        <v>302</v>
      </c>
    </row>
    <row r="6" spans="1:16" s="2" customFormat="1" ht="20.100000000000001" customHeight="1">
      <c r="A6" s="28" t="s">
        <v>102</v>
      </c>
      <c r="B6" s="34" t="s">
        <v>72</v>
      </c>
      <c r="C6" s="34"/>
      <c r="D6" s="35"/>
      <c r="E6" s="35"/>
      <c r="F6" s="35"/>
      <c r="G6" s="35"/>
      <c r="H6" s="35"/>
      <c r="I6" s="35"/>
      <c r="J6" s="35"/>
      <c r="K6" s="189" t="s">
        <v>72</v>
      </c>
      <c r="L6" s="1"/>
      <c r="M6" s="4"/>
      <c r="N6" s="133" t="s">
        <v>432</v>
      </c>
      <c r="O6" s="11"/>
      <c r="P6" s="161" t="s">
        <v>302</v>
      </c>
    </row>
    <row r="7" spans="1:16" s="2" customFormat="1" ht="20.100000000000001" customHeight="1">
      <c r="A7" s="104" t="s">
        <v>103</v>
      </c>
      <c r="B7" s="34"/>
      <c r="C7" s="36"/>
      <c r="D7" s="37"/>
      <c r="E7" s="37"/>
      <c r="F7" s="37"/>
      <c r="G7" s="37"/>
      <c r="H7" s="37"/>
      <c r="I7" s="37"/>
      <c r="J7" s="37"/>
      <c r="L7" s="1"/>
      <c r="M7" s="4"/>
      <c r="N7" s="88"/>
      <c r="O7" s="11"/>
      <c r="P7" s="160"/>
    </row>
    <row r="8" spans="1:16" ht="20.100000000000001" customHeight="1">
      <c r="A8" s="104" t="s">
        <v>103</v>
      </c>
      <c r="B8" s="34"/>
      <c r="C8" s="34"/>
      <c r="D8" s="35"/>
      <c r="E8" s="35"/>
      <c r="F8" s="35"/>
      <c r="G8" s="35"/>
      <c r="H8" s="35"/>
      <c r="I8" s="35"/>
      <c r="J8" s="35"/>
      <c r="K8" s="184"/>
      <c r="L8" s="1"/>
      <c r="N8" s="88"/>
      <c r="O8" s="11"/>
      <c r="P8" s="166"/>
    </row>
    <row r="9" spans="1:16" ht="20.100000000000001" customHeight="1">
      <c r="A9" s="104" t="s">
        <v>103</v>
      </c>
      <c r="B9" s="34"/>
      <c r="K9" s="184"/>
      <c r="O9" s="11"/>
      <c r="P9" s="166"/>
    </row>
    <row r="10" spans="1:16" ht="20.100000000000001" customHeight="1">
      <c r="A10" s="104" t="s">
        <v>103</v>
      </c>
      <c r="B10" s="34"/>
      <c r="K10" s="184"/>
      <c r="O10" s="11"/>
      <c r="P10" s="166"/>
    </row>
    <row r="11" spans="1:16" ht="20.100000000000001" customHeight="1">
      <c r="A11" s="104" t="s">
        <v>103</v>
      </c>
      <c r="B11" s="34"/>
      <c r="K11" s="184"/>
      <c r="O11" s="11"/>
      <c r="P11" s="166"/>
    </row>
    <row r="12" spans="1:16" ht="20.100000000000001" customHeight="1">
      <c r="A12" s="104" t="s">
        <v>103</v>
      </c>
      <c r="B12" s="34"/>
      <c r="K12" s="184"/>
      <c r="O12" s="11"/>
      <c r="P12" s="166"/>
    </row>
    <row r="13" spans="1:16" ht="20.100000000000001" customHeight="1">
      <c r="A13" s="104" t="s">
        <v>103</v>
      </c>
      <c r="B13" s="34"/>
      <c r="K13" s="184"/>
      <c r="O13" s="11"/>
      <c r="P13" s="166"/>
    </row>
    <row r="14" spans="1:16" ht="20.100000000000001" customHeight="1">
      <c r="A14" s="104" t="s">
        <v>103</v>
      </c>
      <c r="B14" s="34"/>
      <c r="K14" s="184"/>
      <c r="P14" s="166"/>
    </row>
    <row r="15" spans="1:16" ht="20.100000000000001" customHeight="1">
      <c r="A15" s="104" t="s">
        <v>103</v>
      </c>
      <c r="K15" s="184"/>
      <c r="P15" s="166"/>
    </row>
    <row r="16" spans="1:16" ht="20.100000000000001" customHeight="1">
      <c r="A16" s="104" t="s">
        <v>103</v>
      </c>
      <c r="K16" s="184"/>
      <c r="P16" s="166"/>
    </row>
    <row r="17" spans="1:16" ht="20.100000000000001" customHeight="1">
      <c r="A17" s="104" t="s">
        <v>103</v>
      </c>
      <c r="K17" s="184"/>
      <c r="P17" s="166"/>
    </row>
    <row r="18" spans="1:16" ht="20.100000000000001" customHeight="1">
      <c r="A18" s="104" t="s">
        <v>103</v>
      </c>
      <c r="K18" s="184"/>
      <c r="P18" s="166"/>
    </row>
    <row r="19" spans="1:16" ht="20.100000000000001" customHeight="1">
      <c r="A19" s="104" t="s">
        <v>103</v>
      </c>
      <c r="K19" s="184"/>
      <c r="P19" s="166"/>
    </row>
    <row r="20" spans="1:16">
      <c r="A20" s="104" t="s">
        <v>103</v>
      </c>
      <c r="K20" s="184"/>
      <c r="P20" s="166"/>
    </row>
    <row r="21" spans="1:16">
      <c r="A21" s="104" t="s">
        <v>103</v>
      </c>
      <c r="K21" s="184"/>
      <c r="P21" s="166"/>
    </row>
    <row r="22" spans="1:16">
      <c r="A22" s="104" t="s">
        <v>103</v>
      </c>
      <c r="K22" s="184"/>
      <c r="P22" s="166"/>
    </row>
    <row r="23" spans="1:16">
      <c r="A23" s="104" t="s">
        <v>103</v>
      </c>
      <c r="K23" s="184"/>
      <c r="P23" s="166"/>
    </row>
    <row r="24" spans="1:16">
      <c r="A24" s="104" t="s">
        <v>103</v>
      </c>
      <c r="K24" s="184"/>
      <c r="P24" s="166"/>
    </row>
    <row r="25" spans="1:16">
      <c r="A25" s="104" t="s">
        <v>103</v>
      </c>
      <c r="K25" s="184"/>
      <c r="P25" s="166"/>
    </row>
    <row r="26" spans="1:16">
      <c r="A26" s="104" t="s">
        <v>103</v>
      </c>
      <c r="K26" s="184"/>
      <c r="P26" s="166"/>
    </row>
    <row r="27" spans="1:16">
      <c r="A27" s="104" t="s">
        <v>103</v>
      </c>
      <c r="K27" s="184"/>
      <c r="P27" s="166"/>
    </row>
    <row r="28" spans="1:16">
      <c r="A28" s="104" t="s">
        <v>103</v>
      </c>
      <c r="K28" s="184"/>
      <c r="P28" s="166"/>
    </row>
    <row r="29" spans="1:16">
      <c r="A29" s="104" t="s">
        <v>103</v>
      </c>
      <c r="K29" s="184"/>
      <c r="P29" s="166"/>
    </row>
    <row r="30" spans="1:16">
      <c r="K30" s="184"/>
    </row>
    <row r="31" spans="1:16">
      <c r="K31" s="184"/>
    </row>
    <row r="32" spans="1:16">
      <c r="K32" s="184"/>
    </row>
    <row r="33" spans="11:11">
      <c r="K33" s="184"/>
    </row>
    <row r="34" spans="11:11">
      <c r="K34" s="184"/>
    </row>
    <row r="35" spans="11:11">
      <c r="K35" s="38"/>
    </row>
  </sheetData>
  <hyperlinks>
    <hyperlink ref="N3" r:id="rId1" xr:uid="{E2501E2F-13E9-468C-AF8C-A1FC88378901}"/>
    <hyperlink ref="N4" r:id="rId2" xr:uid="{C02FEA81-D869-480B-B526-3B1AFC795540}"/>
    <hyperlink ref="N5" r:id="rId3" xr:uid="{C0CCC4A9-9967-408A-8066-C49314319065}"/>
    <hyperlink ref="N6" r:id="rId4" xr:uid="{6E882BAF-3B18-4EDD-ABFD-106566DC07F5}"/>
  </hyperlinks>
  <pageMargins left="0.7" right="0.7" top="0.78740157499999996" bottom="0.78740157499999996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7D60CE-F7E0-4542-958F-F8E6EEB8ABF9}">
  <sheetPr codeName="Tabelle12"/>
  <dimension ref="A1:O441"/>
  <sheetViews>
    <sheetView zoomScale="115" zoomScaleNormal="115" workbookViewId="0">
      <pane ySplit="1" topLeftCell="A33" activePane="bottomLeft" state="frozen"/>
      <selection pane="bottomLeft" activeCell="G33" sqref="G33"/>
    </sheetView>
  </sheetViews>
  <sheetFormatPr baseColWidth="10" defaultColWidth="11.5546875" defaultRowHeight="15.6"/>
  <cols>
    <col min="1" max="1" width="11.5546875" style="11"/>
    <col min="2" max="2" width="4.88671875" style="11" customWidth="1"/>
    <col min="3" max="3" width="19.109375" style="11" customWidth="1"/>
    <col min="4" max="4" width="5.5546875" style="11" bestFit="1" customWidth="1"/>
    <col min="5" max="5" width="16.6640625" style="11" customWidth="1"/>
    <col min="6" max="6" width="8.109375" style="11" customWidth="1"/>
    <col min="7" max="7" width="12.88671875" style="11" customWidth="1"/>
    <col min="8" max="8" width="11.5546875" style="11"/>
    <col min="9" max="9" width="13.44140625" style="11" bestFit="1" customWidth="1"/>
    <col min="10" max="10" width="11.5546875" style="11" bestFit="1" customWidth="1"/>
    <col min="11" max="11" width="11.5546875" style="11" customWidth="1"/>
    <col min="12" max="12" width="11.5546875" style="211"/>
    <col min="13" max="13" width="9.88671875" style="11" customWidth="1"/>
    <col min="14" max="16384" width="11.5546875" style="11"/>
  </cols>
  <sheetData>
    <row r="1" spans="1:15" ht="59.4" customHeight="1">
      <c r="A1" s="209" t="s">
        <v>572</v>
      </c>
      <c r="B1" s="209" t="s">
        <v>596</v>
      </c>
      <c r="C1" s="226" t="s">
        <v>599</v>
      </c>
      <c r="D1" s="209" t="s">
        <v>595</v>
      </c>
      <c r="E1" s="209" t="s">
        <v>348</v>
      </c>
      <c r="F1" s="223" t="s">
        <v>591</v>
      </c>
      <c r="G1" s="209" t="s">
        <v>43</v>
      </c>
      <c r="H1" s="224" t="s">
        <v>351</v>
      </c>
      <c r="I1" s="224" t="s">
        <v>364</v>
      </c>
      <c r="J1" s="225" t="s">
        <v>598</v>
      </c>
      <c r="K1" s="224" t="s">
        <v>595</v>
      </c>
      <c r="L1" s="222" t="s">
        <v>348</v>
      </c>
      <c r="M1" s="223" t="s">
        <v>591</v>
      </c>
      <c r="N1" s="224" t="s">
        <v>43</v>
      </c>
      <c r="O1" s="224" t="s">
        <v>351</v>
      </c>
    </row>
    <row r="2" spans="1:15" ht="19.95" customHeight="1">
      <c r="A2" s="210" t="s">
        <v>100</v>
      </c>
    </row>
    <row r="3" spans="1:15" ht="19.95" customHeight="1">
      <c r="A3" s="212" t="s">
        <v>573</v>
      </c>
      <c r="C3" s="319" t="s">
        <v>605</v>
      </c>
      <c r="D3" s="319"/>
      <c r="E3" s="319" t="str">
        <f>CC!L22</f>
        <v xml:space="preserve">Puppenspieler </v>
      </c>
      <c r="F3" s="319"/>
      <c r="G3" s="320" t="str">
        <f>HYPERLINK("#'CC'!Q" &amp; J3, "Zurück zu CC")</f>
        <v>Zurück zu CC</v>
      </c>
      <c r="H3" s="319"/>
      <c r="I3" s="319" t="s">
        <v>590</v>
      </c>
      <c r="J3" s="319">
        <f>MATCH(C3, CC!Q:Q, 0)</f>
        <v>22</v>
      </c>
      <c r="K3" s="319"/>
      <c r="L3" s="321"/>
      <c r="M3" s="321"/>
      <c r="N3" s="321"/>
      <c r="O3" s="321"/>
    </row>
    <row r="4" spans="1:15" ht="19.95" customHeight="1">
      <c r="A4" s="212" t="s">
        <v>100</v>
      </c>
      <c r="B4" s="206"/>
      <c r="C4" s="206" t="s">
        <v>346</v>
      </c>
      <c r="D4" s="206"/>
      <c r="E4" s="206"/>
      <c r="F4" s="206"/>
      <c r="G4" s="206"/>
      <c r="H4" s="206"/>
      <c r="I4" s="206"/>
      <c r="J4" s="206" t="s">
        <v>347</v>
      </c>
      <c r="K4" s="206"/>
      <c r="L4" s="207"/>
      <c r="M4" s="206"/>
      <c r="N4" s="206"/>
      <c r="O4" s="206"/>
    </row>
    <row r="5" spans="1:15" ht="19.95" customHeight="1">
      <c r="A5" s="210" t="s">
        <v>574</v>
      </c>
      <c r="B5" s="219">
        <v>1</v>
      </c>
      <c r="C5" s="219" t="s">
        <v>344</v>
      </c>
      <c r="D5" s="219" t="s">
        <v>134</v>
      </c>
      <c r="E5" s="208" t="s">
        <v>134</v>
      </c>
      <c r="F5" s="206" t="s">
        <v>349</v>
      </c>
      <c r="G5" s="206"/>
      <c r="H5" s="206" t="s">
        <v>353</v>
      </c>
      <c r="I5" s="206"/>
      <c r="J5" s="208" t="s">
        <v>344</v>
      </c>
      <c r="K5" s="219" t="s">
        <v>133</v>
      </c>
      <c r="L5" s="208" t="s">
        <v>133</v>
      </c>
      <c r="M5" s="206" t="s">
        <v>353</v>
      </c>
      <c r="N5" s="206"/>
      <c r="O5" s="206" t="s">
        <v>353</v>
      </c>
    </row>
    <row r="6" spans="1:15" ht="19.95" customHeight="1">
      <c r="A6" s="210" t="s">
        <v>574</v>
      </c>
      <c r="B6" s="208">
        <v>2</v>
      </c>
      <c r="C6" s="208" t="s">
        <v>89</v>
      </c>
      <c r="D6" s="219" t="s">
        <v>133</v>
      </c>
      <c r="E6" s="208" t="s">
        <v>358</v>
      </c>
      <c r="F6" s="206" t="s">
        <v>349</v>
      </c>
      <c r="G6" s="206"/>
      <c r="H6" s="206" t="s">
        <v>354</v>
      </c>
      <c r="I6" s="206"/>
      <c r="J6" s="208" t="s">
        <v>89</v>
      </c>
      <c r="K6" s="219" t="s">
        <v>134</v>
      </c>
      <c r="L6" s="208" t="s">
        <v>359</v>
      </c>
      <c r="M6" s="206" t="s">
        <v>353</v>
      </c>
      <c r="N6" s="206"/>
      <c r="O6" s="206" t="s">
        <v>354</v>
      </c>
    </row>
    <row r="7" spans="1:15" ht="19.95" customHeight="1">
      <c r="A7" s="210" t="s">
        <v>574</v>
      </c>
      <c r="B7" s="219">
        <v>3</v>
      </c>
      <c r="C7" s="219" t="s">
        <v>345</v>
      </c>
      <c r="D7" s="219" t="s">
        <v>133</v>
      </c>
      <c r="E7" s="219" t="s">
        <v>133</v>
      </c>
      <c r="F7" s="206" t="s">
        <v>349</v>
      </c>
      <c r="G7" s="206"/>
      <c r="H7" s="206" t="s">
        <v>352</v>
      </c>
      <c r="I7" s="206" t="s">
        <v>593</v>
      </c>
      <c r="J7" s="219" t="s">
        <v>592</v>
      </c>
      <c r="K7" s="219" t="s">
        <v>134</v>
      </c>
      <c r="L7" s="208"/>
      <c r="M7" s="206"/>
      <c r="O7" s="206"/>
    </row>
    <row r="8" spans="1:15" ht="19.95" customHeight="1">
      <c r="A8" s="210" t="s">
        <v>574</v>
      </c>
      <c r="B8" s="208">
        <v>4</v>
      </c>
      <c r="C8" s="219" t="s">
        <v>89</v>
      </c>
      <c r="D8" s="219" t="s">
        <v>134</v>
      </c>
      <c r="E8" s="208" t="s">
        <v>359</v>
      </c>
      <c r="F8" s="206" t="s">
        <v>349</v>
      </c>
      <c r="G8" s="206"/>
      <c r="H8" s="206" t="s">
        <v>354</v>
      </c>
      <c r="J8" s="208" t="s">
        <v>41</v>
      </c>
      <c r="K8" s="219" t="s">
        <v>133</v>
      </c>
      <c r="L8" s="208"/>
      <c r="M8" s="206"/>
      <c r="N8" s="206" t="s">
        <v>363</v>
      </c>
      <c r="O8" s="206"/>
    </row>
    <row r="9" spans="1:15" ht="19.95" customHeight="1">
      <c r="A9" s="210" t="s">
        <v>574</v>
      </c>
      <c r="B9" s="219">
        <v>5</v>
      </c>
      <c r="C9" s="219" t="s">
        <v>592</v>
      </c>
      <c r="D9" s="219" t="s">
        <v>134</v>
      </c>
      <c r="E9" s="219" t="s">
        <v>134</v>
      </c>
      <c r="F9" s="206" t="s">
        <v>349</v>
      </c>
      <c r="G9" s="206"/>
      <c r="H9" s="206" t="s">
        <v>352</v>
      </c>
      <c r="I9" s="206" t="s">
        <v>366</v>
      </c>
      <c r="J9" s="219" t="s">
        <v>345</v>
      </c>
      <c r="K9" s="219" t="s">
        <v>133</v>
      </c>
      <c r="L9" s="208"/>
      <c r="M9" s="206" t="s">
        <v>353</v>
      </c>
      <c r="N9" s="206"/>
      <c r="O9" s="206"/>
    </row>
    <row r="10" spans="1:15" ht="19.95" customHeight="1">
      <c r="A10" s="210" t="s">
        <v>574</v>
      </c>
      <c r="B10" s="208">
        <v>6</v>
      </c>
      <c r="C10" s="208" t="s">
        <v>365</v>
      </c>
      <c r="D10" s="219" t="s">
        <v>133</v>
      </c>
      <c r="E10" s="208" t="s">
        <v>359</v>
      </c>
      <c r="F10" s="206" t="s">
        <v>362</v>
      </c>
      <c r="G10" s="206" t="s">
        <v>355</v>
      </c>
      <c r="H10" s="206" t="s">
        <v>354</v>
      </c>
      <c r="I10" s="206" t="s">
        <v>366</v>
      </c>
      <c r="J10" s="219" t="s">
        <v>89</v>
      </c>
      <c r="K10" s="219" t="s">
        <v>134</v>
      </c>
      <c r="L10" s="208"/>
      <c r="M10" s="206" t="s">
        <v>350</v>
      </c>
      <c r="N10" s="206"/>
      <c r="O10" s="206"/>
    </row>
    <row r="11" spans="1:15" ht="19.95" customHeight="1">
      <c r="A11" s="210" t="s">
        <v>574</v>
      </c>
      <c r="B11" s="219">
        <v>7</v>
      </c>
      <c r="C11" s="208" t="s">
        <v>345</v>
      </c>
      <c r="D11" s="219" t="s">
        <v>133</v>
      </c>
      <c r="E11" s="208" t="s">
        <v>133</v>
      </c>
      <c r="F11" s="206" t="s">
        <v>349</v>
      </c>
      <c r="G11" s="206" t="s">
        <v>356</v>
      </c>
      <c r="H11" s="206" t="s">
        <v>352</v>
      </c>
      <c r="I11" s="206" t="s">
        <v>367</v>
      </c>
      <c r="J11" s="208" t="s">
        <v>345</v>
      </c>
      <c r="K11" s="219" t="s">
        <v>134</v>
      </c>
      <c r="L11" s="208" t="s">
        <v>134</v>
      </c>
      <c r="M11" s="206" t="s">
        <v>353</v>
      </c>
      <c r="N11" s="206" t="s">
        <v>356</v>
      </c>
      <c r="O11" s="206" t="s">
        <v>352</v>
      </c>
    </row>
    <row r="12" spans="1:15" ht="19.95" customHeight="1">
      <c r="A12" s="210" t="s">
        <v>574</v>
      </c>
      <c r="B12" s="208">
        <v>8</v>
      </c>
      <c r="C12" s="208" t="s">
        <v>32</v>
      </c>
      <c r="D12" s="219" t="s">
        <v>134</v>
      </c>
      <c r="E12" s="208" t="s">
        <v>357</v>
      </c>
      <c r="F12" s="154" t="s">
        <v>594</v>
      </c>
      <c r="G12" s="206" t="s">
        <v>355</v>
      </c>
      <c r="H12" s="206" t="s">
        <v>352</v>
      </c>
      <c r="I12" s="206" t="s">
        <v>368</v>
      </c>
      <c r="J12" s="208" t="s">
        <v>345</v>
      </c>
      <c r="K12" s="219" t="s">
        <v>133</v>
      </c>
      <c r="L12" s="208" t="s">
        <v>133</v>
      </c>
      <c r="M12" s="154" t="s">
        <v>350</v>
      </c>
      <c r="N12" s="206" t="s">
        <v>360</v>
      </c>
      <c r="O12" s="206" t="s">
        <v>352</v>
      </c>
    </row>
    <row r="13" spans="1:15" ht="19.95" customHeight="1">
      <c r="A13" s="210" t="s">
        <v>574</v>
      </c>
      <c r="B13" s="219">
        <v>9</v>
      </c>
      <c r="C13" s="173" t="s">
        <v>345</v>
      </c>
      <c r="D13" s="221" t="s">
        <v>133</v>
      </c>
      <c r="E13" s="173" t="s">
        <v>133</v>
      </c>
      <c r="F13" s="154" t="s">
        <v>349</v>
      </c>
      <c r="G13" s="206" t="s">
        <v>356</v>
      </c>
      <c r="H13" s="206" t="s">
        <v>352</v>
      </c>
      <c r="I13" s="206"/>
      <c r="J13" s="173" t="s">
        <v>345</v>
      </c>
      <c r="K13" s="221" t="s">
        <v>134</v>
      </c>
      <c r="L13" s="173" t="s">
        <v>134</v>
      </c>
      <c r="M13" s="154" t="s">
        <v>353</v>
      </c>
      <c r="N13" s="206" t="s">
        <v>361</v>
      </c>
      <c r="O13" s="206" t="s">
        <v>352</v>
      </c>
    </row>
    <row r="14" spans="1:15" ht="19.95" customHeight="1">
      <c r="A14" s="210" t="s">
        <v>574</v>
      </c>
      <c r="B14" s="208">
        <v>10</v>
      </c>
      <c r="C14" s="206" t="s">
        <v>89</v>
      </c>
      <c r="D14" s="206" t="s">
        <v>134</v>
      </c>
      <c r="E14" s="206" t="s">
        <v>358</v>
      </c>
      <c r="F14" s="206" t="s">
        <v>350</v>
      </c>
      <c r="G14" s="206"/>
      <c r="H14" s="206" t="s">
        <v>354</v>
      </c>
      <c r="I14" s="206"/>
      <c r="J14" s="206" t="s">
        <v>89</v>
      </c>
      <c r="K14" s="206" t="s">
        <v>133</v>
      </c>
      <c r="L14" s="206" t="s">
        <v>358</v>
      </c>
      <c r="M14" s="206" t="s">
        <v>362</v>
      </c>
      <c r="N14" s="206" t="s">
        <v>356</v>
      </c>
      <c r="O14" s="206" t="s">
        <v>354</v>
      </c>
    </row>
    <row r="15" spans="1:15" ht="19.95" customHeight="1">
      <c r="A15" s="220" t="s">
        <v>574</v>
      </c>
      <c r="B15" s="206">
        <v>11</v>
      </c>
      <c r="C15" s="206" t="s">
        <v>597</v>
      </c>
      <c r="D15" s="206" t="s">
        <v>134</v>
      </c>
      <c r="E15" s="206"/>
      <c r="F15" s="206"/>
      <c r="G15" s="206"/>
      <c r="H15" s="206"/>
      <c r="I15" s="206"/>
      <c r="J15" s="206" t="s">
        <v>597</v>
      </c>
      <c r="K15" s="206" t="s">
        <v>133</v>
      </c>
      <c r="L15" s="206"/>
      <c r="M15" s="206"/>
      <c r="N15" s="206"/>
      <c r="O15" s="206"/>
    </row>
    <row r="16" spans="1:15" ht="19.95" customHeight="1">
      <c r="A16" s="210" t="s">
        <v>575</v>
      </c>
    </row>
    <row r="17" spans="1:15" ht="19.95" customHeight="1">
      <c r="A17" s="227" t="s">
        <v>573</v>
      </c>
      <c r="C17" s="319" t="s">
        <v>603</v>
      </c>
      <c r="D17" s="319"/>
      <c r="E17" s="319" t="str">
        <f>CC!L20</f>
        <v>Verfolger</v>
      </c>
      <c r="F17" s="319"/>
      <c r="G17" s="320" t="str">
        <f>HYPERLINK("#'CC'!Q" &amp; J17, "Zurück zu CC")</f>
        <v>Zurück zu CC</v>
      </c>
      <c r="H17" s="319"/>
      <c r="I17" s="319" t="s">
        <v>590</v>
      </c>
      <c r="J17" s="319">
        <f>MATCH(C17, CC!Q:Q, 0)</f>
        <v>20</v>
      </c>
      <c r="K17" s="319"/>
      <c r="L17" s="321"/>
      <c r="M17" s="321"/>
      <c r="N17" s="321"/>
      <c r="O17" s="321"/>
    </row>
    <row r="18" spans="1:15" ht="19.95" customHeight="1">
      <c r="A18" s="227" t="s">
        <v>100</v>
      </c>
    </row>
    <row r="19" spans="1:15" ht="19.95" customHeight="1">
      <c r="A19" s="227" t="s">
        <v>574</v>
      </c>
      <c r="B19" s="11">
        <f>B18+1</f>
        <v>1</v>
      </c>
      <c r="C19" s="230" t="s">
        <v>89</v>
      </c>
      <c r="D19" s="230" t="s">
        <v>625</v>
      </c>
      <c r="E19" s="230" t="s">
        <v>358</v>
      </c>
      <c r="F19" s="230" t="s">
        <v>349</v>
      </c>
    </row>
    <row r="20" spans="1:15" ht="19.95" customHeight="1">
      <c r="A20" s="227"/>
      <c r="B20" s="11">
        <f>B19+1</f>
        <v>2</v>
      </c>
      <c r="C20" s="230" t="s">
        <v>345</v>
      </c>
      <c r="D20" s="230" t="s">
        <v>133</v>
      </c>
      <c r="E20" s="230" t="s">
        <v>133</v>
      </c>
      <c r="F20" s="230" t="s">
        <v>349</v>
      </c>
    </row>
    <row r="21" spans="1:15" ht="19.95" customHeight="1">
      <c r="A21" s="227"/>
      <c r="B21" s="11">
        <f>B20+1</f>
        <v>3</v>
      </c>
      <c r="C21" s="230" t="s">
        <v>630</v>
      </c>
      <c r="D21" s="230" t="s">
        <v>629</v>
      </c>
      <c r="E21" s="230" t="s">
        <v>359</v>
      </c>
      <c r="F21" s="230" t="s">
        <v>349</v>
      </c>
    </row>
    <row r="22" spans="1:15" ht="19.95" customHeight="1">
      <c r="A22" s="227"/>
      <c r="B22" s="11">
        <f>B21+1</f>
        <v>4</v>
      </c>
      <c r="C22" s="230" t="s">
        <v>631</v>
      </c>
      <c r="D22" s="230" t="s">
        <v>629</v>
      </c>
      <c r="E22" s="230" t="s">
        <v>632</v>
      </c>
      <c r="F22" s="230" t="s">
        <v>349</v>
      </c>
    </row>
    <row r="23" spans="1:15" ht="19.95" customHeight="1">
      <c r="A23" s="227" t="s">
        <v>574</v>
      </c>
      <c r="B23" s="11">
        <f>B22+1</f>
        <v>5</v>
      </c>
      <c r="C23" s="230" t="s">
        <v>621</v>
      </c>
      <c r="D23" s="230" t="s">
        <v>134</v>
      </c>
      <c r="E23" s="230" t="s">
        <v>633</v>
      </c>
      <c r="F23" s="230" t="s">
        <v>594</v>
      </c>
    </row>
    <row r="24" spans="1:15" ht="19.95" customHeight="1">
      <c r="A24" s="227" t="s">
        <v>574</v>
      </c>
      <c r="B24" s="11">
        <f t="shared" ref="B24:B37" si="0">B23+1</f>
        <v>6</v>
      </c>
      <c r="C24" s="230" t="s">
        <v>621</v>
      </c>
      <c r="D24" s="230" t="s">
        <v>134</v>
      </c>
      <c r="E24" s="230" t="s">
        <v>633</v>
      </c>
      <c r="F24" s="230" t="s">
        <v>594</v>
      </c>
    </row>
    <row r="25" spans="1:15" ht="19.95" customHeight="1">
      <c r="A25" s="227" t="s">
        <v>574</v>
      </c>
      <c r="B25" s="11">
        <f t="shared" si="0"/>
        <v>7</v>
      </c>
      <c r="C25" s="230" t="s">
        <v>89</v>
      </c>
      <c r="D25" s="230" t="s">
        <v>134</v>
      </c>
      <c r="E25" s="230" t="s">
        <v>358</v>
      </c>
      <c r="F25" s="230" t="s">
        <v>594</v>
      </c>
    </row>
    <row r="26" spans="1:15" ht="19.95" customHeight="1">
      <c r="A26" s="227" t="s">
        <v>574</v>
      </c>
      <c r="B26" s="11">
        <f t="shared" si="0"/>
        <v>8</v>
      </c>
      <c r="C26" s="230" t="s">
        <v>592</v>
      </c>
      <c r="D26" s="230" t="s">
        <v>134</v>
      </c>
      <c r="E26" s="230" t="s">
        <v>134</v>
      </c>
      <c r="F26" s="230" t="s">
        <v>349</v>
      </c>
    </row>
    <row r="27" spans="1:15" ht="19.95" customHeight="1">
      <c r="A27" s="227" t="s">
        <v>574</v>
      </c>
      <c r="B27" s="11">
        <f t="shared" si="0"/>
        <v>9</v>
      </c>
      <c r="C27" s="230" t="s">
        <v>622</v>
      </c>
      <c r="D27" s="230" t="s">
        <v>625</v>
      </c>
      <c r="E27" s="230" t="s">
        <v>357</v>
      </c>
      <c r="F27" s="230" t="s">
        <v>362</v>
      </c>
    </row>
    <row r="28" spans="1:15" ht="19.95" customHeight="1">
      <c r="A28" s="227" t="s">
        <v>574</v>
      </c>
      <c r="B28" s="11">
        <f t="shared" si="0"/>
        <v>10</v>
      </c>
      <c r="C28" s="230" t="s">
        <v>345</v>
      </c>
      <c r="D28" s="230" t="s">
        <v>133</v>
      </c>
      <c r="E28" s="230" t="s">
        <v>357</v>
      </c>
      <c r="F28" s="230" t="s">
        <v>353</v>
      </c>
    </row>
    <row r="29" spans="1:15" ht="19.95" customHeight="1">
      <c r="A29" s="227" t="s">
        <v>574</v>
      </c>
      <c r="B29" s="11">
        <f t="shared" si="0"/>
        <v>11</v>
      </c>
      <c r="C29" s="230" t="s">
        <v>621</v>
      </c>
      <c r="D29" s="230" t="s">
        <v>134</v>
      </c>
      <c r="E29" s="230" t="s">
        <v>633</v>
      </c>
      <c r="F29" s="230" t="s">
        <v>634</v>
      </c>
    </row>
    <row r="30" spans="1:15" ht="19.95" customHeight="1">
      <c r="A30" s="227" t="s">
        <v>574</v>
      </c>
      <c r="B30" s="11">
        <f t="shared" si="0"/>
        <v>12</v>
      </c>
      <c r="C30" s="230" t="s">
        <v>621</v>
      </c>
      <c r="D30" s="230" t="s">
        <v>134</v>
      </c>
      <c r="E30" s="230" t="s">
        <v>633</v>
      </c>
      <c r="F30" s="230" t="s">
        <v>634</v>
      </c>
    </row>
    <row r="31" spans="1:15" ht="19.95" customHeight="1">
      <c r="A31" s="227" t="s">
        <v>574</v>
      </c>
      <c r="B31" s="11">
        <f t="shared" si="0"/>
        <v>13</v>
      </c>
      <c r="C31" s="230" t="s">
        <v>89</v>
      </c>
      <c r="D31" s="230" t="s">
        <v>134</v>
      </c>
      <c r="E31" s="230" t="s">
        <v>358</v>
      </c>
      <c r="F31" s="230" t="s">
        <v>634</v>
      </c>
    </row>
    <row r="32" spans="1:15" ht="19.95" customHeight="1">
      <c r="A32" s="227" t="s">
        <v>574</v>
      </c>
      <c r="B32" s="11">
        <f t="shared" si="0"/>
        <v>14</v>
      </c>
      <c r="C32" s="230" t="s">
        <v>592</v>
      </c>
      <c r="D32" s="230" t="s">
        <v>134</v>
      </c>
      <c r="E32" s="230" t="s">
        <v>350</v>
      </c>
      <c r="F32" s="230" t="s">
        <v>350</v>
      </c>
    </row>
    <row r="33" spans="1:6" ht="19.95" customHeight="1">
      <c r="A33" s="227" t="s">
        <v>574</v>
      </c>
      <c r="B33" s="11">
        <f t="shared" si="0"/>
        <v>15</v>
      </c>
      <c r="C33" s="230" t="s">
        <v>627</v>
      </c>
      <c r="D33" s="230" t="s">
        <v>625</v>
      </c>
      <c r="E33" s="230" t="s">
        <v>350</v>
      </c>
      <c r="F33" s="230" t="s">
        <v>350</v>
      </c>
    </row>
    <row r="34" spans="1:6" ht="19.95" customHeight="1">
      <c r="A34" s="227" t="s">
        <v>574</v>
      </c>
      <c r="B34" s="11">
        <f t="shared" si="0"/>
        <v>16</v>
      </c>
      <c r="C34" s="230" t="s">
        <v>623</v>
      </c>
      <c r="D34" s="230" t="s">
        <v>626</v>
      </c>
      <c r="E34" s="230" t="s">
        <v>350</v>
      </c>
      <c r="F34" s="230" t="s">
        <v>350</v>
      </c>
    </row>
    <row r="35" spans="1:6" ht="19.95" customHeight="1">
      <c r="A35" s="227" t="s">
        <v>574</v>
      </c>
      <c r="B35" s="11">
        <f t="shared" si="0"/>
        <v>17</v>
      </c>
      <c r="C35" s="230" t="s">
        <v>624</v>
      </c>
      <c r="D35" s="230" t="s">
        <v>133</v>
      </c>
      <c r="F35" s="230" t="s">
        <v>362</v>
      </c>
    </row>
    <row r="36" spans="1:6" ht="19.95" customHeight="1">
      <c r="A36" s="227" t="s">
        <v>574</v>
      </c>
      <c r="B36" s="11">
        <f t="shared" si="0"/>
        <v>18</v>
      </c>
      <c r="C36" s="230" t="s">
        <v>628</v>
      </c>
      <c r="D36" s="230" t="s">
        <v>625</v>
      </c>
    </row>
    <row r="37" spans="1:6" ht="19.95" customHeight="1">
      <c r="A37" s="227" t="s">
        <v>574</v>
      </c>
      <c r="B37" s="11">
        <f t="shared" si="0"/>
        <v>19</v>
      </c>
      <c r="C37" s="230" t="s">
        <v>624</v>
      </c>
      <c r="D37" s="230" t="s">
        <v>134</v>
      </c>
    </row>
    <row r="38" spans="1:6" ht="19.95" customHeight="1">
      <c r="A38" s="210"/>
      <c r="C38" s="230"/>
      <c r="D38" s="230"/>
    </row>
    <row r="39" spans="1:6" ht="19.95" customHeight="1">
      <c r="A39" s="210"/>
      <c r="C39" s="230"/>
      <c r="D39" s="230"/>
    </row>
    <row r="40" spans="1:6" ht="19.95" customHeight="1">
      <c r="A40" s="212"/>
      <c r="C40" s="11" t="s">
        <v>93</v>
      </c>
      <c r="F40" s="11" t="s">
        <v>95</v>
      </c>
    </row>
    <row r="41" spans="1:6" ht="19.95" customHeight="1">
      <c r="A41" s="212"/>
      <c r="E41" s="11" t="s">
        <v>73</v>
      </c>
      <c r="F41" s="11" t="s">
        <v>82</v>
      </c>
    </row>
    <row r="42" spans="1:6" ht="19.95" customHeight="1">
      <c r="A42" s="212"/>
      <c r="E42" s="11" t="s">
        <v>74</v>
      </c>
    </row>
    <row r="43" spans="1:6" ht="19.95" customHeight="1">
      <c r="A43" s="212"/>
      <c r="E43" s="11" t="s">
        <v>94</v>
      </c>
    </row>
    <row r="44" spans="1:6" ht="19.95" customHeight="1">
      <c r="A44" s="212"/>
      <c r="E44" s="11" t="s">
        <v>76</v>
      </c>
    </row>
    <row r="45" spans="1:6" ht="19.95" customHeight="1">
      <c r="A45" s="212"/>
      <c r="E45" s="11" t="s">
        <v>75</v>
      </c>
    </row>
    <row r="46" spans="1:6" ht="19.95" customHeight="1">
      <c r="A46" s="212"/>
      <c r="C46" s="11" t="s">
        <v>92</v>
      </c>
    </row>
    <row r="47" spans="1:6" ht="19.95" customHeight="1">
      <c r="A47" s="212"/>
      <c r="E47" s="11" t="s">
        <v>86</v>
      </c>
    </row>
    <row r="48" spans="1:6" ht="19.95" customHeight="1">
      <c r="A48" s="212"/>
      <c r="E48" s="11" t="s">
        <v>83</v>
      </c>
    </row>
    <row r="49" spans="1:9" ht="19.95" customHeight="1">
      <c r="A49" s="212"/>
      <c r="E49" s="11" t="s">
        <v>84</v>
      </c>
    </row>
    <row r="50" spans="1:9" ht="19.95" customHeight="1">
      <c r="A50" s="212"/>
      <c r="E50" s="11" t="s">
        <v>85</v>
      </c>
    </row>
    <row r="51" spans="1:9" ht="19.95" customHeight="1">
      <c r="A51" s="212"/>
      <c r="E51" s="11" t="s">
        <v>84</v>
      </c>
    </row>
    <row r="52" spans="1:9" ht="19.95" customHeight="1">
      <c r="A52" s="212"/>
      <c r="C52" s="11" t="s">
        <v>91</v>
      </c>
    </row>
    <row r="53" spans="1:9" ht="19.95" customHeight="1">
      <c r="A53" s="212"/>
      <c r="E53" s="11" t="s">
        <v>87</v>
      </c>
    </row>
    <row r="54" spans="1:9" ht="19.95" customHeight="1">
      <c r="A54" s="212"/>
      <c r="E54" s="11" t="s">
        <v>5</v>
      </c>
    </row>
    <row r="55" spans="1:9" ht="19.95" customHeight="1">
      <c r="A55" s="212"/>
      <c r="E55" s="11" t="s">
        <v>88</v>
      </c>
    </row>
    <row r="56" spans="1:9" ht="19.95" customHeight="1">
      <c r="A56" s="212"/>
      <c r="E56" s="11" t="s">
        <v>89</v>
      </c>
    </row>
    <row r="57" spans="1:9" ht="19.95" customHeight="1">
      <c r="A57" s="212"/>
      <c r="E57" s="11" t="s">
        <v>90</v>
      </c>
    </row>
    <row r="58" spans="1:9" ht="19.95" customHeight="1">
      <c r="A58" s="212"/>
      <c r="E58" s="11" t="s">
        <v>41</v>
      </c>
    </row>
    <row r="59" spans="1:9" ht="19.95" customHeight="1">
      <c r="A59" s="212"/>
      <c r="B59" s="213"/>
      <c r="C59" s="213"/>
      <c r="D59" s="213"/>
      <c r="F59" s="216"/>
      <c r="G59" s="217"/>
      <c r="H59" s="217"/>
      <c r="I59" s="218"/>
    </row>
    <row r="60" spans="1:9" ht="19.95" customHeight="1">
      <c r="A60" s="212"/>
      <c r="B60" s="213"/>
      <c r="C60" s="213"/>
      <c r="D60" s="213"/>
      <c r="F60" s="216"/>
      <c r="G60" s="217"/>
      <c r="H60" s="217"/>
      <c r="I60" s="218"/>
    </row>
    <row r="61" spans="1:9" ht="19.95" customHeight="1">
      <c r="A61" s="212"/>
      <c r="B61" s="213"/>
      <c r="C61" s="213"/>
      <c r="D61" s="213"/>
      <c r="F61" s="216"/>
      <c r="G61" s="217"/>
      <c r="H61" s="217"/>
      <c r="I61" s="218"/>
    </row>
    <row r="62" spans="1:9" ht="19.95" customHeight="1">
      <c r="A62" s="212"/>
      <c r="B62" s="213"/>
      <c r="C62" s="213"/>
      <c r="D62" s="213"/>
      <c r="F62" s="216"/>
      <c r="G62" s="217"/>
      <c r="H62" s="217"/>
      <c r="I62" s="218"/>
    </row>
    <row r="63" spans="1:9" ht="19.95" customHeight="1">
      <c r="A63" s="212"/>
      <c r="B63" s="213"/>
      <c r="C63" s="213"/>
      <c r="D63" s="213"/>
      <c r="F63" s="216"/>
      <c r="G63" s="217"/>
      <c r="H63" s="217"/>
      <c r="I63" s="218"/>
    </row>
    <row r="64" spans="1:9" ht="19.95" customHeight="1">
      <c r="A64" s="212"/>
      <c r="B64" s="213"/>
      <c r="C64" s="213"/>
      <c r="D64" s="213"/>
      <c r="F64" s="216"/>
      <c r="G64" s="217"/>
      <c r="H64" s="217"/>
      <c r="I64" s="218"/>
    </row>
    <row r="65" spans="1:9" ht="19.95" customHeight="1">
      <c r="A65" s="212"/>
      <c r="B65" s="213"/>
      <c r="C65" s="213"/>
      <c r="D65" s="213"/>
      <c r="F65" s="216"/>
      <c r="G65" s="217"/>
      <c r="H65" s="217"/>
      <c r="I65" s="218"/>
    </row>
    <row r="66" spans="1:9" ht="19.95" customHeight="1">
      <c r="A66" s="212"/>
    </row>
    <row r="67" spans="1:9" ht="19.95" customHeight="1">
      <c r="A67" s="212"/>
    </row>
    <row r="68" spans="1:9" ht="19.95" customHeight="1">
      <c r="A68" s="212"/>
    </row>
    <row r="69" spans="1:9" ht="19.95" customHeight="1">
      <c r="A69" s="212"/>
    </row>
    <row r="70" spans="1:9" ht="19.95" customHeight="1">
      <c r="A70" s="212"/>
    </row>
    <row r="71" spans="1:9" ht="19.95" customHeight="1">
      <c r="A71" s="212"/>
    </row>
    <row r="72" spans="1:9" ht="19.95" customHeight="1">
      <c r="A72" s="212"/>
    </row>
    <row r="73" spans="1:9" ht="19.95" customHeight="1">
      <c r="A73" s="212"/>
    </row>
    <row r="74" spans="1:9" ht="19.95" customHeight="1">
      <c r="A74" s="212"/>
    </row>
    <row r="75" spans="1:9" ht="19.95" customHeight="1">
      <c r="A75" s="212"/>
    </row>
    <row r="76" spans="1:9" ht="19.95" customHeight="1">
      <c r="A76" s="212"/>
    </row>
    <row r="77" spans="1:9" ht="19.95" customHeight="1">
      <c r="A77" s="212"/>
    </row>
    <row r="78" spans="1:9" ht="19.95" customHeight="1">
      <c r="A78" s="212"/>
    </row>
    <row r="79" spans="1:9" ht="19.95" customHeight="1">
      <c r="A79" s="212"/>
    </row>
    <row r="80" spans="1:9" ht="19.95" customHeight="1">
      <c r="A80" s="212"/>
    </row>
    <row r="81" spans="1:1" ht="19.95" customHeight="1">
      <c r="A81" s="212"/>
    </row>
    <row r="82" spans="1:1" ht="19.95" customHeight="1">
      <c r="A82" s="212"/>
    </row>
    <row r="83" spans="1:1" ht="19.95" customHeight="1">
      <c r="A83" s="212"/>
    </row>
    <row r="84" spans="1:1" ht="19.95" customHeight="1">
      <c r="A84" s="212"/>
    </row>
    <row r="85" spans="1:1" ht="19.95" customHeight="1">
      <c r="A85" s="212"/>
    </row>
    <row r="86" spans="1:1" ht="19.95" customHeight="1">
      <c r="A86" s="212"/>
    </row>
    <row r="87" spans="1:1" ht="19.95" customHeight="1">
      <c r="A87" s="212"/>
    </row>
    <row r="88" spans="1:1" ht="19.95" customHeight="1">
      <c r="A88" s="212"/>
    </row>
    <row r="89" spans="1:1" ht="19.95" customHeight="1">
      <c r="A89" s="212"/>
    </row>
    <row r="90" spans="1:1" ht="19.95" customHeight="1">
      <c r="A90" s="212"/>
    </row>
    <row r="91" spans="1:1" ht="19.95" customHeight="1">
      <c r="A91" s="212"/>
    </row>
    <row r="92" spans="1:1" ht="19.95" customHeight="1">
      <c r="A92" s="212"/>
    </row>
    <row r="93" spans="1:1" ht="19.95" customHeight="1">
      <c r="A93" s="212"/>
    </row>
    <row r="94" spans="1:1" ht="19.95" customHeight="1">
      <c r="A94" s="212"/>
    </row>
    <row r="95" spans="1:1" ht="19.95" customHeight="1">
      <c r="A95" s="212"/>
    </row>
    <row r="96" spans="1:1" ht="19.95" customHeight="1">
      <c r="A96" s="212"/>
    </row>
    <row r="97" spans="1:1" ht="19.95" customHeight="1">
      <c r="A97" s="212"/>
    </row>
    <row r="98" spans="1:1" ht="19.95" customHeight="1">
      <c r="A98" s="212"/>
    </row>
    <row r="99" spans="1:1" ht="19.95" customHeight="1">
      <c r="A99" s="212"/>
    </row>
    <row r="100" spans="1:1" ht="19.95" customHeight="1">
      <c r="A100" s="212"/>
    </row>
    <row r="101" spans="1:1" ht="19.95" customHeight="1">
      <c r="A101" s="212"/>
    </row>
    <row r="102" spans="1:1" ht="19.95" customHeight="1">
      <c r="A102" s="212"/>
    </row>
    <row r="103" spans="1:1" ht="19.95" customHeight="1">
      <c r="A103" s="212"/>
    </row>
    <row r="104" spans="1:1" ht="19.95" customHeight="1">
      <c r="A104" s="212"/>
    </row>
    <row r="105" spans="1:1" ht="19.95" customHeight="1">
      <c r="A105" s="212"/>
    </row>
    <row r="106" spans="1:1" ht="19.95" customHeight="1">
      <c r="A106" s="212"/>
    </row>
    <row r="107" spans="1:1" ht="19.95" customHeight="1">
      <c r="A107" s="212"/>
    </row>
    <row r="108" spans="1:1" ht="19.95" customHeight="1">
      <c r="A108" s="212"/>
    </row>
    <row r="109" spans="1:1" ht="19.95" customHeight="1">
      <c r="A109" s="212"/>
    </row>
    <row r="110" spans="1:1" ht="19.95" customHeight="1">
      <c r="A110" s="212"/>
    </row>
    <row r="111" spans="1:1" ht="19.95" customHeight="1">
      <c r="A111" s="212"/>
    </row>
    <row r="112" spans="1:1" ht="19.95" customHeight="1">
      <c r="A112" s="212"/>
    </row>
    <row r="113" spans="1:1" ht="19.95" customHeight="1">
      <c r="A113" s="212"/>
    </row>
    <row r="114" spans="1:1" ht="19.95" customHeight="1">
      <c r="A114" s="212"/>
    </row>
    <row r="115" spans="1:1" ht="19.95" customHeight="1">
      <c r="A115" s="212"/>
    </row>
    <row r="116" spans="1:1" ht="19.95" customHeight="1">
      <c r="A116" s="212"/>
    </row>
    <row r="117" spans="1:1" ht="19.95" customHeight="1">
      <c r="A117" s="212"/>
    </row>
    <row r="118" spans="1:1" ht="19.95" customHeight="1">
      <c r="A118" s="212"/>
    </row>
    <row r="119" spans="1:1" ht="19.95" customHeight="1">
      <c r="A119" s="212"/>
    </row>
    <row r="120" spans="1:1" ht="19.95" customHeight="1">
      <c r="A120" s="212"/>
    </row>
    <row r="121" spans="1:1" ht="19.95" customHeight="1">
      <c r="A121" s="212"/>
    </row>
    <row r="122" spans="1:1" ht="19.95" customHeight="1">
      <c r="A122" s="212"/>
    </row>
    <row r="123" spans="1:1" ht="19.95" customHeight="1">
      <c r="A123" s="212"/>
    </row>
    <row r="124" spans="1:1" ht="19.95" customHeight="1">
      <c r="A124" s="212"/>
    </row>
    <row r="125" spans="1:1" ht="19.95" customHeight="1">
      <c r="A125" s="212"/>
    </row>
    <row r="126" spans="1:1" ht="19.95" customHeight="1">
      <c r="A126" s="212"/>
    </row>
    <row r="127" spans="1:1" ht="19.95" customHeight="1">
      <c r="A127" s="212"/>
    </row>
    <row r="128" spans="1:1" ht="19.95" customHeight="1">
      <c r="A128" s="212"/>
    </row>
    <row r="129" spans="1:1" ht="19.95" customHeight="1">
      <c r="A129" s="212"/>
    </row>
    <row r="130" spans="1:1" ht="19.95" customHeight="1">
      <c r="A130" s="212"/>
    </row>
    <row r="131" spans="1:1" ht="19.95" customHeight="1">
      <c r="A131" s="212"/>
    </row>
    <row r="132" spans="1:1" ht="19.95" customHeight="1">
      <c r="A132" s="212"/>
    </row>
    <row r="133" spans="1:1" ht="19.95" customHeight="1">
      <c r="A133" s="212"/>
    </row>
    <row r="134" spans="1:1" ht="19.95" customHeight="1">
      <c r="A134" s="212"/>
    </row>
    <row r="135" spans="1:1" ht="19.95" customHeight="1">
      <c r="A135" s="212"/>
    </row>
    <row r="136" spans="1:1" ht="19.95" customHeight="1">
      <c r="A136" s="212"/>
    </row>
    <row r="137" spans="1:1" ht="19.95" customHeight="1">
      <c r="A137" s="212"/>
    </row>
    <row r="138" spans="1:1" ht="19.95" customHeight="1">
      <c r="A138" s="212"/>
    </row>
    <row r="139" spans="1:1" ht="19.95" customHeight="1">
      <c r="A139" s="212"/>
    </row>
    <row r="140" spans="1:1" ht="19.95" customHeight="1">
      <c r="A140" s="212"/>
    </row>
    <row r="141" spans="1:1" ht="19.95" customHeight="1">
      <c r="A141" s="212"/>
    </row>
    <row r="142" spans="1:1" ht="19.95" customHeight="1">
      <c r="A142" s="212"/>
    </row>
    <row r="143" spans="1:1" ht="19.95" customHeight="1">
      <c r="A143" s="212"/>
    </row>
    <row r="144" spans="1:1" ht="19.95" customHeight="1">
      <c r="A144" s="212"/>
    </row>
    <row r="145" spans="1:1" ht="19.95" customHeight="1">
      <c r="A145" s="212"/>
    </row>
    <row r="146" spans="1:1" ht="19.95" customHeight="1">
      <c r="A146" s="212"/>
    </row>
    <row r="147" spans="1:1" ht="19.95" customHeight="1">
      <c r="A147" s="212"/>
    </row>
    <row r="148" spans="1:1" ht="19.95" customHeight="1">
      <c r="A148" s="212"/>
    </row>
    <row r="149" spans="1:1" ht="19.95" customHeight="1">
      <c r="A149" s="212"/>
    </row>
    <row r="150" spans="1:1" ht="19.95" customHeight="1">
      <c r="A150" s="212"/>
    </row>
    <row r="151" spans="1:1" ht="19.95" customHeight="1">
      <c r="A151" s="212"/>
    </row>
    <row r="152" spans="1:1" ht="19.95" customHeight="1">
      <c r="A152" s="212"/>
    </row>
    <row r="153" spans="1:1" ht="19.95" customHeight="1">
      <c r="A153" s="212"/>
    </row>
    <row r="154" spans="1:1" ht="19.95" customHeight="1">
      <c r="A154" s="212"/>
    </row>
    <row r="155" spans="1:1" ht="19.95" customHeight="1">
      <c r="A155" s="212"/>
    </row>
    <row r="156" spans="1:1" ht="19.95" customHeight="1">
      <c r="A156" s="212"/>
    </row>
    <row r="157" spans="1:1" ht="19.95" customHeight="1">
      <c r="A157" s="212"/>
    </row>
    <row r="158" spans="1:1" ht="19.95" customHeight="1">
      <c r="A158" s="212"/>
    </row>
    <row r="159" spans="1:1" ht="19.95" customHeight="1">
      <c r="A159" s="212"/>
    </row>
    <row r="160" spans="1:1" ht="19.95" customHeight="1">
      <c r="A160" s="212"/>
    </row>
    <row r="161" spans="1:1" ht="19.95" customHeight="1">
      <c r="A161" s="212"/>
    </row>
    <row r="162" spans="1:1" ht="19.95" customHeight="1">
      <c r="A162" s="212"/>
    </row>
    <row r="163" spans="1:1" ht="19.95" customHeight="1">
      <c r="A163" s="212"/>
    </row>
    <row r="164" spans="1:1" ht="19.95" customHeight="1">
      <c r="A164" s="212"/>
    </row>
    <row r="165" spans="1:1" ht="19.95" customHeight="1">
      <c r="A165" s="212"/>
    </row>
    <row r="166" spans="1:1" ht="19.95" customHeight="1">
      <c r="A166" s="212"/>
    </row>
    <row r="167" spans="1:1" ht="19.95" customHeight="1">
      <c r="A167" s="212"/>
    </row>
    <row r="168" spans="1:1" ht="19.95" customHeight="1">
      <c r="A168" s="212"/>
    </row>
    <row r="169" spans="1:1" ht="19.95" customHeight="1">
      <c r="A169" s="212"/>
    </row>
    <row r="170" spans="1:1" ht="19.95" customHeight="1">
      <c r="A170" s="212"/>
    </row>
    <row r="171" spans="1:1" ht="19.95" customHeight="1">
      <c r="A171" s="212"/>
    </row>
    <row r="172" spans="1:1" ht="19.95" customHeight="1">
      <c r="A172" s="212"/>
    </row>
    <row r="173" spans="1:1" ht="19.95" customHeight="1">
      <c r="A173" s="212"/>
    </row>
    <row r="174" spans="1:1" ht="19.95" customHeight="1">
      <c r="A174" s="212"/>
    </row>
    <row r="175" spans="1:1" ht="19.95" customHeight="1">
      <c r="A175" s="212"/>
    </row>
    <row r="176" spans="1:1" ht="19.95" customHeight="1">
      <c r="A176" s="212"/>
    </row>
    <row r="177" spans="1:1" ht="19.95" customHeight="1">
      <c r="A177" s="212"/>
    </row>
    <row r="178" spans="1:1" ht="19.95" customHeight="1">
      <c r="A178" s="212"/>
    </row>
    <row r="179" spans="1:1" ht="19.95" customHeight="1">
      <c r="A179" s="212"/>
    </row>
    <row r="180" spans="1:1" ht="19.95" customHeight="1">
      <c r="A180" s="212"/>
    </row>
    <row r="181" spans="1:1" ht="19.95" customHeight="1">
      <c r="A181" s="212"/>
    </row>
    <row r="182" spans="1:1" ht="19.95" customHeight="1">
      <c r="A182" s="212"/>
    </row>
    <row r="183" spans="1:1" ht="19.95" customHeight="1">
      <c r="A183" s="212"/>
    </row>
    <row r="184" spans="1:1" ht="19.95" customHeight="1">
      <c r="A184" s="212"/>
    </row>
    <row r="185" spans="1:1" ht="19.95" customHeight="1">
      <c r="A185" s="212"/>
    </row>
    <row r="186" spans="1:1" ht="19.95" customHeight="1">
      <c r="A186" s="212"/>
    </row>
    <row r="187" spans="1:1" ht="19.95" customHeight="1">
      <c r="A187" s="212"/>
    </row>
    <row r="188" spans="1:1" ht="19.95" customHeight="1">
      <c r="A188" s="212"/>
    </row>
    <row r="189" spans="1:1" ht="19.95" customHeight="1">
      <c r="A189" s="212"/>
    </row>
    <row r="190" spans="1:1" ht="19.95" customHeight="1">
      <c r="A190" s="212"/>
    </row>
    <row r="191" spans="1:1" ht="19.95" customHeight="1">
      <c r="A191" s="212"/>
    </row>
    <row r="192" spans="1:1" ht="19.95" customHeight="1">
      <c r="A192" s="212"/>
    </row>
    <row r="193" spans="1:1" ht="19.95" customHeight="1">
      <c r="A193" s="212"/>
    </row>
    <row r="194" spans="1:1" ht="19.95" customHeight="1">
      <c r="A194" s="212"/>
    </row>
    <row r="195" spans="1:1" ht="19.95" customHeight="1">
      <c r="A195" s="212"/>
    </row>
    <row r="196" spans="1:1" ht="19.95" customHeight="1">
      <c r="A196" s="212"/>
    </row>
    <row r="197" spans="1:1" ht="19.95" customHeight="1">
      <c r="A197" s="212"/>
    </row>
    <row r="198" spans="1:1" ht="19.95" customHeight="1">
      <c r="A198" s="212"/>
    </row>
    <row r="199" spans="1:1" ht="19.95" customHeight="1">
      <c r="A199" s="212"/>
    </row>
    <row r="200" spans="1:1" ht="19.95" customHeight="1">
      <c r="A200" s="212"/>
    </row>
    <row r="201" spans="1:1" ht="19.95" customHeight="1">
      <c r="A201" s="212"/>
    </row>
    <row r="202" spans="1:1" ht="19.95" customHeight="1">
      <c r="A202" s="212"/>
    </row>
    <row r="203" spans="1:1" ht="19.95" customHeight="1">
      <c r="A203" s="212"/>
    </row>
    <row r="204" spans="1:1" ht="19.95" customHeight="1">
      <c r="A204" s="212"/>
    </row>
    <row r="205" spans="1:1" ht="19.95" customHeight="1">
      <c r="A205" s="212"/>
    </row>
    <row r="206" spans="1:1" ht="19.95" customHeight="1">
      <c r="A206" s="212"/>
    </row>
    <row r="207" spans="1:1" ht="19.95" customHeight="1">
      <c r="A207" s="212"/>
    </row>
    <row r="208" spans="1:1" ht="19.95" customHeight="1">
      <c r="A208" s="212"/>
    </row>
    <row r="209" spans="1:1" ht="19.95" customHeight="1">
      <c r="A209" s="212"/>
    </row>
    <row r="210" spans="1:1" ht="19.95" customHeight="1">
      <c r="A210" s="212"/>
    </row>
    <row r="211" spans="1:1" ht="19.95" customHeight="1">
      <c r="A211" s="212"/>
    </row>
    <row r="212" spans="1:1" ht="19.95" customHeight="1">
      <c r="A212" s="212"/>
    </row>
    <row r="213" spans="1:1" ht="19.95" customHeight="1">
      <c r="A213" s="212"/>
    </row>
    <row r="214" spans="1:1" ht="19.95" customHeight="1">
      <c r="A214" s="212"/>
    </row>
    <row r="215" spans="1:1" ht="19.95" customHeight="1">
      <c r="A215" s="212"/>
    </row>
    <row r="216" spans="1:1" ht="19.95" customHeight="1">
      <c r="A216" s="212"/>
    </row>
    <row r="217" spans="1:1" ht="19.95" customHeight="1">
      <c r="A217" s="212"/>
    </row>
    <row r="218" spans="1:1" ht="19.95" customHeight="1">
      <c r="A218" s="212"/>
    </row>
    <row r="219" spans="1:1" ht="19.95" customHeight="1">
      <c r="A219" s="212"/>
    </row>
    <row r="220" spans="1:1" ht="19.95" customHeight="1">
      <c r="A220" s="212"/>
    </row>
    <row r="221" spans="1:1" ht="19.95" customHeight="1">
      <c r="A221" s="212"/>
    </row>
    <row r="222" spans="1:1" ht="19.95" customHeight="1">
      <c r="A222" s="212"/>
    </row>
    <row r="223" spans="1:1" ht="19.95" customHeight="1">
      <c r="A223" s="212"/>
    </row>
    <row r="224" spans="1:1" ht="19.95" customHeight="1">
      <c r="A224" s="212"/>
    </row>
    <row r="225" spans="1:1" ht="19.95" customHeight="1">
      <c r="A225" s="212"/>
    </row>
    <row r="226" spans="1:1" ht="19.95" customHeight="1">
      <c r="A226" s="212"/>
    </row>
    <row r="227" spans="1:1" ht="19.95" customHeight="1">
      <c r="A227" s="212"/>
    </row>
    <row r="228" spans="1:1" ht="19.95" customHeight="1">
      <c r="A228" s="212"/>
    </row>
    <row r="229" spans="1:1" ht="19.95" customHeight="1">
      <c r="A229" s="212"/>
    </row>
    <row r="230" spans="1:1" ht="19.95" customHeight="1">
      <c r="A230" s="212"/>
    </row>
    <row r="231" spans="1:1" ht="19.95" customHeight="1">
      <c r="A231" s="212"/>
    </row>
    <row r="232" spans="1:1" ht="19.95" customHeight="1">
      <c r="A232" s="212"/>
    </row>
    <row r="233" spans="1:1" ht="19.95" customHeight="1">
      <c r="A233" s="212"/>
    </row>
    <row r="234" spans="1:1" ht="19.95" customHeight="1">
      <c r="A234" s="212"/>
    </row>
    <row r="235" spans="1:1" ht="19.95" customHeight="1">
      <c r="A235" s="212"/>
    </row>
    <row r="236" spans="1:1" ht="19.95" customHeight="1">
      <c r="A236" s="212"/>
    </row>
    <row r="237" spans="1:1" ht="19.95" customHeight="1">
      <c r="A237" s="212"/>
    </row>
    <row r="238" spans="1:1" ht="19.95" customHeight="1">
      <c r="A238" s="212"/>
    </row>
    <row r="239" spans="1:1" ht="19.95" customHeight="1">
      <c r="A239" s="212"/>
    </row>
    <row r="240" spans="1:1" ht="19.95" customHeight="1">
      <c r="A240" s="212"/>
    </row>
    <row r="241" spans="1:1" ht="19.95" customHeight="1">
      <c r="A241" s="212"/>
    </row>
    <row r="242" spans="1:1" ht="19.95" customHeight="1">
      <c r="A242" s="212"/>
    </row>
    <row r="243" spans="1:1" ht="19.95" customHeight="1">
      <c r="A243" s="212"/>
    </row>
    <row r="244" spans="1:1" ht="19.95" customHeight="1">
      <c r="A244" s="212"/>
    </row>
    <row r="245" spans="1:1" ht="19.95" customHeight="1">
      <c r="A245" s="212"/>
    </row>
    <row r="246" spans="1:1" ht="19.95" customHeight="1">
      <c r="A246" s="212"/>
    </row>
    <row r="247" spans="1:1" ht="19.95" customHeight="1">
      <c r="A247" s="212"/>
    </row>
    <row r="248" spans="1:1" ht="19.95" customHeight="1">
      <c r="A248" s="212"/>
    </row>
    <row r="249" spans="1:1" ht="19.95" customHeight="1">
      <c r="A249" s="212"/>
    </row>
    <row r="250" spans="1:1" ht="19.95" customHeight="1">
      <c r="A250" s="212"/>
    </row>
    <row r="251" spans="1:1" ht="19.95" customHeight="1">
      <c r="A251" s="212"/>
    </row>
    <row r="252" spans="1:1" ht="19.95" customHeight="1">
      <c r="A252" s="212"/>
    </row>
    <row r="253" spans="1:1" ht="19.95" customHeight="1">
      <c r="A253" s="212"/>
    </row>
    <row r="254" spans="1:1" ht="19.95" customHeight="1">
      <c r="A254" s="212"/>
    </row>
    <row r="255" spans="1:1" ht="19.95" customHeight="1">
      <c r="A255" s="212"/>
    </row>
    <row r="256" spans="1:1" ht="19.95" customHeight="1">
      <c r="A256" s="212"/>
    </row>
    <row r="257" spans="1:1" ht="19.95" customHeight="1">
      <c r="A257" s="212"/>
    </row>
    <row r="258" spans="1:1" ht="19.95" customHeight="1">
      <c r="A258" s="212"/>
    </row>
    <row r="259" spans="1:1" ht="19.95" customHeight="1">
      <c r="A259" s="212"/>
    </row>
    <row r="260" spans="1:1" ht="19.95" customHeight="1">
      <c r="A260" s="212"/>
    </row>
    <row r="261" spans="1:1" ht="19.95" customHeight="1">
      <c r="A261" s="212"/>
    </row>
    <row r="262" spans="1:1" ht="19.95" customHeight="1">
      <c r="A262" s="212"/>
    </row>
    <row r="263" spans="1:1" ht="19.95" customHeight="1">
      <c r="A263" s="212"/>
    </row>
    <row r="264" spans="1:1" ht="19.95" customHeight="1">
      <c r="A264" s="212"/>
    </row>
    <row r="265" spans="1:1" ht="19.95" customHeight="1">
      <c r="A265" s="212"/>
    </row>
    <row r="266" spans="1:1" ht="19.95" customHeight="1">
      <c r="A266" s="212"/>
    </row>
    <row r="267" spans="1:1" ht="19.95" customHeight="1">
      <c r="A267" s="212"/>
    </row>
    <row r="268" spans="1:1" ht="19.95" customHeight="1">
      <c r="A268" s="212"/>
    </row>
    <row r="269" spans="1:1" ht="19.95" customHeight="1">
      <c r="A269" s="212"/>
    </row>
    <row r="270" spans="1:1" ht="19.95" customHeight="1">
      <c r="A270" s="212"/>
    </row>
    <row r="271" spans="1:1" ht="19.95" customHeight="1">
      <c r="A271" s="212"/>
    </row>
    <row r="272" spans="1:1" ht="19.95" customHeight="1">
      <c r="A272" s="212"/>
    </row>
    <row r="273" spans="1:1" ht="19.95" customHeight="1">
      <c r="A273" s="212"/>
    </row>
    <row r="274" spans="1:1" ht="19.95" customHeight="1">
      <c r="A274" s="212"/>
    </row>
    <row r="275" spans="1:1" ht="19.95" customHeight="1">
      <c r="A275" s="212"/>
    </row>
    <row r="276" spans="1:1" ht="19.95" customHeight="1">
      <c r="A276" s="212"/>
    </row>
    <row r="277" spans="1:1" ht="19.95" customHeight="1">
      <c r="A277" s="212"/>
    </row>
    <row r="278" spans="1:1" ht="19.95" customHeight="1">
      <c r="A278" s="212"/>
    </row>
    <row r="279" spans="1:1" ht="19.95" customHeight="1">
      <c r="A279" s="212"/>
    </row>
    <row r="280" spans="1:1" ht="19.95" customHeight="1">
      <c r="A280" s="212"/>
    </row>
    <row r="281" spans="1:1" ht="19.95" customHeight="1">
      <c r="A281" s="212"/>
    </row>
    <row r="282" spans="1:1" ht="19.95" customHeight="1">
      <c r="A282" s="212"/>
    </row>
    <row r="283" spans="1:1" ht="19.95" customHeight="1">
      <c r="A283" s="212"/>
    </row>
    <row r="284" spans="1:1" ht="19.95" customHeight="1">
      <c r="A284" s="212"/>
    </row>
    <row r="285" spans="1:1" ht="19.95" customHeight="1">
      <c r="A285" s="212"/>
    </row>
    <row r="286" spans="1:1" ht="19.95" customHeight="1">
      <c r="A286" s="212"/>
    </row>
    <row r="287" spans="1:1" ht="19.95" customHeight="1">
      <c r="A287" s="212"/>
    </row>
    <row r="288" spans="1:1" ht="19.95" customHeight="1">
      <c r="A288" s="212"/>
    </row>
    <row r="289" spans="1:1" ht="19.95" customHeight="1">
      <c r="A289" s="212"/>
    </row>
    <row r="290" spans="1:1" ht="19.95" customHeight="1">
      <c r="A290" s="212"/>
    </row>
    <row r="291" spans="1:1" ht="19.95" customHeight="1">
      <c r="A291" s="212"/>
    </row>
    <row r="292" spans="1:1" ht="19.95" customHeight="1">
      <c r="A292" s="212"/>
    </row>
    <row r="293" spans="1:1" ht="19.95" customHeight="1">
      <c r="A293" s="212"/>
    </row>
    <row r="294" spans="1:1" ht="19.95" customHeight="1">
      <c r="A294" s="212"/>
    </row>
    <row r="295" spans="1:1" ht="19.95" customHeight="1">
      <c r="A295" s="212"/>
    </row>
    <row r="296" spans="1:1" ht="19.95" customHeight="1">
      <c r="A296" s="212"/>
    </row>
    <row r="297" spans="1:1" ht="19.95" customHeight="1">
      <c r="A297" s="212"/>
    </row>
    <row r="298" spans="1:1" ht="19.95" customHeight="1">
      <c r="A298" s="212"/>
    </row>
    <row r="299" spans="1:1" ht="19.95" customHeight="1">
      <c r="A299" s="212"/>
    </row>
    <row r="300" spans="1:1" ht="19.95" customHeight="1">
      <c r="A300" s="212"/>
    </row>
    <row r="301" spans="1:1" ht="19.95" customHeight="1">
      <c r="A301" s="212"/>
    </row>
    <row r="302" spans="1:1" ht="19.95" customHeight="1">
      <c r="A302" s="212"/>
    </row>
    <row r="303" spans="1:1" ht="19.95" customHeight="1">
      <c r="A303" s="212"/>
    </row>
    <row r="304" spans="1:1" ht="19.95" customHeight="1">
      <c r="A304" s="212"/>
    </row>
    <row r="305" ht="19.95" customHeight="1"/>
    <row r="306" ht="19.95" customHeight="1"/>
    <row r="307" ht="19.95" customHeight="1"/>
    <row r="308" ht="19.95" customHeight="1"/>
    <row r="309" ht="19.95" customHeight="1"/>
    <row r="310" ht="19.95" customHeight="1"/>
    <row r="311" ht="19.95" customHeight="1"/>
    <row r="312" ht="19.95" customHeight="1"/>
    <row r="313" ht="19.95" customHeight="1"/>
    <row r="314" ht="19.95" customHeight="1"/>
    <row r="315" ht="19.95" customHeight="1"/>
    <row r="316" ht="19.95" customHeight="1"/>
    <row r="317" ht="19.95" customHeight="1"/>
    <row r="318" ht="19.95" customHeight="1"/>
    <row r="319" ht="19.95" customHeight="1"/>
    <row r="320" ht="19.95" customHeight="1"/>
    <row r="321" ht="19.95" customHeight="1"/>
    <row r="322" ht="19.95" customHeight="1"/>
    <row r="323" ht="19.95" customHeight="1"/>
    <row r="324" ht="19.95" customHeight="1"/>
    <row r="325" ht="19.95" customHeight="1"/>
    <row r="326" ht="19.95" customHeight="1"/>
    <row r="327" ht="19.95" customHeight="1"/>
    <row r="328" ht="19.95" customHeight="1"/>
    <row r="329" ht="19.95" customHeight="1"/>
    <row r="330" ht="19.95" customHeight="1"/>
    <row r="331" ht="19.95" customHeight="1"/>
    <row r="332" ht="19.95" customHeight="1"/>
    <row r="333" ht="19.95" customHeight="1"/>
    <row r="334" ht="19.95" customHeight="1"/>
    <row r="335" ht="19.95" customHeight="1"/>
    <row r="336" ht="19.95" customHeight="1"/>
    <row r="337" ht="19.95" customHeight="1"/>
    <row r="338" ht="19.95" customHeight="1"/>
    <row r="339" ht="19.95" customHeight="1"/>
    <row r="340" ht="19.95" customHeight="1"/>
    <row r="341" ht="19.95" customHeight="1"/>
    <row r="342" ht="19.95" customHeight="1"/>
    <row r="343" ht="19.95" customHeight="1"/>
    <row r="344" ht="19.95" customHeight="1"/>
    <row r="345" ht="19.95" customHeight="1"/>
    <row r="346" ht="19.95" customHeight="1"/>
    <row r="347" ht="19.95" customHeight="1"/>
    <row r="348" ht="19.95" customHeight="1"/>
    <row r="349" ht="19.95" customHeight="1"/>
    <row r="350" ht="19.95" customHeight="1"/>
    <row r="351" ht="19.95" customHeight="1"/>
    <row r="352" ht="19.95" customHeight="1"/>
    <row r="353" ht="19.95" customHeight="1"/>
    <row r="354" ht="19.95" customHeight="1"/>
    <row r="355" ht="19.95" customHeight="1"/>
    <row r="356" ht="19.95" customHeight="1"/>
    <row r="357" ht="19.95" customHeight="1"/>
    <row r="358" ht="19.95" customHeight="1"/>
    <row r="359" ht="19.95" customHeight="1"/>
    <row r="360" ht="19.95" customHeight="1"/>
    <row r="361" ht="19.95" customHeight="1"/>
    <row r="362" ht="19.95" customHeight="1"/>
    <row r="363" ht="19.95" customHeight="1"/>
    <row r="364" ht="19.95" customHeight="1"/>
    <row r="365" ht="19.95" customHeight="1"/>
    <row r="366" ht="19.95" customHeight="1"/>
    <row r="367" ht="19.95" customHeight="1"/>
    <row r="368" ht="19.95" customHeight="1"/>
    <row r="369" ht="19.95" customHeight="1"/>
    <row r="370" ht="19.95" customHeight="1"/>
    <row r="371" ht="19.95" customHeight="1"/>
    <row r="372" ht="19.95" customHeight="1"/>
    <row r="373" ht="19.95" customHeight="1"/>
    <row r="374" ht="19.95" customHeight="1"/>
    <row r="375" ht="19.95" customHeight="1"/>
    <row r="376" ht="19.95" customHeight="1"/>
    <row r="377" ht="19.95" customHeight="1"/>
    <row r="378" ht="19.95" customHeight="1"/>
    <row r="379" ht="19.95" customHeight="1"/>
    <row r="380" ht="19.95" customHeight="1"/>
    <row r="381" ht="19.95" customHeight="1"/>
    <row r="382" ht="19.95" customHeight="1"/>
    <row r="383" ht="19.95" customHeight="1"/>
    <row r="384" ht="19.95" customHeight="1"/>
    <row r="385" ht="19.95" customHeight="1"/>
    <row r="386" ht="19.95" customHeight="1"/>
    <row r="387" ht="19.95" customHeight="1"/>
    <row r="388" ht="19.95" customHeight="1"/>
    <row r="389" ht="19.95" customHeight="1"/>
    <row r="390" ht="19.95" customHeight="1"/>
    <row r="391" ht="19.95" customHeight="1"/>
    <row r="392" ht="19.95" customHeight="1"/>
    <row r="393" ht="19.95" customHeight="1"/>
    <row r="394" ht="19.95" customHeight="1"/>
    <row r="395" ht="19.95" customHeight="1"/>
    <row r="396" ht="19.95" customHeight="1"/>
    <row r="397" ht="19.95" customHeight="1"/>
    <row r="398" ht="19.95" customHeight="1"/>
    <row r="399" ht="19.95" customHeight="1"/>
    <row r="400" ht="19.95" customHeight="1"/>
    <row r="401" ht="19.95" customHeight="1"/>
    <row r="402" ht="19.95" customHeight="1"/>
    <row r="403" ht="19.95" customHeight="1"/>
    <row r="404" ht="19.95" customHeight="1"/>
    <row r="405" ht="19.95" customHeight="1"/>
    <row r="406" ht="19.95" customHeight="1"/>
    <row r="407" ht="19.95" customHeight="1"/>
    <row r="408" ht="19.95" customHeight="1"/>
    <row r="409" ht="19.95" customHeight="1"/>
    <row r="410" ht="19.95" customHeight="1"/>
    <row r="411" ht="19.95" customHeight="1"/>
    <row r="412" ht="19.95" customHeight="1"/>
    <row r="413" ht="19.95" customHeight="1"/>
    <row r="414" ht="19.95" customHeight="1"/>
    <row r="415" ht="19.95" customHeight="1"/>
    <row r="416" ht="19.95" customHeight="1"/>
    <row r="417" ht="19.95" customHeight="1"/>
    <row r="418" ht="19.95" customHeight="1"/>
    <row r="419" ht="19.95" customHeight="1"/>
    <row r="420" ht="19.95" customHeight="1"/>
    <row r="421" ht="19.95" customHeight="1"/>
    <row r="422" ht="19.95" customHeight="1"/>
    <row r="423" ht="19.95" customHeight="1"/>
    <row r="424" ht="19.95" customHeight="1"/>
    <row r="425" ht="19.95" customHeight="1"/>
    <row r="426" ht="19.95" customHeight="1"/>
    <row r="427" ht="19.95" customHeight="1"/>
    <row r="428" ht="19.95" customHeight="1"/>
    <row r="429" ht="19.95" customHeight="1"/>
    <row r="430" ht="19.95" customHeight="1"/>
    <row r="431" ht="19.95" customHeight="1"/>
    <row r="432" ht="19.95" customHeight="1"/>
    <row r="433" ht="19.95" customHeight="1"/>
    <row r="434" ht="19.95" customHeight="1"/>
    <row r="435" ht="19.95" customHeight="1"/>
    <row r="436" ht="19.95" customHeight="1"/>
    <row r="437" ht="19.95" customHeight="1"/>
    <row r="438" ht="19.95" customHeight="1"/>
    <row r="439" ht="19.95" customHeight="1"/>
    <row r="440" ht="19.95" customHeight="1"/>
    <row r="441" ht="19.95" customHeight="1"/>
  </sheetData>
  <phoneticPr fontId="55" type="noConversion"/>
  <pageMargins left="0.7" right="0.7" top="0.78740157499999996" bottom="0.78740157499999996" header="0.3" footer="0.3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279E02-81FC-4FC8-9770-52A60CA7023D}">
  <sheetPr codeName="Tabelle21"/>
  <dimension ref="A1:O441"/>
  <sheetViews>
    <sheetView zoomScale="115" zoomScaleNormal="115" workbookViewId="0">
      <pane ySplit="1" topLeftCell="A5" activePane="bottomLeft" state="frozen"/>
      <selection pane="bottomLeft" activeCell="A17" sqref="A17"/>
    </sheetView>
  </sheetViews>
  <sheetFormatPr baseColWidth="10" defaultColWidth="11.5546875" defaultRowHeight="15.6"/>
  <cols>
    <col min="1" max="1" width="11.5546875" style="11"/>
    <col min="2" max="2" width="4.88671875" style="11" customWidth="1"/>
    <col min="3" max="3" width="19.109375" style="11" customWidth="1"/>
    <col min="4" max="4" width="5.5546875" style="11" bestFit="1" customWidth="1"/>
    <col min="5" max="5" width="16.6640625" style="11" customWidth="1"/>
    <col min="6" max="6" width="8.109375" style="11" customWidth="1"/>
    <col min="7" max="7" width="12.88671875" style="11" customWidth="1"/>
    <col min="8" max="8" width="11.5546875" style="11"/>
    <col min="9" max="9" width="13.44140625" style="11" bestFit="1" customWidth="1"/>
    <col min="10" max="10" width="11.5546875" style="11" bestFit="1" customWidth="1"/>
    <col min="11" max="11" width="11.5546875" style="11" customWidth="1"/>
    <col min="12" max="12" width="11.5546875" style="211"/>
    <col min="13" max="13" width="9.88671875" style="11" customWidth="1"/>
    <col min="14" max="16384" width="11.5546875" style="11"/>
  </cols>
  <sheetData>
    <row r="1" spans="1:15" ht="59.4" customHeight="1">
      <c r="A1" s="209" t="s">
        <v>572</v>
      </c>
      <c r="B1" s="209" t="s">
        <v>596</v>
      </c>
      <c r="C1" s="226" t="s">
        <v>599</v>
      </c>
      <c r="D1" s="209" t="s">
        <v>595</v>
      </c>
      <c r="E1" s="209" t="s">
        <v>348</v>
      </c>
      <c r="F1" s="223" t="s">
        <v>591</v>
      </c>
      <c r="G1" s="209" t="s">
        <v>43</v>
      </c>
      <c r="H1" s="224" t="s">
        <v>351</v>
      </c>
      <c r="I1" s="224" t="s">
        <v>364</v>
      </c>
      <c r="J1" s="225" t="s">
        <v>598</v>
      </c>
      <c r="K1" s="224" t="s">
        <v>595</v>
      </c>
      <c r="L1" s="222" t="s">
        <v>348</v>
      </c>
      <c r="M1" s="223" t="s">
        <v>591</v>
      </c>
      <c r="N1" s="224" t="s">
        <v>43</v>
      </c>
      <c r="O1" s="224" t="s">
        <v>351</v>
      </c>
    </row>
    <row r="2" spans="1:15" ht="19.95" customHeight="1">
      <c r="A2" s="210" t="s">
        <v>100</v>
      </c>
    </row>
    <row r="3" spans="1:15" ht="19.95" customHeight="1">
      <c r="A3" s="212" t="s">
        <v>573</v>
      </c>
      <c r="C3" s="319" t="s">
        <v>790</v>
      </c>
      <c r="D3" s="319"/>
      <c r="E3" s="319" t="str">
        <f>CC!L22</f>
        <v xml:space="preserve">Puppenspieler </v>
      </c>
      <c r="F3" s="319"/>
      <c r="G3" s="320" t="e">
        <f>HYPERLINK("#'CC'!Q" &amp; J3, "Zurück zu CC")</f>
        <v>#N/A</v>
      </c>
      <c r="H3" s="319"/>
      <c r="I3" s="319" t="s">
        <v>590</v>
      </c>
      <c r="J3" s="319" t="e">
        <f>MATCH(C3, CC!Q:Q, 0)</f>
        <v>#N/A</v>
      </c>
      <c r="K3" s="319"/>
      <c r="L3" s="321"/>
      <c r="M3" s="321"/>
      <c r="N3" s="321"/>
      <c r="O3" s="321"/>
    </row>
    <row r="4" spans="1:15" ht="19.95" customHeight="1">
      <c r="A4" s="212" t="s">
        <v>100</v>
      </c>
      <c r="B4" s="206"/>
      <c r="C4" s="258"/>
      <c r="D4" s="206"/>
      <c r="E4" s="206"/>
      <c r="F4" s="206"/>
      <c r="G4" s="206"/>
      <c r="H4" s="206"/>
      <c r="I4" s="206"/>
      <c r="J4" s="206" t="s">
        <v>347</v>
      </c>
      <c r="K4" s="206"/>
      <c r="L4" s="207"/>
      <c r="M4" s="206"/>
      <c r="N4" s="206"/>
      <c r="O4" s="206"/>
    </row>
    <row r="5" spans="1:15" ht="19.95" customHeight="1">
      <c r="A5" s="210" t="s">
        <v>574</v>
      </c>
      <c r="B5" s="219">
        <v>1</v>
      </c>
      <c r="C5" s="219" t="s">
        <v>344</v>
      </c>
      <c r="D5" s="219" t="s">
        <v>134</v>
      </c>
      <c r="E5" s="208" t="s">
        <v>134</v>
      </c>
      <c r="F5" s="206" t="s">
        <v>349</v>
      </c>
      <c r="G5" s="206"/>
      <c r="H5" s="206" t="s">
        <v>353</v>
      </c>
      <c r="I5" s="206"/>
      <c r="J5" s="208" t="s">
        <v>344</v>
      </c>
      <c r="K5" s="219" t="s">
        <v>133</v>
      </c>
      <c r="L5" s="208" t="s">
        <v>133</v>
      </c>
      <c r="M5" s="206" t="s">
        <v>353</v>
      </c>
      <c r="N5" s="206"/>
      <c r="O5" s="206" t="s">
        <v>353</v>
      </c>
    </row>
    <row r="6" spans="1:15" ht="19.95" customHeight="1">
      <c r="A6" s="210" t="s">
        <v>574</v>
      </c>
      <c r="B6" s="208">
        <v>2</v>
      </c>
      <c r="C6" s="208" t="s">
        <v>89</v>
      </c>
      <c r="D6" s="219" t="s">
        <v>133</v>
      </c>
      <c r="E6" s="208" t="s">
        <v>358</v>
      </c>
      <c r="F6" s="206" t="s">
        <v>349</v>
      </c>
      <c r="G6" s="206"/>
      <c r="H6" s="206" t="s">
        <v>354</v>
      </c>
      <c r="I6" s="206"/>
      <c r="J6" s="208" t="s">
        <v>89</v>
      </c>
      <c r="K6" s="219" t="s">
        <v>134</v>
      </c>
      <c r="L6" s="208" t="s">
        <v>359</v>
      </c>
      <c r="M6" s="206" t="s">
        <v>353</v>
      </c>
      <c r="N6" s="206"/>
      <c r="O6" s="206" t="s">
        <v>354</v>
      </c>
    </row>
    <row r="7" spans="1:15" ht="19.95" customHeight="1">
      <c r="A7" s="210" t="s">
        <v>574</v>
      </c>
      <c r="B7" s="219">
        <v>3</v>
      </c>
      <c r="C7" s="219" t="s">
        <v>345</v>
      </c>
      <c r="D7" s="219" t="s">
        <v>133</v>
      </c>
      <c r="E7" s="219" t="s">
        <v>133</v>
      </c>
      <c r="F7" s="206" t="s">
        <v>349</v>
      </c>
      <c r="G7" s="206"/>
      <c r="H7" s="206" t="s">
        <v>352</v>
      </c>
      <c r="I7" s="206" t="s">
        <v>593</v>
      </c>
      <c r="J7" s="219" t="s">
        <v>592</v>
      </c>
      <c r="K7" s="219" t="s">
        <v>134</v>
      </c>
      <c r="L7" s="208"/>
      <c r="M7" s="206"/>
      <c r="O7" s="206"/>
    </row>
    <row r="8" spans="1:15" ht="19.95" customHeight="1">
      <c r="A8" s="210" t="s">
        <v>574</v>
      </c>
      <c r="B8" s="208">
        <v>4</v>
      </c>
      <c r="C8" s="219" t="s">
        <v>89</v>
      </c>
      <c r="D8" s="219" t="s">
        <v>134</v>
      </c>
      <c r="E8" s="208" t="s">
        <v>359</v>
      </c>
      <c r="F8" s="206" t="s">
        <v>349</v>
      </c>
      <c r="G8" s="206"/>
      <c r="H8" s="206" t="s">
        <v>354</v>
      </c>
      <c r="J8" s="208" t="s">
        <v>41</v>
      </c>
      <c r="K8" s="219" t="s">
        <v>133</v>
      </c>
      <c r="L8" s="208"/>
      <c r="M8" s="206"/>
      <c r="N8" s="206" t="s">
        <v>363</v>
      </c>
      <c r="O8" s="206"/>
    </row>
    <row r="9" spans="1:15" ht="19.95" customHeight="1">
      <c r="A9" s="210" t="s">
        <v>574</v>
      </c>
      <c r="B9" s="219">
        <v>5</v>
      </c>
      <c r="C9" s="219" t="s">
        <v>592</v>
      </c>
      <c r="D9" s="219" t="s">
        <v>134</v>
      </c>
      <c r="E9" s="219" t="s">
        <v>134</v>
      </c>
      <c r="F9" s="206" t="s">
        <v>349</v>
      </c>
      <c r="G9" s="206"/>
      <c r="H9" s="206" t="s">
        <v>352</v>
      </c>
      <c r="I9" s="206" t="s">
        <v>366</v>
      </c>
      <c r="J9" s="219" t="s">
        <v>345</v>
      </c>
      <c r="K9" s="219" t="s">
        <v>133</v>
      </c>
      <c r="L9" s="208"/>
      <c r="M9" s="206" t="s">
        <v>353</v>
      </c>
      <c r="N9" s="206"/>
      <c r="O9" s="206"/>
    </row>
    <row r="10" spans="1:15" ht="19.95" customHeight="1">
      <c r="A10" s="210" t="s">
        <v>574</v>
      </c>
      <c r="B10" s="208">
        <v>6</v>
      </c>
      <c r="C10" s="208" t="s">
        <v>365</v>
      </c>
      <c r="D10" s="219" t="s">
        <v>133</v>
      </c>
      <c r="E10" s="208" t="s">
        <v>359</v>
      </c>
      <c r="F10" s="206" t="s">
        <v>362</v>
      </c>
      <c r="G10" s="206" t="s">
        <v>355</v>
      </c>
      <c r="H10" s="206" t="s">
        <v>354</v>
      </c>
      <c r="I10" s="206" t="s">
        <v>366</v>
      </c>
      <c r="J10" s="219" t="s">
        <v>89</v>
      </c>
      <c r="K10" s="219" t="s">
        <v>134</v>
      </c>
      <c r="L10" s="208"/>
      <c r="M10" s="206" t="s">
        <v>350</v>
      </c>
      <c r="N10" s="206"/>
      <c r="O10" s="206"/>
    </row>
    <row r="11" spans="1:15" ht="19.95" customHeight="1">
      <c r="A11" s="210" t="s">
        <v>574</v>
      </c>
      <c r="B11" s="219">
        <v>7</v>
      </c>
      <c r="C11" s="208" t="s">
        <v>345</v>
      </c>
      <c r="D11" s="219" t="s">
        <v>133</v>
      </c>
      <c r="E11" s="208" t="s">
        <v>133</v>
      </c>
      <c r="F11" s="206" t="s">
        <v>349</v>
      </c>
      <c r="G11" s="206" t="s">
        <v>356</v>
      </c>
      <c r="H11" s="206" t="s">
        <v>352</v>
      </c>
      <c r="I11" s="206" t="s">
        <v>367</v>
      </c>
      <c r="J11" s="208" t="s">
        <v>345</v>
      </c>
      <c r="K11" s="219" t="s">
        <v>134</v>
      </c>
      <c r="L11" s="208" t="s">
        <v>134</v>
      </c>
      <c r="M11" s="206" t="s">
        <v>353</v>
      </c>
      <c r="N11" s="206" t="s">
        <v>356</v>
      </c>
      <c r="O11" s="206" t="s">
        <v>352</v>
      </c>
    </row>
    <row r="12" spans="1:15" ht="19.95" customHeight="1">
      <c r="A12" s="210" t="s">
        <v>574</v>
      </c>
      <c r="B12" s="208">
        <v>8</v>
      </c>
      <c r="C12" s="208" t="s">
        <v>32</v>
      </c>
      <c r="D12" s="219" t="s">
        <v>134</v>
      </c>
      <c r="E12" s="208" t="s">
        <v>357</v>
      </c>
      <c r="F12" s="154" t="s">
        <v>594</v>
      </c>
      <c r="G12" s="206" t="s">
        <v>355</v>
      </c>
      <c r="H12" s="206" t="s">
        <v>352</v>
      </c>
      <c r="I12" s="206" t="s">
        <v>368</v>
      </c>
      <c r="J12" s="208" t="s">
        <v>345</v>
      </c>
      <c r="K12" s="219" t="s">
        <v>133</v>
      </c>
      <c r="L12" s="208" t="s">
        <v>133</v>
      </c>
      <c r="M12" s="154" t="s">
        <v>350</v>
      </c>
      <c r="N12" s="206" t="s">
        <v>360</v>
      </c>
      <c r="O12" s="206" t="s">
        <v>352</v>
      </c>
    </row>
    <row r="13" spans="1:15" ht="19.95" customHeight="1">
      <c r="A13" s="210" t="s">
        <v>574</v>
      </c>
      <c r="B13" s="219">
        <v>9</v>
      </c>
      <c r="C13" s="173" t="s">
        <v>345</v>
      </c>
      <c r="D13" s="221" t="s">
        <v>133</v>
      </c>
      <c r="E13" s="173" t="s">
        <v>133</v>
      </c>
      <c r="F13" s="154" t="s">
        <v>349</v>
      </c>
      <c r="G13" s="206" t="s">
        <v>356</v>
      </c>
      <c r="H13" s="206" t="s">
        <v>352</v>
      </c>
      <c r="I13" s="206"/>
      <c r="J13" s="173" t="s">
        <v>345</v>
      </c>
      <c r="K13" s="221" t="s">
        <v>134</v>
      </c>
      <c r="L13" s="173" t="s">
        <v>134</v>
      </c>
      <c r="M13" s="154" t="s">
        <v>353</v>
      </c>
      <c r="N13" s="206" t="s">
        <v>361</v>
      </c>
      <c r="O13" s="206" t="s">
        <v>352</v>
      </c>
    </row>
    <row r="14" spans="1:15" ht="19.95" customHeight="1">
      <c r="A14" s="210" t="s">
        <v>574</v>
      </c>
      <c r="B14" s="208">
        <v>10</v>
      </c>
      <c r="C14" s="206" t="s">
        <v>89</v>
      </c>
      <c r="D14" s="206" t="s">
        <v>134</v>
      </c>
      <c r="E14" s="206" t="s">
        <v>358</v>
      </c>
      <c r="F14" s="206" t="s">
        <v>350</v>
      </c>
      <c r="G14" s="206"/>
      <c r="H14" s="206" t="s">
        <v>354</v>
      </c>
      <c r="I14" s="206"/>
      <c r="J14" s="206" t="s">
        <v>89</v>
      </c>
      <c r="K14" s="206" t="s">
        <v>133</v>
      </c>
      <c r="L14" s="206" t="s">
        <v>358</v>
      </c>
      <c r="M14" s="206" t="s">
        <v>362</v>
      </c>
      <c r="N14" s="206" t="s">
        <v>356</v>
      </c>
      <c r="O14" s="206" t="s">
        <v>354</v>
      </c>
    </row>
    <row r="15" spans="1:15" ht="19.95" customHeight="1">
      <c r="A15" s="220" t="s">
        <v>574</v>
      </c>
      <c r="B15" s="206">
        <v>11</v>
      </c>
      <c r="C15" s="206" t="s">
        <v>597</v>
      </c>
      <c r="D15" s="206" t="s">
        <v>134</v>
      </c>
      <c r="E15" s="206"/>
      <c r="F15" s="206"/>
      <c r="G15" s="206"/>
      <c r="H15" s="206"/>
      <c r="I15" s="206"/>
      <c r="J15" s="206" t="s">
        <v>597</v>
      </c>
      <c r="K15" s="206" t="s">
        <v>133</v>
      </c>
      <c r="L15" s="206"/>
      <c r="M15" s="206"/>
      <c r="N15" s="206"/>
      <c r="O15" s="206"/>
    </row>
    <row r="16" spans="1:15" ht="19.95" customHeight="1">
      <c r="A16" s="210" t="s">
        <v>575</v>
      </c>
    </row>
    <row r="17" spans="1:15" ht="19.95" customHeight="1">
      <c r="A17" s="227" t="s">
        <v>573</v>
      </c>
      <c r="C17" s="319" t="s">
        <v>791</v>
      </c>
      <c r="D17" s="319"/>
      <c r="E17" s="319" t="str">
        <f>CC!L20</f>
        <v>Verfolger</v>
      </c>
      <c r="F17" s="319"/>
      <c r="G17" s="320" t="e">
        <f>HYPERLINK("#'CC'!Q" &amp; J17, "Zurück zu CC")</f>
        <v>#N/A</v>
      </c>
      <c r="H17" s="319"/>
      <c r="I17" s="319" t="s">
        <v>590</v>
      </c>
      <c r="J17" s="319" t="e">
        <f>MATCH(C17, CC!Q:Q, 0)</f>
        <v>#N/A</v>
      </c>
      <c r="K17" s="319"/>
      <c r="L17" s="321"/>
      <c r="M17" s="321"/>
      <c r="N17" s="321"/>
      <c r="O17" s="321"/>
    </row>
    <row r="18" spans="1:15" ht="19.95" customHeight="1">
      <c r="A18" s="227" t="s">
        <v>100</v>
      </c>
    </row>
    <row r="19" spans="1:15" ht="19.95" customHeight="1">
      <c r="A19" s="227" t="s">
        <v>574</v>
      </c>
      <c r="B19" s="11">
        <f>B18+1</f>
        <v>1</v>
      </c>
      <c r="C19" s="230" t="s">
        <v>89</v>
      </c>
      <c r="D19" s="230" t="s">
        <v>625</v>
      </c>
      <c r="E19" s="230" t="s">
        <v>358</v>
      </c>
      <c r="F19" s="230" t="s">
        <v>349</v>
      </c>
    </row>
    <row r="20" spans="1:15" ht="19.95" customHeight="1">
      <c r="A20" s="227"/>
      <c r="B20" s="11">
        <f>B19+1</f>
        <v>2</v>
      </c>
      <c r="C20" s="230" t="s">
        <v>345</v>
      </c>
      <c r="D20" s="230" t="s">
        <v>133</v>
      </c>
      <c r="E20" s="230" t="s">
        <v>133</v>
      </c>
      <c r="F20" s="230" t="s">
        <v>349</v>
      </c>
    </row>
    <row r="21" spans="1:15" ht="19.95" customHeight="1">
      <c r="A21" s="227"/>
      <c r="B21" s="11">
        <f>B20+1</f>
        <v>3</v>
      </c>
      <c r="C21" s="230" t="s">
        <v>630</v>
      </c>
      <c r="D21" s="230" t="s">
        <v>629</v>
      </c>
      <c r="E21" s="230" t="s">
        <v>359</v>
      </c>
      <c r="F21" s="230" t="s">
        <v>349</v>
      </c>
    </row>
    <row r="22" spans="1:15" ht="19.95" customHeight="1">
      <c r="A22" s="227"/>
      <c r="B22" s="11">
        <f>B21+1</f>
        <v>4</v>
      </c>
      <c r="C22" s="230" t="s">
        <v>631</v>
      </c>
      <c r="D22" s="230" t="s">
        <v>629</v>
      </c>
      <c r="E22" s="230" t="s">
        <v>632</v>
      </c>
      <c r="F22" s="230" t="s">
        <v>349</v>
      </c>
    </row>
    <row r="23" spans="1:15" ht="19.95" customHeight="1">
      <c r="A23" s="227" t="s">
        <v>574</v>
      </c>
      <c r="B23" s="11">
        <f>B22+1</f>
        <v>5</v>
      </c>
      <c r="C23" s="230" t="s">
        <v>621</v>
      </c>
      <c r="D23" s="230" t="s">
        <v>134</v>
      </c>
      <c r="E23" s="230" t="s">
        <v>633</v>
      </c>
      <c r="F23" s="230" t="s">
        <v>594</v>
      </c>
    </row>
    <row r="24" spans="1:15" ht="19.95" customHeight="1">
      <c r="A24" s="227" t="s">
        <v>574</v>
      </c>
      <c r="B24" s="11">
        <f t="shared" ref="B24:B37" si="0">B23+1</f>
        <v>6</v>
      </c>
      <c r="C24" s="230" t="s">
        <v>621</v>
      </c>
      <c r="D24" s="230" t="s">
        <v>134</v>
      </c>
      <c r="E24" s="230" t="s">
        <v>633</v>
      </c>
      <c r="F24" s="230" t="s">
        <v>594</v>
      </c>
    </row>
    <row r="25" spans="1:15" ht="19.95" customHeight="1">
      <c r="A25" s="227" t="s">
        <v>574</v>
      </c>
      <c r="B25" s="11">
        <f t="shared" si="0"/>
        <v>7</v>
      </c>
      <c r="C25" s="230" t="s">
        <v>89</v>
      </c>
      <c r="D25" s="230" t="s">
        <v>134</v>
      </c>
      <c r="E25" s="230" t="s">
        <v>358</v>
      </c>
      <c r="F25" s="230" t="s">
        <v>594</v>
      </c>
    </row>
    <row r="26" spans="1:15" ht="19.95" customHeight="1">
      <c r="A26" s="227" t="s">
        <v>574</v>
      </c>
      <c r="B26" s="11">
        <f t="shared" si="0"/>
        <v>8</v>
      </c>
      <c r="C26" s="230" t="s">
        <v>592</v>
      </c>
      <c r="D26" s="230" t="s">
        <v>134</v>
      </c>
      <c r="E26" s="230" t="s">
        <v>134</v>
      </c>
      <c r="F26" s="230" t="s">
        <v>349</v>
      </c>
    </row>
    <row r="27" spans="1:15" ht="19.95" customHeight="1">
      <c r="A27" s="227" t="s">
        <v>574</v>
      </c>
      <c r="B27" s="11">
        <f t="shared" si="0"/>
        <v>9</v>
      </c>
      <c r="C27" s="230" t="s">
        <v>622</v>
      </c>
      <c r="D27" s="230" t="s">
        <v>625</v>
      </c>
      <c r="E27" s="230" t="s">
        <v>357</v>
      </c>
      <c r="F27" s="230" t="s">
        <v>362</v>
      </c>
    </row>
    <row r="28" spans="1:15" ht="19.95" customHeight="1">
      <c r="A28" s="227" t="s">
        <v>574</v>
      </c>
      <c r="B28" s="11">
        <f t="shared" si="0"/>
        <v>10</v>
      </c>
      <c r="C28" s="230" t="s">
        <v>345</v>
      </c>
      <c r="D28" s="230" t="s">
        <v>133</v>
      </c>
      <c r="E28" s="230" t="s">
        <v>357</v>
      </c>
      <c r="F28" s="230" t="s">
        <v>353</v>
      </c>
    </row>
    <row r="29" spans="1:15" ht="19.95" customHeight="1">
      <c r="A29" s="227" t="s">
        <v>574</v>
      </c>
      <c r="B29" s="11">
        <f t="shared" si="0"/>
        <v>11</v>
      </c>
      <c r="C29" s="230" t="s">
        <v>621</v>
      </c>
      <c r="D29" s="230" t="s">
        <v>134</v>
      </c>
      <c r="E29" s="230" t="s">
        <v>633</v>
      </c>
      <c r="F29" s="230" t="s">
        <v>634</v>
      </c>
    </row>
    <row r="30" spans="1:15" ht="19.95" customHeight="1">
      <c r="A30" s="227" t="s">
        <v>574</v>
      </c>
      <c r="B30" s="11">
        <f t="shared" si="0"/>
        <v>12</v>
      </c>
      <c r="C30" s="230" t="s">
        <v>621</v>
      </c>
      <c r="D30" s="230" t="s">
        <v>134</v>
      </c>
      <c r="E30" s="230" t="s">
        <v>633</v>
      </c>
      <c r="F30" s="230" t="s">
        <v>634</v>
      </c>
    </row>
    <row r="31" spans="1:15" ht="19.95" customHeight="1">
      <c r="A31" s="227" t="s">
        <v>574</v>
      </c>
      <c r="B31" s="11">
        <f t="shared" si="0"/>
        <v>13</v>
      </c>
      <c r="C31" s="230" t="s">
        <v>89</v>
      </c>
      <c r="D31" s="230" t="s">
        <v>134</v>
      </c>
      <c r="E31" s="230" t="s">
        <v>358</v>
      </c>
      <c r="F31" s="230" t="s">
        <v>634</v>
      </c>
    </row>
    <row r="32" spans="1:15" ht="19.95" customHeight="1">
      <c r="A32" s="227" t="s">
        <v>574</v>
      </c>
      <c r="B32" s="11">
        <f t="shared" si="0"/>
        <v>14</v>
      </c>
      <c r="C32" s="230" t="s">
        <v>592</v>
      </c>
      <c r="D32" s="230" t="s">
        <v>134</v>
      </c>
      <c r="E32" s="230" t="s">
        <v>350</v>
      </c>
      <c r="F32" s="230" t="s">
        <v>350</v>
      </c>
    </row>
    <row r="33" spans="1:6" ht="19.95" customHeight="1">
      <c r="A33" s="227" t="s">
        <v>574</v>
      </c>
      <c r="B33" s="11">
        <f t="shared" si="0"/>
        <v>15</v>
      </c>
      <c r="C33" s="230" t="s">
        <v>627</v>
      </c>
      <c r="D33" s="230" t="s">
        <v>625</v>
      </c>
      <c r="E33" s="230" t="s">
        <v>350</v>
      </c>
      <c r="F33" s="230" t="s">
        <v>350</v>
      </c>
    </row>
    <row r="34" spans="1:6" ht="19.95" customHeight="1">
      <c r="A34" s="227" t="s">
        <v>574</v>
      </c>
      <c r="B34" s="11">
        <f t="shared" si="0"/>
        <v>16</v>
      </c>
      <c r="C34" s="230" t="s">
        <v>623</v>
      </c>
      <c r="D34" s="230" t="s">
        <v>626</v>
      </c>
      <c r="E34" s="230" t="s">
        <v>350</v>
      </c>
      <c r="F34" s="230" t="s">
        <v>350</v>
      </c>
    </row>
    <row r="35" spans="1:6" ht="19.95" customHeight="1">
      <c r="A35" s="227" t="s">
        <v>574</v>
      </c>
      <c r="B35" s="11">
        <f t="shared" si="0"/>
        <v>17</v>
      </c>
      <c r="C35" s="230" t="s">
        <v>624</v>
      </c>
      <c r="D35" s="230" t="s">
        <v>133</v>
      </c>
      <c r="F35" s="230" t="s">
        <v>362</v>
      </c>
    </row>
    <row r="36" spans="1:6" ht="19.95" customHeight="1">
      <c r="A36" s="227" t="s">
        <v>574</v>
      </c>
      <c r="B36" s="11">
        <f t="shared" si="0"/>
        <v>18</v>
      </c>
      <c r="C36" s="230" t="s">
        <v>628</v>
      </c>
      <c r="D36" s="230" t="s">
        <v>625</v>
      </c>
    </row>
    <row r="37" spans="1:6" ht="19.95" customHeight="1">
      <c r="A37" s="227" t="s">
        <v>574</v>
      </c>
      <c r="B37" s="11">
        <f t="shared" si="0"/>
        <v>19</v>
      </c>
      <c r="C37" s="230" t="s">
        <v>624</v>
      </c>
      <c r="D37" s="230" t="s">
        <v>134</v>
      </c>
    </row>
    <row r="38" spans="1:6" ht="19.95" customHeight="1">
      <c r="A38" s="210"/>
      <c r="C38" s="230"/>
      <c r="D38" s="230"/>
    </row>
    <row r="39" spans="1:6" ht="19.95" customHeight="1">
      <c r="A39" s="210"/>
      <c r="C39" s="230"/>
      <c r="D39" s="230"/>
    </row>
    <row r="40" spans="1:6" ht="19.95" customHeight="1">
      <c r="A40" s="212"/>
      <c r="C40" s="11" t="s">
        <v>93</v>
      </c>
      <c r="F40" s="11" t="s">
        <v>95</v>
      </c>
    </row>
    <row r="41" spans="1:6" ht="19.95" customHeight="1">
      <c r="A41" s="212"/>
      <c r="E41" s="11" t="s">
        <v>73</v>
      </c>
      <c r="F41" s="11" t="s">
        <v>82</v>
      </c>
    </row>
    <row r="42" spans="1:6" ht="19.95" customHeight="1">
      <c r="A42" s="212"/>
      <c r="E42" s="11" t="s">
        <v>74</v>
      </c>
    </row>
    <row r="43" spans="1:6" ht="19.95" customHeight="1">
      <c r="A43" s="212"/>
      <c r="E43" s="11" t="s">
        <v>94</v>
      </c>
    </row>
    <row r="44" spans="1:6" ht="19.95" customHeight="1">
      <c r="A44" s="212"/>
      <c r="E44" s="11" t="s">
        <v>76</v>
      </c>
    </row>
    <row r="45" spans="1:6" ht="19.95" customHeight="1">
      <c r="A45" s="212"/>
      <c r="E45" s="11" t="s">
        <v>75</v>
      </c>
    </row>
    <row r="46" spans="1:6" ht="19.95" customHeight="1">
      <c r="A46" s="212"/>
      <c r="C46" s="11" t="s">
        <v>92</v>
      </c>
    </row>
    <row r="47" spans="1:6" ht="19.95" customHeight="1">
      <c r="A47" s="212"/>
      <c r="E47" s="11" t="s">
        <v>86</v>
      </c>
    </row>
    <row r="48" spans="1:6" ht="19.95" customHeight="1">
      <c r="A48" s="212"/>
      <c r="E48" s="11" t="s">
        <v>83</v>
      </c>
    </row>
    <row r="49" spans="1:9" ht="19.95" customHeight="1">
      <c r="A49" s="212"/>
      <c r="E49" s="11" t="s">
        <v>84</v>
      </c>
    </row>
    <row r="50" spans="1:9" ht="19.95" customHeight="1">
      <c r="A50" s="212"/>
      <c r="E50" s="11" t="s">
        <v>85</v>
      </c>
    </row>
    <row r="51" spans="1:9" ht="19.95" customHeight="1">
      <c r="A51" s="212"/>
      <c r="E51" s="11" t="s">
        <v>84</v>
      </c>
    </row>
    <row r="52" spans="1:9" ht="19.95" customHeight="1">
      <c r="A52" s="212"/>
      <c r="C52" s="11" t="s">
        <v>91</v>
      </c>
    </row>
    <row r="53" spans="1:9" ht="19.95" customHeight="1">
      <c r="A53" s="212"/>
      <c r="E53" s="11" t="s">
        <v>87</v>
      </c>
    </row>
    <row r="54" spans="1:9" ht="19.95" customHeight="1">
      <c r="A54" s="212"/>
      <c r="E54" s="11" t="s">
        <v>5</v>
      </c>
    </row>
    <row r="55" spans="1:9" ht="19.95" customHeight="1">
      <c r="A55" s="212"/>
      <c r="E55" s="11" t="s">
        <v>88</v>
      </c>
    </row>
    <row r="56" spans="1:9" ht="19.95" customHeight="1">
      <c r="A56" s="212"/>
      <c r="E56" s="11" t="s">
        <v>89</v>
      </c>
    </row>
    <row r="57" spans="1:9" ht="19.95" customHeight="1">
      <c r="A57" s="212"/>
      <c r="E57" s="11" t="s">
        <v>90</v>
      </c>
    </row>
    <row r="58" spans="1:9" ht="19.95" customHeight="1">
      <c r="A58" s="212"/>
      <c r="E58" s="11" t="s">
        <v>41</v>
      </c>
    </row>
    <row r="59" spans="1:9" ht="19.95" customHeight="1">
      <c r="A59" s="212"/>
      <c r="B59" s="213"/>
      <c r="C59" s="213"/>
      <c r="D59" s="213"/>
      <c r="F59" s="216"/>
      <c r="G59" s="217"/>
      <c r="H59" s="217"/>
      <c r="I59" s="218"/>
    </row>
    <row r="60" spans="1:9" ht="19.95" customHeight="1">
      <c r="A60" s="212"/>
      <c r="B60" s="213"/>
      <c r="C60" s="213"/>
      <c r="D60" s="213"/>
      <c r="F60" s="216"/>
      <c r="G60" s="217"/>
      <c r="H60" s="217"/>
      <c r="I60" s="218"/>
    </row>
    <row r="61" spans="1:9" ht="19.95" customHeight="1">
      <c r="A61" s="212"/>
      <c r="B61" s="213"/>
      <c r="C61" s="213"/>
      <c r="D61" s="213"/>
      <c r="F61" s="216"/>
      <c r="G61" s="217"/>
      <c r="H61" s="217"/>
      <c r="I61" s="218"/>
    </row>
    <row r="62" spans="1:9" ht="19.95" customHeight="1">
      <c r="A62" s="212"/>
      <c r="B62" s="213"/>
      <c r="C62" s="213"/>
      <c r="D62" s="213"/>
      <c r="F62" s="216"/>
      <c r="G62" s="217"/>
      <c r="H62" s="217"/>
      <c r="I62" s="218"/>
    </row>
    <row r="63" spans="1:9" ht="19.95" customHeight="1">
      <c r="A63" s="212"/>
      <c r="B63" s="213"/>
      <c r="C63" s="213"/>
      <c r="D63" s="213"/>
      <c r="F63" s="216"/>
      <c r="G63" s="217"/>
      <c r="H63" s="217"/>
      <c r="I63" s="218"/>
    </row>
    <row r="64" spans="1:9" ht="19.95" customHeight="1">
      <c r="A64" s="212"/>
      <c r="B64" s="213"/>
      <c r="C64" s="213"/>
      <c r="D64" s="213"/>
      <c r="F64" s="216"/>
      <c r="G64" s="217"/>
      <c r="H64" s="217"/>
      <c r="I64" s="218"/>
    </row>
    <row r="65" spans="1:9" ht="19.95" customHeight="1">
      <c r="A65" s="212"/>
      <c r="B65" s="213"/>
      <c r="C65" s="213"/>
      <c r="D65" s="213"/>
      <c r="F65" s="216"/>
      <c r="G65" s="217"/>
      <c r="H65" s="217"/>
      <c r="I65" s="218"/>
    </row>
    <row r="66" spans="1:9" ht="19.95" customHeight="1">
      <c r="A66" s="212"/>
    </row>
    <row r="67" spans="1:9" ht="19.95" customHeight="1">
      <c r="A67" s="212"/>
    </row>
    <row r="68" spans="1:9" ht="19.95" customHeight="1">
      <c r="A68" s="212"/>
    </row>
    <row r="69" spans="1:9" ht="19.95" customHeight="1">
      <c r="A69" s="212"/>
    </row>
    <row r="70" spans="1:9" ht="19.95" customHeight="1">
      <c r="A70" s="212"/>
    </row>
    <row r="71" spans="1:9" ht="19.95" customHeight="1">
      <c r="A71" s="212"/>
    </row>
    <row r="72" spans="1:9" ht="19.95" customHeight="1">
      <c r="A72" s="212"/>
    </row>
    <row r="73" spans="1:9" ht="19.95" customHeight="1">
      <c r="A73" s="212"/>
    </row>
    <row r="74" spans="1:9" ht="19.95" customHeight="1">
      <c r="A74" s="212"/>
    </row>
    <row r="75" spans="1:9" ht="19.95" customHeight="1">
      <c r="A75" s="212"/>
    </row>
    <row r="76" spans="1:9" ht="19.95" customHeight="1">
      <c r="A76" s="212"/>
    </row>
    <row r="77" spans="1:9" ht="19.95" customHeight="1">
      <c r="A77" s="212"/>
    </row>
    <row r="78" spans="1:9" ht="19.95" customHeight="1">
      <c r="A78" s="212"/>
    </row>
    <row r="79" spans="1:9" ht="19.95" customHeight="1">
      <c r="A79" s="212"/>
    </row>
    <row r="80" spans="1:9" ht="19.95" customHeight="1">
      <c r="A80" s="212"/>
    </row>
    <row r="81" spans="1:1" ht="19.95" customHeight="1">
      <c r="A81" s="212"/>
    </row>
    <row r="82" spans="1:1" ht="19.95" customHeight="1">
      <c r="A82" s="212"/>
    </row>
    <row r="83" spans="1:1" ht="19.95" customHeight="1">
      <c r="A83" s="212"/>
    </row>
    <row r="84" spans="1:1" ht="19.95" customHeight="1">
      <c r="A84" s="212"/>
    </row>
    <row r="85" spans="1:1" ht="19.95" customHeight="1">
      <c r="A85" s="212"/>
    </row>
    <row r="86" spans="1:1" ht="19.95" customHeight="1">
      <c r="A86" s="212"/>
    </row>
    <row r="87" spans="1:1" ht="19.95" customHeight="1">
      <c r="A87" s="212"/>
    </row>
    <row r="88" spans="1:1" ht="19.95" customHeight="1">
      <c r="A88" s="212"/>
    </row>
    <row r="89" spans="1:1" ht="19.95" customHeight="1">
      <c r="A89" s="212"/>
    </row>
    <row r="90" spans="1:1" ht="19.95" customHeight="1">
      <c r="A90" s="212"/>
    </row>
    <row r="91" spans="1:1" ht="19.95" customHeight="1">
      <c r="A91" s="212"/>
    </row>
    <row r="92" spans="1:1" ht="19.95" customHeight="1">
      <c r="A92" s="212"/>
    </row>
    <row r="93" spans="1:1" ht="19.95" customHeight="1">
      <c r="A93" s="212"/>
    </row>
    <row r="94" spans="1:1" ht="19.95" customHeight="1">
      <c r="A94" s="212"/>
    </row>
    <row r="95" spans="1:1" ht="19.95" customHeight="1">
      <c r="A95" s="212"/>
    </row>
    <row r="96" spans="1:1" ht="19.95" customHeight="1">
      <c r="A96" s="212"/>
    </row>
    <row r="97" spans="1:1" ht="19.95" customHeight="1">
      <c r="A97" s="212"/>
    </row>
    <row r="98" spans="1:1" ht="19.95" customHeight="1">
      <c r="A98" s="212"/>
    </row>
    <row r="99" spans="1:1" ht="19.95" customHeight="1">
      <c r="A99" s="212"/>
    </row>
    <row r="100" spans="1:1" ht="19.95" customHeight="1">
      <c r="A100" s="212"/>
    </row>
    <row r="101" spans="1:1" ht="19.95" customHeight="1">
      <c r="A101" s="212"/>
    </row>
    <row r="102" spans="1:1" ht="19.95" customHeight="1">
      <c r="A102" s="212"/>
    </row>
    <row r="103" spans="1:1" ht="19.95" customHeight="1">
      <c r="A103" s="212"/>
    </row>
    <row r="104" spans="1:1" ht="19.95" customHeight="1">
      <c r="A104" s="212"/>
    </row>
    <row r="105" spans="1:1" ht="19.95" customHeight="1">
      <c r="A105" s="212"/>
    </row>
    <row r="106" spans="1:1" ht="19.95" customHeight="1">
      <c r="A106" s="212"/>
    </row>
    <row r="107" spans="1:1" ht="19.95" customHeight="1">
      <c r="A107" s="212"/>
    </row>
    <row r="108" spans="1:1" ht="19.95" customHeight="1">
      <c r="A108" s="212"/>
    </row>
    <row r="109" spans="1:1" ht="19.95" customHeight="1">
      <c r="A109" s="212"/>
    </row>
    <row r="110" spans="1:1" ht="19.95" customHeight="1">
      <c r="A110" s="212"/>
    </row>
    <row r="111" spans="1:1" ht="19.95" customHeight="1">
      <c r="A111" s="212"/>
    </row>
    <row r="112" spans="1:1" ht="19.95" customHeight="1">
      <c r="A112" s="212"/>
    </row>
    <row r="113" spans="1:1" ht="19.95" customHeight="1">
      <c r="A113" s="212"/>
    </row>
    <row r="114" spans="1:1" ht="19.95" customHeight="1">
      <c r="A114" s="212"/>
    </row>
    <row r="115" spans="1:1" ht="19.95" customHeight="1">
      <c r="A115" s="212"/>
    </row>
    <row r="116" spans="1:1" ht="19.95" customHeight="1">
      <c r="A116" s="212"/>
    </row>
    <row r="117" spans="1:1" ht="19.95" customHeight="1">
      <c r="A117" s="212"/>
    </row>
    <row r="118" spans="1:1" ht="19.95" customHeight="1">
      <c r="A118" s="212"/>
    </row>
    <row r="119" spans="1:1" ht="19.95" customHeight="1">
      <c r="A119" s="212"/>
    </row>
    <row r="120" spans="1:1" ht="19.95" customHeight="1">
      <c r="A120" s="212"/>
    </row>
    <row r="121" spans="1:1" ht="19.95" customHeight="1">
      <c r="A121" s="212"/>
    </row>
    <row r="122" spans="1:1" ht="19.95" customHeight="1">
      <c r="A122" s="212"/>
    </row>
    <row r="123" spans="1:1" ht="19.95" customHeight="1">
      <c r="A123" s="212"/>
    </row>
    <row r="124" spans="1:1" ht="19.95" customHeight="1">
      <c r="A124" s="212"/>
    </row>
    <row r="125" spans="1:1" ht="19.95" customHeight="1">
      <c r="A125" s="212"/>
    </row>
    <row r="126" spans="1:1" ht="19.95" customHeight="1">
      <c r="A126" s="212"/>
    </row>
    <row r="127" spans="1:1" ht="19.95" customHeight="1">
      <c r="A127" s="212"/>
    </row>
    <row r="128" spans="1:1" ht="19.95" customHeight="1">
      <c r="A128" s="212"/>
    </row>
    <row r="129" spans="1:1" ht="19.95" customHeight="1">
      <c r="A129" s="212"/>
    </row>
    <row r="130" spans="1:1" ht="19.95" customHeight="1">
      <c r="A130" s="212"/>
    </row>
    <row r="131" spans="1:1" ht="19.95" customHeight="1">
      <c r="A131" s="212"/>
    </row>
    <row r="132" spans="1:1" ht="19.95" customHeight="1">
      <c r="A132" s="212"/>
    </row>
    <row r="133" spans="1:1" ht="19.95" customHeight="1">
      <c r="A133" s="212"/>
    </row>
    <row r="134" spans="1:1" ht="19.95" customHeight="1">
      <c r="A134" s="212"/>
    </row>
    <row r="135" spans="1:1" ht="19.95" customHeight="1">
      <c r="A135" s="212"/>
    </row>
    <row r="136" spans="1:1" ht="19.95" customHeight="1">
      <c r="A136" s="212"/>
    </row>
    <row r="137" spans="1:1" ht="19.95" customHeight="1">
      <c r="A137" s="212"/>
    </row>
    <row r="138" spans="1:1" ht="19.95" customHeight="1">
      <c r="A138" s="212"/>
    </row>
    <row r="139" spans="1:1" ht="19.95" customHeight="1">
      <c r="A139" s="212"/>
    </row>
    <row r="140" spans="1:1" ht="19.95" customHeight="1">
      <c r="A140" s="212"/>
    </row>
    <row r="141" spans="1:1" ht="19.95" customHeight="1">
      <c r="A141" s="212"/>
    </row>
    <row r="142" spans="1:1" ht="19.95" customHeight="1">
      <c r="A142" s="212"/>
    </row>
    <row r="143" spans="1:1" ht="19.95" customHeight="1">
      <c r="A143" s="212"/>
    </row>
    <row r="144" spans="1:1" ht="19.95" customHeight="1">
      <c r="A144" s="212"/>
    </row>
    <row r="145" spans="1:1" ht="19.95" customHeight="1">
      <c r="A145" s="212"/>
    </row>
    <row r="146" spans="1:1" ht="19.95" customHeight="1">
      <c r="A146" s="212"/>
    </row>
    <row r="147" spans="1:1" ht="19.95" customHeight="1">
      <c r="A147" s="212"/>
    </row>
    <row r="148" spans="1:1" ht="19.95" customHeight="1">
      <c r="A148" s="212"/>
    </row>
    <row r="149" spans="1:1" ht="19.95" customHeight="1">
      <c r="A149" s="212"/>
    </row>
    <row r="150" spans="1:1" ht="19.95" customHeight="1">
      <c r="A150" s="212"/>
    </row>
    <row r="151" spans="1:1" ht="19.95" customHeight="1">
      <c r="A151" s="212"/>
    </row>
    <row r="152" spans="1:1" ht="19.95" customHeight="1">
      <c r="A152" s="212"/>
    </row>
    <row r="153" spans="1:1" ht="19.95" customHeight="1">
      <c r="A153" s="212"/>
    </row>
    <row r="154" spans="1:1" ht="19.95" customHeight="1">
      <c r="A154" s="212"/>
    </row>
    <row r="155" spans="1:1" ht="19.95" customHeight="1">
      <c r="A155" s="212"/>
    </row>
    <row r="156" spans="1:1" ht="19.95" customHeight="1">
      <c r="A156" s="212"/>
    </row>
    <row r="157" spans="1:1" ht="19.95" customHeight="1">
      <c r="A157" s="212"/>
    </row>
    <row r="158" spans="1:1" ht="19.95" customHeight="1">
      <c r="A158" s="212"/>
    </row>
    <row r="159" spans="1:1" ht="19.95" customHeight="1">
      <c r="A159" s="212"/>
    </row>
    <row r="160" spans="1:1" ht="19.95" customHeight="1">
      <c r="A160" s="212"/>
    </row>
    <row r="161" spans="1:1" ht="19.95" customHeight="1">
      <c r="A161" s="212"/>
    </row>
    <row r="162" spans="1:1" ht="19.95" customHeight="1">
      <c r="A162" s="212"/>
    </row>
    <row r="163" spans="1:1" ht="19.95" customHeight="1">
      <c r="A163" s="212"/>
    </row>
    <row r="164" spans="1:1" ht="19.95" customHeight="1">
      <c r="A164" s="212"/>
    </row>
    <row r="165" spans="1:1" ht="19.95" customHeight="1">
      <c r="A165" s="212"/>
    </row>
    <row r="166" spans="1:1" ht="19.95" customHeight="1">
      <c r="A166" s="212"/>
    </row>
    <row r="167" spans="1:1" ht="19.95" customHeight="1">
      <c r="A167" s="212"/>
    </row>
    <row r="168" spans="1:1" ht="19.95" customHeight="1">
      <c r="A168" s="212"/>
    </row>
    <row r="169" spans="1:1" ht="19.95" customHeight="1">
      <c r="A169" s="212"/>
    </row>
    <row r="170" spans="1:1" ht="19.95" customHeight="1">
      <c r="A170" s="212"/>
    </row>
    <row r="171" spans="1:1" ht="19.95" customHeight="1">
      <c r="A171" s="212"/>
    </row>
    <row r="172" spans="1:1" ht="19.95" customHeight="1">
      <c r="A172" s="212"/>
    </row>
    <row r="173" spans="1:1" ht="19.95" customHeight="1">
      <c r="A173" s="212"/>
    </row>
    <row r="174" spans="1:1" ht="19.95" customHeight="1">
      <c r="A174" s="212"/>
    </row>
    <row r="175" spans="1:1" ht="19.95" customHeight="1">
      <c r="A175" s="212"/>
    </row>
    <row r="176" spans="1:1" ht="19.95" customHeight="1">
      <c r="A176" s="212"/>
    </row>
    <row r="177" spans="1:1" ht="19.95" customHeight="1">
      <c r="A177" s="212"/>
    </row>
    <row r="178" spans="1:1" ht="19.95" customHeight="1">
      <c r="A178" s="212"/>
    </row>
    <row r="179" spans="1:1" ht="19.95" customHeight="1">
      <c r="A179" s="212"/>
    </row>
    <row r="180" spans="1:1" ht="19.95" customHeight="1">
      <c r="A180" s="212"/>
    </row>
    <row r="181" spans="1:1" ht="19.95" customHeight="1">
      <c r="A181" s="212"/>
    </row>
    <row r="182" spans="1:1" ht="19.95" customHeight="1">
      <c r="A182" s="212"/>
    </row>
    <row r="183" spans="1:1" ht="19.95" customHeight="1">
      <c r="A183" s="212"/>
    </row>
    <row r="184" spans="1:1" ht="19.95" customHeight="1">
      <c r="A184" s="212"/>
    </row>
    <row r="185" spans="1:1" ht="19.95" customHeight="1">
      <c r="A185" s="212"/>
    </row>
    <row r="186" spans="1:1" ht="19.95" customHeight="1">
      <c r="A186" s="212"/>
    </row>
    <row r="187" spans="1:1" ht="19.95" customHeight="1">
      <c r="A187" s="212"/>
    </row>
    <row r="188" spans="1:1" ht="19.95" customHeight="1">
      <c r="A188" s="212"/>
    </row>
    <row r="189" spans="1:1" ht="19.95" customHeight="1">
      <c r="A189" s="212"/>
    </row>
    <row r="190" spans="1:1" ht="19.95" customHeight="1">
      <c r="A190" s="212"/>
    </row>
    <row r="191" spans="1:1" ht="19.95" customHeight="1">
      <c r="A191" s="212"/>
    </row>
    <row r="192" spans="1:1" ht="19.95" customHeight="1">
      <c r="A192" s="212"/>
    </row>
    <row r="193" spans="1:1" ht="19.95" customHeight="1">
      <c r="A193" s="212"/>
    </row>
    <row r="194" spans="1:1" ht="19.95" customHeight="1">
      <c r="A194" s="212"/>
    </row>
    <row r="195" spans="1:1" ht="19.95" customHeight="1">
      <c r="A195" s="212"/>
    </row>
    <row r="196" spans="1:1" ht="19.95" customHeight="1">
      <c r="A196" s="212"/>
    </row>
    <row r="197" spans="1:1" ht="19.95" customHeight="1">
      <c r="A197" s="212"/>
    </row>
    <row r="198" spans="1:1" ht="19.95" customHeight="1">
      <c r="A198" s="212"/>
    </row>
    <row r="199" spans="1:1" ht="19.95" customHeight="1">
      <c r="A199" s="212"/>
    </row>
    <row r="200" spans="1:1" ht="19.95" customHeight="1">
      <c r="A200" s="212"/>
    </row>
    <row r="201" spans="1:1" ht="19.95" customHeight="1">
      <c r="A201" s="212"/>
    </row>
    <row r="202" spans="1:1" ht="19.95" customHeight="1">
      <c r="A202" s="212"/>
    </row>
    <row r="203" spans="1:1" ht="19.95" customHeight="1">
      <c r="A203" s="212"/>
    </row>
    <row r="204" spans="1:1" ht="19.95" customHeight="1">
      <c r="A204" s="212"/>
    </row>
    <row r="205" spans="1:1" ht="19.95" customHeight="1">
      <c r="A205" s="212"/>
    </row>
    <row r="206" spans="1:1" ht="19.95" customHeight="1">
      <c r="A206" s="212"/>
    </row>
    <row r="207" spans="1:1" ht="19.95" customHeight="1">
      <c r="A207" s="212"/>
    </row>
    <row r="208" spans="1:1" ht="19.95" customHeight="1">
      <c r="A208" s="212"/>
    </row>
    <row r="209" spans="1:1" ht="19.95" customHeight="1">
      <c r="A209" s="212"/>
    </row>
    <row r="210" spans="1:1" ht="19.95" customHeight="1">
      <c r="A210" s="212"/>
    </row>
    <row r="211" spans="1:1" ht="19.95" customHeight="1">
      <c r="A211" s="212"/>
    </row>
    <row r="212" spans="1:1" ht="19.95" customHeight="1">
      <c r="A212" s="212"/>
    </row>
    <row r="213" spans="1:1" ht="19.95" customHeight="1">
      <c r="A213" s="212"/>
    </row>
    <row r="214" spans="1:1" ht="19.95" customHeight="1">
      <c r="A214" s="212"/>
    </row>
    <row r="215" spans="1:1" ht="19.95" customHeight="1">
      <c r="A215" s="212"/>
    </row>
    <row r="216" spans="1:1" ht="19.95" customHeight="1">
      <c r="A216" s="212"/>
    </row>
    <row r="217" spans="1:1" ht="19.95" customHeight="1">
      <c r="A217" s="212"/>
    </row>
    <row r="218" spans="1:1" ht="19.95" customHeight="1">
      <c r="A218" s="212"/>
    </row>
    <row r="219" spans="1:1" ht="19.95" customHeight="1">
      <c r="A219" s="212"/>
    </row>
    <row r="220" spans="1:1" ht="19.95" customHeight="1">
      <c r="A220" s="212"/>
    </row>
    <row r="221" spans="1:1" ht="19.95" customHeight="1">
      <c r="A221" s="212"/>
    </row>
    <row r="222" spans="1:1" ht="19.95" customHeight="1">
      <c r="A222" s="212"/>
    </row>
    <row r="223" spans="1:1" ht="19.95" customHeight="1">
      <c r="A223" s="212"/>
    </row>
    <row r="224" spans="1:1" ht="19.95" customHeight="1">
      <c r="A224" s="212"/>
    </row>
    <row r="225" spans="1:1" ht="19.95" customHeight="1">
      <c r="A225" s="212"/>
    </row>
    <row r="226" spans="1:1" ht="19.95" customHeight="1">
      <c r="A226" s="212"/>
    </row>
    <row r="227" spans="1:1" ht="19.95" customHeight="1">
      <c r="A227" s="212"/>
    </row>
    <row r="228" spans="1:1" ht="19.95" customHeight="1">
      <c r="A228" s="212"/>
    </row>
    <row r="229" spans="1:1" ht="19.95" customHeight="1">
      <c r="A229" s="212"/>
    </row>
    <row r="230" spans="1:1" ht="19.95" customHeight="1">
      <c r="A230" s="212"/>
    </row>
    <row r="231" spans="1:1" ht="19.95" customHeight="1">
      <c r="A231" s="212"/>
    </row>
    <row r="232" spans="1:1" ht="19.95" customHeight="1">
      <c r="A232" s="212"/>
    </row>
    <row r="233" spans="1:1" ht="19.95" customHeight="1">
      <c r="A233" s="212"/>
    </row>
    <row r="234" spans="1:1" ht="19.95" customHeight="1">
      <c r="A234" s="212"/>
    </row>
    <row r="235" spans="1:1" ht="19.95" customHeight="1">
      <c r="A235" s="212"/>
    </row>
    <row r="236" spans="1:1" ht="19.95" customHeight="1">
      <c r="A236" s="212"/>
    </row>
    <row r="237" spans="1:1" ht="19.95" customHeight="1">
      <c r="A237" s="212"/>
    </row>
    <row r="238" spans="1:1" ht="19.95" customHeight="1">
      <c r="A238" s="212"/>
    </row>
    <row r="239" spans="1:1" ht="19.95" customHeight="1">
      <c r="A239" s="212"/>
    </row>
    <row r="240" spans="1:1" ht="19.95" customHeight="1">
      <c r="A240" s="212"/>
    </row>
    <row r="241" spans="1:1" ht="19.95" customHeight="1">
      <c r="A241" s="212"/>
    </row>
    <row r="242" spans="1:1" ht="19.95" customHeight="1">
      <c r="A242" s="212"/>
    </row>
    <row r="243" spans="1:1" ht="19.95" customHeight="1">
      <c r="A243" s="212"/>
    </row>
    <row r="244" spans="1:1" ht="19.95" customHeight="1">
      <c r="A244" s="212"/>
    </row>
    <row r="245" spans="1:1" ht="19.95" customHeight="1">
      <c r="A245" s="212"/>
    </row>
    <row r="246" spans="1:1" ht="19.95" customHeight="1">
      <c r="A246" s="212"/>
    </row>
    <row r="247" spans="1:1" ht="19.95" customHeight="1">
      <c r="A247" s="212"/>
    </row>
    <row r="248" spans="1:1" ht="19.95" customHeight="1">
      <c r="A248" s="212"/>
    </row>
    <row r="249" spans="1:1" ht="19.95" customHeight="1">
      <c r="A249" s="212"/>
    </row>
    <row r="250" spans="1:1" ht="19.95" customHeight="1">
      <c r="A250" s="212"/>
    </row>
    <row r="251" spans="1:1" ht="19.95" customHeight="1">
      <c r="A251" s="212"/>
    </row>
    <row r="252" spans="1:1" ht="19.95" customHeight="1">
      <c r="A252" s="212"/>
    </row>
    <row r="253" spans="1:1" ht="19.95" customHeight="1">
      <c r="A253" s="212"/>
    </row>
    <row r="254" spans="1:1" ht="19.95" customHeight="1">
      <c r="A254" s="212"/>
    </row>
    <row r="255" spans="1:1" ht="19.95" customHeight="1">
      <c r="A255" s="212"/>
    </row>
    <row r="256" spans="1:1" ht="19.95" customHeight="1">
      <c r="A256" s="212"/>
    </row>
    <row r="257" spans="1:1" ht="19.95" customHeight="1">
      <c r="A257" s="212"/>
    </row>
    <row r="258" spans="1:1" ht="19.95" customHeight="1">
      <c r="A258" s="212"/>
    </row>
    <row r="259" spans="1:1" ht="19.95" customHeight="1">
      <c r="A259" s="212"/>
    </row>
    <row r="260" spans="1:1" ht="19.95" customHeight="1">
      <c r="A260" s="212"/>
    </row>
    <row r="261" spans="1:1" ht="19.95" customHeight="1">
      <c r="A261" s="212"/>
    </row>
    <row r="262" spans="1:1" ht="19.95" customHeight="1">
      <c r="A262" s="212"/>
    </row>
    <row r="263" spans="1:1" ht="19.95" customHeight="1">
      <c r="A263" s="212"/>
    </row>
    <row r="264" spans="1:1" ht="19.95" customHeight="1">
      <c r="A264" s="212"/>
    </row>
    <row r="265" spans="1:1" ht="19.95" customHeight="1">
      <c r="A265" s="212"/>
    </row>
    <row r="266" spans="1:1" ht="19.95" customHeight="1">
      <c r="A266" s="212"/>
    </row>
    <row r="267" spans="1:1" ht="19.95" customHeight="1">
      <c r="A267" s="212"/>
    </row>
    <row r="268" spans="1:1" ht="19.95" customHeight="1">
      <c r="A268" s="212"/>
    </row>
    <row r="269" spans="1:1" ht="19.95" customHeight="1">
      <c r="A269" s="212"/>
    </row>
    <row r="270" spans="1:1" ht="19.95" customHeight="1">
      <c r="A270" s="212"/>
    </row>
    <row r="271" spans="1:1" ht="19.95" customHeight="1">
      <c r="A271" s="212"/>
    </row>
    <row r="272" spans="1:1" ht="19.95" customHeight="1">
      <c r="A272" s="212"/>
    </row>
    <row r="273" spans="1:1" ht="19.95" customHeight="1">
      <c r="A273" s="212"/>
    </row>
    <row r="274" spans="1:1" ht="19.95" customHeight="1">
      <c r="A274" s="212"/>
    </row>
    <row r="275" spans="1:1" ht="19.95" customHeight="1">
      <c r="A275" s="212"/>
    </row>
    <row r="276" spans="1:1" ht="19.95" customHeight="1">
      <c r="A276" s="212"/>
    </row>
    <row r="277" spans="1:1" ht="19.95" customHeight="1">
      <c r="A277" s="212"/>
    </row>
    <row r="278" spans="1:1" ht="19.95" customHeight="1">
      <c r="A278" s="212"/>
    </row>
    <row r="279" spans="1:1" ht="19.95" customHeight="1">
      <c r="A279" s="212"/>
    </row>
    <row r="280" spans="1:1" ht="19.95" customHeight="1">
      <c r="A280" s="212"/>
    </row>
    <row r="281" spans="1:1" ht="19.95" customHeight="1">
      <c r="A281" s="212"/>
    </row>
    <row r="282" spans="1:1" ht="19.95" customHeight="1">
      <c r="A282" s="212"/>
    </row>
    <row r="283" spans="1:1" ht="19.95" customHeight="1">
      <c r="A283" s="212"/>
    </row>
    <row r="284" spans="1:1" ht="19.95" customHeight="1">
      <c r="A284" s="212"/>
    </row>
    <row r="285" spans="1:1" ht="19.95" customHeight="1">
      <c r="A285" s="212"/>
    </row>
    <row r="286" spans="1:1" ht="19.95" customHeight="1">
      <c r="A286" s="212"/>
    </row>
    <row r="287" spans="1:1" ht="19.95" customHeight="1">
      <c r="A287" s="212"/>
    </row>
    <row r="288" spans="1:1" ht="19.95" customHeight="1">
      <c r="A288" s="212"/>
    </row>
    <row r="289" spans="1:1" ht="19.95" customHeight="1">
      <c r="A289" s="212"/>
    </row>
    <row r="290" spans="1:1" ht="19.95" customHeight="1">
      <c r="A290" s="212"/>
    </row>
    <row r="291" spans="1:1" ht="19.95" customHeight="1">
      <c r="A291" s="212"/>
    </row>
    <row r="292" spans="1:1" ht="19.95" customHeight="1">
      <c r="A292" s="212"/>
    </row>
    <row r="293" spans="1:1" ht="19.95" customHeight="1">
      <c r="A293" s="212"/>
    </row>
    <row r="294" spans="1:1" ht="19.95" customHeight="1">
      <c r="A294" s="212"/>
    </row>
    <row r="295" spans="1:1" ht="19.95" customHeight="1">
      <c r="A295" s="212"/>
    </row>
    <row r="296" spans="1:1" ht="19.95" customHeight="1">
      <c r="A296" s="212"/>
    </row>
    <row r="297" spans="1:1" ht="19.95" customHeight="1">
      <c r="A297" s="212"/>
    </row>
    <row r="298" spans="1:1" ht="19.95" customHeight="1">
      <c r="A298" s="212"/>
    </row>
    <row r="299" spans="1:1" ht="19.95" customHeight="1">
      <c r="A299" s="212"/>
    </row>
    <row r="300" spans="1:1" ht="19.95" customHeight="1">
      <c r="A300" s="212"/>
    </row>
    <row r="301" spans="1:1" ht="19.95" customHeight="1">
      <c r="A301" s="212"/>
    </row>
    <row r="302" spans="1:1" ht="19.95" customHeight="1">
      <c r="A302" s="212"/>
    </row>
    <row r="303" spans="1:1" ht="19.95" customHeight="1">
      <c r="A303" s="212"/>
    </row>
    <row r="304" spans="1:1" ht="19.95" customHeight="1">
      <c r="A304" s="212"/>
    </row>
    <row r="305" ht="19.95" customHeight="1"/>
    <row r="306" ht="19.95" customHeight="1"/>
    <row r="307" ht="19.95" customHeight="1"/>
    <row r="308" ht="19.95" customHeight="1"/>
    <row r="309" ht="19.95" customHeight="1"/>
    <row r="310" ht="19.95" customHeight="1"/>
    <row r="311" ht="19.95" customHeight="1"/>
    <row r="312" ht="19.95" customHeight="1"/>
    <row r="313" ht="19.95" customHeight="1"/>
    <row r="314" ht="19.95" customHeight="1"/>
    <row r="315" ht="19.95" customHeight="1"/>
    <row r="316" ht="19.95" customHeight="1"/>
    <row r="317" ht="19.95" customHeight="1"/>
    <row r="318" ht="19.95" customHeight="1"/>
    <row r="319" ht="19.95" customHeight="1"/>
    <row r="320" ht="19.95" customHeight="1"/>
    <row r="321" ht="19.95" customHeight="1"/>
    <row r="322" ht="19.95" customHeight="1"/>
    <row r="323" ht="19.95" customHeight="1"/>
    <row r="324" ht="19.95" customHeight="1"/>
    <row r="325" ht="19.95" customHeight="1"/>
    <row r="326" ht="19.95" customHeight="1"/>
    <row r="327" ht="19.95" customHeight="1"/>
    <row r="328" ht="19.95" customHeight="1"/>
    <row r="329" ht="19.95" customHeight="1"/>
    <row r="330" ht="19.95" customHeight="1"/>
    <row r="331" ht="19.95" customHeight="1"/>
    <row r="332" ht="19.95" customHeight="1"/>
    <row r="333" ht="19.95" customHeight="1"/>
    <row r="334" ht="19.95" customHeight="1"/>
    <row r="335" ht="19.95" customHeight="1"/>
    <row r="336" ht="19.95" customHeight="1"/>
    <row r="337" ht="19.95" customHeight="1"/>
    <row r="338" ht="19.95" customHeight="1"/>
    <row r="339" ht="19.95" customHeight="1"/>
    <row r="340" ht="19.95" customHeight="1"/>
    <row r="341" ht="19.95" customHeight="1"/>
    <row r="342" ht="19.95" customHeight="1"/>
    <row r="343" ht="19.95" customHeight="1"/>
    <row r="344" ht="19.95" customHeight="1"/>
    <row r="345" ht="19.95" customHeight="1"/>
    <row r="346" ht="19.95" customHeight="1"/>
    <row r="347" ht="19.95" customHeight="1"/>
    <row r="348" ht="19.95" customHeight="1"/>
    <row r="349" ht="19.95" customHeight="1"/>
    <row r="350" ht="19.95" customHeight="1"/>
    <row r="351" ht="19.95" customHeight="1"/>
    <row r="352" ht="19.95" customHeight="1"/>
    <row r="353" ht="19.95" customHeight="1"/>
    <row r="354" ht="19.95" customHeight="1"/>
    <row r="355" ht="19.95" customHeight="1"/>
    <row r="356" ht="19.95" customHeight="1"/>
    <row r="357" ht="19.95" customHeight="1"/>
    <row r="358" ht="19.95" customHeight="1"/>
    <row r="359" ht="19.95" customHeight="1"/>
    <row r="360" ht="19.95" customHeight="1"/>
    <row r="361" ht="19.95" customHeight="1"/>
    <row r="362" ht="19.95" customHeight="1"/>
    <row r="363" ht="19.95" customHeight="1"/>
    <row r="364" ht="19.95" customHeight="1"/>
    <row r="365" ht="19.95" customHeight="1"/>
    <row r="366" ht="19.95" customHeight="1"/>
    <row r="367" ht="19.95" customHeight="1"/>
    <row r="368" ht="19.95" customHeight="1"/>
    <row r="369" ht="19.95" customHeight="1"/>
    <row r="370" ht="19.95" customHeight="1"/>
    <row r="371" ht="19.95" customHeight="1"/>
    <row r="372" ht="19.95" customHeight="1"/>
    <row r="373" ht="19.95" customHeight="1"/>
    <row r="374" ht="19.95" customHeight="1"/>
    <row r="375" ht="19.95" customHeight="1"/>
    <row r="376" ht="19.95" customHeight="1"/>
    <row r="377" ht="19.95" customHeight="1"/>
    <row r="378" ht="19.95" customHeight="1"/>
    <row r="379" ht="19.95" customHeight="1"/>
    <row r="380" ht="19.95" customHeight="1"/>
    <row r="381" ht="19.95" customHeight="1"/>
    <row r="382" ht="19.95" customHeight="1"/>
    <row r="383" ht="19.95" customHeight="1"/>
    <row r="384" ht="19.95" customHeight="1"/>
    <row r="385" ht="19.95" customHeight="1"/>
    <row r="386" ht="19.95" customHeight="1"/>
    <row r="387" ht="19.95" customHeight="1"/>
    <row r="388" ht="19.95" customHeight="1"/>
    <row r="389" ht="19.95" customHeight="1"/>
    <row r="390" ht="19.95" customHeight="1"/>
    <row r="391" ht="19.95" customHeight="1"/>
    <row r="392" ht="19.95" customHeight="1"/>
    <row r="393" ht="19.95" customHeight="1"/>
    <row r="394" ht="19.95" customHeight="1"/>
    <row r="395" ht="19.95" customHeight="1"/>
    <row r="396" ht="19.95" customHeight="1"/>
    <row r="397" ht="19.95" customHeight="1"/>
    <row r="398" ht="19.95" customHeight="1"/>
    <row r="399" ht="19.95" customHeight="1"/>
    <row r="400" ht="19.95" customHeight="1"/>
    <row r="401" ht="19.95" customHeight="1"/>
    <row r="402" ht="19.95" customHeight="1"/>
    <row r="403" ht="19.95" customHeight="1"/>
    <row r="404" ht="19.95" customHeight="1"/>
    <row r="405" ht="19.95" customHeight="1"/>
    <row r="406" ht="19.95" customHeight="1"/>
    <row r="407" ht="19.95" customHeight="1"/>
    <row r="408" ht="19.95" customHeight="1"/>
    <row r="409" ht="19.95" customHeight="1"/>
    <row r="410" ht="19.95" customHeight="1"/>
    <row r="411" ht="19.95" customHeight="1"/>
    <row r="412" ht="19.95" customHeight="1"/>
    <row r="413" ht="19.95" customHeight="1"/>
    <row r="414" ht="19.95" customHeight="1"/>
    <row r="415" ht="19.95" customHeight="1"/>
    <row r="416" ht="19.95" customHeight="1"/>
    <row r="417" ht="19.95" customHeight="1"/>
    <row r="418" ht="19.95" customHeight="1"/>
    <row r="419" ht="19.95" customHeight="1"/>
    <row r="420" ht="19.95" customHeight="1"/>
    <row r="421" ht="19.95" customHeight="1"/>
    <row r="422" ht="19.95" customHeight="1"/>
    <row r="423" ht="19.95" customHeight="1"/>
    <row r="424" ht="19.95" customHeight="1"/>
    <row r="425" ht="19.95" customHeight="1"/>
    <row r="426" ht="19.95" customHeight="1"/>
    <row r="427" ht="19.95" customHeight="1"/>
    <row r="428" ht="19.95" customHeight="1"/>
    <row r="429" ht="19.95" customHeight="1"/>
    <row r="430" ht="19.95" customHeight="1"/>
    <row r="431" ht="19.95" customHeight="1"/>
    <row r="432" ht="19.95" customHeight="1"/>
    <row r="433" ht="19.95" customHeight="1"/>
    <row r="434" ht="19.95" customHeight="1"/>
    <row r="435" ht="19.95" customHeight="1"/>
    <row r="436" ht="19.95" customHeight="1"/>
    <row r="437" ht="19.95" customHeight="1"/>
    <row r="438" ht="19.95" customHeight="1"/>
    <row r="439" ht="19.95" customHeight="1"/>
    <row r="440" ht="19.95" customHeight="1"/>
    <row r="441" ht="19.95" customHeight="1"/>
  </sheetData>
  <pageMargins left="0.7" right="0.7" top="0.78740157499999996" bottom="0.78740157499999996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1"/>
  <dimension ref="A1:Y27"/>
  <sheetViews>
    <sheetView zoomScaleNormal="100" workbookViewId="0">
      <selection activeCell="S7" sqref="S7"/>
    </sheetView>
  </sheetViews>
  <sheetFormatPr baseColWidth="10" defaultColWidth="11.6640625" defaultRowHeight="22.95" customHeight="1"/>
  <cols>
    <col min="1" max="1" width="16.44140625" style="56" bestFit="1" customWidth="1"/>
    <col min="2" max="2" width="10" style="7" bestFit="1" customWidth="1"/>
    <col min="3" max="4" width="6.6640625" style="55" customWidth="1"/>
    <col min="5" max="7" width="6.6640625" style="4" customWidth="1"/>
    <col min="8" max="11" width="8.6640625" style="4" customWidth="1"/>
    <col min="12" max="12" width="11.6640625" style="4"/>
    <col min="13" max="17" width="11.6640625" style="44"/>
    <col min="18" max="18" width="8.88671875" style="44" customWidth="1"/>
    <col min="19" max="21" width="11.6640625" style="44"/>
    <col min="22" max="22" width="9.5546875" style="44" customWidth="1"/>
    <col min="23" max="23" width="14.44140625" style="44" customWidth="1"/>
    <col min="24" max="16384" width="11.6640625" style="44"/>
  </cols>
  <sheetData>
    <row r="1" spans="1:25" s="45" customFormat="1" ht="22.95" customHeight="1">
      <c r="A1" s="363">
        <f>COUNTIF(D$4:Q$17,"X")</f>
        <v>35</v>
      </c>
      <c r="B1" s="359" t="s">
        <v>135</v>
      </c>
      <c r="C1" s="360"/>
      <c r="D1" s="79" t="s">
        <v>110</v>
      </c>
      <c r="E1" s="80" t="s">
        <v>111</v>
      </c>
      <c r="F1" s="80" t="s">
        <v>123</v>
      </c>
      <c r="G1" s="80" t="s">
        <v>124</v>
      </c>
      <c r="H1" s="80" t="s">
        <v>127</v>
      </c>
      <c r="I1" s="80" t="s">
        <v>127</v>
      </c>
      <c r="J1" s="80" t="s">
        <v>127</v>
      </c>
      <c r="K1" s="80" t="s">
        <v>127</v>
      </c>
      <c r="L1" s="80" t="s">
        <v>117</v>
      </c>
      <c r="M1" s="80" t="s">
        <v>117</v>
      </c>
      <c r="N1" s="80" t="s">
        <v>12</v>
      </c>
      <c r="O1" s="80" t="s">
        <v>12</v>
      </c>
      <c r="P1" s="80" t="s">
        <v>13</v>
      </c>
      <c r="Q1" s="80" t="s">
        <v>118</v>
      </c>
      <c r="R1" s="45" t="s">
        <v>118</v>
      </c>
      <c r="S1" s="45" t="s">
        <v>119</v>
      </c>
      <c r="T1" s="45" t="s">
        <v>119</v>
      </c>
      <c r="U1" s="45" t="s">
        <v>112</v>
      </c>
      <c r="V1" s="45" t="s">
        <v>44</v>
      </c>
      <c r="W1" s="45" t="s">
        <v>121</v>
      </c>
    </row>
    <row r="2" spans="1:25" s="43" customFormat="1" ht="22.95" customHeight="1">
      <c r="A2" s="364"/>
      <c r="B2" s="72"/>
      <c r="C2" s="71"/>
      <c r="D2" s="80" t="s">
        <v>120</v>
      </c>
      <c r="E2" s="80" t="s">
        <v>120</v>
      </c>
      <c r="F2" s="80" t="s">
        <v>120</v>
      </c>
      <c r="G2" s="80" t="s">
        <v>120</v>
      </c>
      <c r="H2" s="80" t="s">
        <v>126</v>
      </c>
      <c r="I2" s="80" t="s">
        <v>128</v>
      </c>
      <c r="J2" s="80" t="s">
        <v>129</v>
      </c>
      <c r="K2" s="80" t="s">
        <v>130</v>
      </c>
      <c r="L2" s="80" t="s">
        <v>113</v>
      </c>
      <c r="M2" s="80" t="s">
        <v>114</v>
      </c>
      <c r="N2" s="80" t="s">
        <v>113</v>
      </c>
      <c r="O2" s="80" t="s">
        <v>114</v>
      </c>
      <c r="P2" s="80" t="s">
        <v>132</v>
      </c>
      <c r="Q2" s="80" t="s">
        <v>115</v>
      </c>
      <c r="R2" s="43" t="s">
        <v>116</v>
      </c>
      <c r="S2" s="43" t="s">
        <v>113</v>
      </c>
      <c r="T2" s="43" t="s">
        <v>114</v>
      </c>
    </row>
    <row r="3" spans="1:25" s="43" customFormat="1" ht="22.95" customHeight="1">
      <c r="A3" s="361" t="s">
        <v>131</v>
      </c>
      <c r="B3" s="362"/>
      <c r="C3" s="73"/>
      <c r="D3" s="73" t="s">
        <v>133</v>
      </c>
      <c r="E3" s="74" t="s">
        <v>134</v>
      </c>
      <c r="F3" s="70" t="s">
        <v>134</v>
      </c>
      <c r="G3" s="74" t="s">
        <v>133</v>
      </c>
      <c r="H3" s="74" t="s">
        <v>133</v>
      </c>
      <c r="I3" s="74" t="s">
        <v>133</v>
      </c>
      <c r="J3" s="74" t="s">
        <v>134</v>
      </c>
      <c r="K3" s="70" t="s">
        <v>133</v>
      </c>
      <c r="L3" s="74" t="s">
        <v>134</v>
      </c>
      <c r="M3" s="74" t="s">
        <v>134</v>
      </c>
      <c r="N3" s="74" t="s">
        <v>134</v>
      </c>
      <c r="O3" s="74" t="s">
        <v>134</v>
      </c>
      <c r="P3" s="74" t="s">
        <v>134</v>
      </c>
      <c r="Q3" s="74" t="s">
        <v>134</v>
      </c>
    </row>
    <row r="4" spans="1:25" s="50" customFormat="1" ht="22.95" customHeight="1">
      <c r="A4" s="75" t="str" cm="1">
        <f t="array" ref="A4">INDEX($1:$1, ROW())</f>
        <v>RD1</v>
      </c>
      <c r="B4" s="76" t="str" cm="1">
        <f t="array" ref="B4">INDEX($2:$2, ROW())</f>
        <v/>
      </c>
      <c r="C4" s="73" t="s">
        <v>134</v>
      </c>
      <c r="D4" s="51"/>
      <c r="E4" s="49"/>
      <c r="F4" s="61" t="s">
        <v>125</v>
      </c>
      <c r="G4" s="49"/>
      <c r="H4" s="49"/>
      <c r="I4" s="49"/>
      <c r="J4" s="67" t="s">
        <v>72</v>
      </c>
      <c r="K4" s="68" t="s">
        <v>125</v>
      </c>
      <c r="L4" s="49" t="s">
        <v>72</v>
      </c>
      <c r="M4" s="49" t="s">
        <v>72</v>
      </c>
      <c r="N4" s="64" t="s">
        <v>72</v>
      </c>
      <c r="O4" s="49"/>
      <c r="P4" s="49"/>
      <c r="Q4" s="49"/>
      <c r="R4" s="62"/>
      <c r="S4" s="62"/>
      <c r="T4" s="62"/>
      <c r="U4" s="62"/>
      <c r="V4" s="62"/>
      <c r="W4" s="57"/>
      <c r="X4" s="57"/>
      <c r="Y4" s="57"/>
    </row>
    <row r="5" spans="1:25" ht="22.95" customHeight="1">
      <c r="A5" s="75" t="str" cm="1">
        <f t="array" ref="A5">INDEX($1:$1, ROW())</f>
        <v>RD2</v>
      </c>
      <c r="B5" s="76" t="str" cm="1">
        <f t="array" ref="B5">INDEX($2:$2, ROW())</f>
        <v/>
      </c>
      <c r="C5" s="73" t="s">
        <v>133</v>
      </c>
      <c r="D5" s="52" t="s">
        <v>72</v>
      </c>
      <c r="E5" s="48"/>
      <c r="F5" s="48"/>
      <c r="G5" s="48"/>
      <c r="H5" s="68" t="s">
        <v>125</v>
      </c>
      <c r="I5" s="69" t="s">
        <v>72</v>
      </c>
      <c r="J5" s="48"/>
      <c r="K5" s="48"/>
      <c r="L5" s="48"/>
      <c r="M5" s="48"/>
      <c r="N5" s="48"/>
      <c r="O5" s="48"/>
      <c r="P5" s="48"/>
      <c r="Q5" s="48"/>
      <c r="R5" s="46"/>
      <c r="S5" s="46"/>
      <c r="T5" s="46"/>
      <c r="U5" s="46"/>
      <c r="V5" s="46"/>
      <c r="W5" s="47"/>
      <c r="X5" s="47"/>
      <c r="Y5" s="47"/>
    </row>
    <row r="6" spans="1:25" ht="22.95" customHeight="1">
      <c r="A6" s="75" t="str" cm="1">
        <f t="array" ref="A6">INDEX($1:$1, ROW())</f>
        <v>LD1</v>
      </c>
      <c r="B6" s="76" t="str" cm="1">
        <f t="array" ref="B6">INDEX($2:$2, ROW())</f>
        <v/>
      </c>
      <c r="C6" s="73" t="s">
        <v>134</v>
      </c>
      <c r="D6" s="61" t="s">
        <v>125</v>
      </c>
      <c r="E6" s="48"/>
      <c r="F6" s="48"/>
      <c r="G6" s="48"/>
      <c r="H6" s="69" t="s">
        <v>72</v>
      </c>
      <c r="I6" s="68" t="s">
        <v>125</v>
      </c>
      <c r="J6" s="48"/>
      <c r="K6" s="48"/>
      <c r="L6" s="48"/>
      <c r="M6" s="48"/>
      <c r="N6" s="48"/>
      <c r="O6" s="48"/>
      <c r="P6" s="48"/>
      <c r="Q6" s="48"/>
      <c r="R6" s="46"/>
      <c r="T6" s="46"/>
      <c r="U6" s="46"/>
      <c r="V6" s="46"/>
      <c r="W6" s="47"/>
      <c r="X6" s="47"/>
      <c r="Y6" s="47"/>
    </row>
    <row r="7" spans="1:25" ht="22.95" customHeight="1">
      <c r="A7" s="75" t="str" cm="1">
        <f t="array" ref="A7">INDEX($1:$1, ROW())</f>
        <v>LD2</v>
      </c>
      <c r="B7" s="76" t="str" cm="1">
        <f t="array" ref="B7">INDEX($2:$2, ROW())</f>
        <v/>
      </c>
      <c r="C7" s="73" t="s">
        <v>133</v>
      </c>
      <c r="D7" s="52"/>
      <c r="E7" s="48"/>
      <c r="F7" s="48" t="s">
        <v>72</v>
      </c>
      <c r="G7" s="48"/>
      <c r="H7" s="48"/>
      <c r="I7" s="48"/>
      <c r="J7" s="68" t="s">
        <v>125</v>
      </c>
      <c r="K7" s="69" t="s">
        <v>72</v>
      </c>
      <c r="L7" s="48"/>
      <c r="M7" s="48"/>
      <c r="N7" s="48" t="s">
        <v>72</v>
      </c>
      <c r="O7" s="48"/>
      <c r="P7" s="48"/>
      <c r="Q7" s="48"/>
      <c r="R7" s="46"/>
      <c r="S7" s="46"/>
      <c r="T7" s="46"/>
      <c r="U7" s="46"/>
      <c r="V7" s="46"/>
      <c r="W7" s="47"/>
      <c r="X7" s="47"/>
      <c r="Y7" s="47"/>
    </row>
    <row r="8" spans="1:25" ht="22.95" customHeight="1">
      <c r="A8" s="75" t="str" cm="1">
        <f t="array" ref="A8">INDEX($1:$1, ROW())</f>
        <v>Übgg</v>
      </c>
      <c r="B8" s="76" t="str" cm="1">
        <f t="array" ref="B8">INDEX($2:$2, ROW())</f>
        <v>re vor</v>
      </c>
      <c r="C8" s="73" t="s">
        <v>134</v>
      </c>
      <c r="D8" s="52"/>
      <c r="E8" s="48" t="s">
        <v>72</v>
      </c>
      <c r="F8" s="61" t="s">
        <v>125</v>
      </c>
      <c r="G8" s="48"/>
      <c r="H8" s="48"/>
      <c r="I8" s="48"/>
      <c r="J8" s="65" t="s">
        <v>72</v>
      </c>
      <c r="K8" s="66" t="s">
        <v>125</v>
      </c>
      <c r="L8" s="48"/>
      <c r="M8" s="48"/>
      <c r="N8" s="61" t="s">
        <v>125</v>
      </c>
      <c r="O8" s="48"/>
      <c r="P8" s="48"/>
      <c r="Q8" s="48"/>
      <c r="R8" s="46"/>
      <c r="S8" s="46"/>
      <c r="T8" s="46"/>
      <c r="U8" s="46"/>
      <c r="V8" s="46"/>
      <c r="W8" s="47"/>
      <c r="X8" s="47"/>
      <c r="Y8" s="47"/>
    </row>
    <row r="9" spans="1:25" ht="22.95" customHeight="1">
      <c r="A9" s="75" t="str" cm="1">
        <f t="array" ref="A9">INDEX($1:$1, ROW())</f>
        <v>Übgg</v>
      </c>
      <c r="B9" s="76" t="str" cm="1">
        <f t="array" ref="B9">INDEX($2:$2, ROW())</f>
        <v>re rü</v>
      </c>
      <c r="C9" s="73" t="s">
        <v>134</v>
      </c>
      <c r="D9" s="52"/>
      <c r="E9" s="61" t="s">
        <v>125</v>
      </c>
      <c r="F9" s="48" t="s">
        <v>72</v>
      </c>
      <c r="G9" s="63"/>
      <c r="H9" s="48"/>
      <c r="I9" s="48"/>
      <c r="J9" s="66" t="s">
        <v>125</v>
      </c>
      <c r="K9" s="65" t="s">
        <v>72</v>
      </c>
      <c r="L9" s="48"/>
      <c r="M9" s="48"/>
      <c r="N9" s="48" t="s">
        <v>72</v>
      </c>
      <c r="O9" s="48"/>
      <c r="P9" s="48"/>
      <c r="Q9" s="48"/>
      <c r="R9" s="46"/>
      <c r="S9" s="46"/>
      <c r="T9" s="46"/>
      <c r="U9" s="46"/>
      <c r="V9" s="46"/>
      <c r="W9" s="47"/>
      <c r="X9" s="47"/>
      <c r="Y9" s="47"/>
    </row>
    <row r="10" spans="1:25" ht="22.95" customHeight="1">
      <c r="A10" s="75" t="str" cm="1">
        <f t="array" ref="A10">INDEX($1:$1, ROW())</f>
        <v>Übgg</v>
      </c>
      <c r="B10" s="76" t="str" cm="1">
        <f t="array" ref="B10">INDEX($2:$2, ROW())</f>
        <v>li vor</v>
      </c>
      <c r="C10" s="73" t="s">
        <v>133</v>
      </c>
      <c r="D10" s="61" t="s">
        <v>125</v>
      </c>
      <c r="E10" s="48"/>
      <c r="F10" s="48"/>
      <c r="G10" s="48" t="s">
        <v>72</v>
      </c>
      <c r="H10" s="65" t="s">
        <v>72</v>
      </c>
      <c r="I10" s="65" t="s">
        <v>72</v>
      </c>
      <c r="J10" s="48"/>
      <c r="K10" s="48"/>
      <c r="L10" s="48"/>
      <c r="M10" s="48"/>
      <c r="N10" s="48"/>
      <c r="O10" s="48"/>
      <c r="P10" s="48"/>
      <c r="Q10" s="48"/>
      <c r="R10" s="46"/>
      <c r="S10" s="46"/>
      <c r="T10" s="46"/>
      <c r="U10" s="46"/>
      <c r="V10" s="46"/>
      <c r="W10" s="47"/>
      <c r="X10" s="47"/>
      <c r="Y10" s="47"/>
    </row>
    <row r="11" spans="1:25" ht="22.95" customHeight="1">
      <c r="A11" s="75" t="str" cm="1">
        <f t="array" ref="A11">INDEX($1:$1, ROW())</f>
        <v>Übgg</v>
      </c>
      <c r="B11" s="76" t="str" cm="1">
        <f t="array" ref="B11">INDEX($2:$2, ROW())</f>
        <v>li rü</v>
      </c>
      <c r="C11" s="73" t="s">
        <v>133</v>
      </c>
      <c r="D11" s="52" t="s">
        <v>72</v>
      </c>
      <c r="E11" s="48"/>
      <c r="F11" s="48"/>
      <c r="G11" s="63" t="s">
        <v>125</v>
      </c>
      <c r="H11" s="65" t="s">
        <v>72</v>
      </c>
      <c r="I11" s="65" t="s">
        <v>72</v>
      </c>
      <c r="J11" s="48"/>
      <c r="K11" s="48"/>
      <c r="L11" s="48"/>
      <c r="M11" s="48"/>
      <c r="N11" s="48"/>
      <c r="O11" s="48"/>
      <c r="P11" s="48"/>
      <c r="Q11" s="48"/>
      <c r="R11" s="46"/>
      <c r="S11" s="46"/>
      <c r="T11" s="46"/>
      <c r="U11" s="46"/>
      <c r="V11" s="46"/>
      <c r="W11" s="47"/>
      <c r="X11" s="47"/>
      <c r="Y11" s="47"/>
    </row>
    <row r="12" spans="1:25" ht="22.95" customHeight="1">
      <c r="A12" s="75" t="str" cm="1">
        <f t="array" ref="A12">INDEX($1:$1, ROW())</f>
        <v>außenstl We</v>
      </c>
      <c r="B12" s="76" t="str" cm="1">
        <f t="array" ref="B12">INDEX($2:$2, ROW())</f>
        <v>geschl</v>
      </c>
      <c r="C12" s="73" t="s">
        <v>133</v>
      </c>
      <c r="D12" s="52" t="s">
        <v>72</v>
      </c>
      <c r="E12" s="48"/>
      <c r="F12" s="48"/>
      <c r="G12" s="48"/>
      <c r="H12" s="48"/>
      <c r="I12" s="48"/>
      <c r="J12" s="48"/>
      <c r="K12" s="48" t="s">
        <v>72</v>
      </c>
      <c r="L12" s="48"/>
      <c r="M12" s="48"/>
      <c r="N12" s="48"/>
      <c r="O12" s="48"/>
      <c r="P12" s="48"/>
      <c r="Q12" s="48"/>
      <c r="R12" s="46"/>
      <c r="S12" s="46"/>
      <c r="T12" s="46"/>
      <c r="U12" s="46"/>
      <c r="V12" s="46"/>
      <c r="W12" s="47"/>
      <c r="X12" s="47"/>
      <c r="Y12" s="47"/>
    </row>
    <row r="13" spans="1:25" ht="22.95" customHeight="1">
      <c r="A13" s="75" t="str" cm="1">
        <f t="array" ref="A13">INDEX($1:$1, ROW())</f>
        <v>außenstl We</v>
      </c>
      <c r="B13" s="76" t="str" cm="1">
        <f t="array" ref="B13">INDEX($2:$2, ROW())</f>
        <v>in PP</v>
      </c>
      <c r="C13" s="73" t="s">
        <v>133</v>
      </c>
      <c r="D13" s="52" t="s">
        <v>72</v>
      </c>
      <c r="E13" s="48"/>
      <c r="F13" s="48"/>
      <c r="G13" s="48"/>
      <c r="H13" s="48"/>
      <c r="I13" s="48"/>
      <c r="J13" s="48"/>
      <c r="K13" s="48" t="s">
        <v>72</v>
      </c>
      <c r="L13" s="48"/>
      <c r="M13" s="48"/>
      <c r="N13" s="48"/>
      <c r="O13" s="48"/>
      <c r="P13" s="48"/>
      <c r="Q13" s="48"/>
      <c r="R13" s="46"/>
      <c r="S13" s="46"/>
      <c r="T13" s="46"/>
      <c r="U13" s="46"/>
      <c r="V13" s="46"/>
      <c r="W13" s="47"/>
      <c r="X13" s="47"/>
      <c r="Y13" s="47"/>
    </row>
    <row r="14" spans="1:25" ht="22.95" customHeight="1">
      <c r="A14" s="75" t="str" cm="1">
        <f t="array" ref="A14">INDEX($1:$1, ROW())</f>
        <v>Kreisel</v>
      </c>
      <c r="B14" s="76" t="str" cm="1">
        <f t="array" ref="B14">INDEX($2:$2, ROW())</f>
        <v>geschl</v>
      </c>
      <c r="C14" s="73" t="s">
        <v>133</v>
      </c>
      <c r="D14" s="52" t="s">
        <v>72</v>
      </c>
      <c r="E14" s="48"/>
      <c r="F14" s="48"/>
      <c r="G14" s="48"/>
      <c r="H14" s="48"/>
      <c r="I14" s="48" t="s">
        <v>72</v>
      </c>
      <c r="J14" s="48"/>
      <c r="K14" s="48"/>
      <c r="L14" s="48"/>
      <c r="M14" s="48"/>
      <c r="N14" s="48"/>
      <c r="O14" s="48"/>
      <c r="P14" s="48"/>
      <c r="Q14" s="48"/>
      <c r="R14" s="46"/>
      <c r="S14" s="46"/>
      <c r="T14" s="46"/>
      <c r="U14" s="46"/>
      <c r="V14" s="46"/>
      <c r="W14" s="47"/>
      <c r="X14" s="47"/>
      <c r="Y14" s="47"/>
    </row>
    <row r="15" spans="1:25" ht="22.95" customHeight="1">
      <c r="A15" s="75" t="str" cm="1">
        <f t="array" ref="A15">INDEX($1:$1, ROW())</f>
        <v>Kreisel</v>
      </c>
      <c r="B15" s="76" t="str" cm="1">
        <f t="array" ref="B15">INDEX($2:$2, ROW())</f>
        <v>in PP</v>
      </c>
      <c r="C15" s="73" t="s">
        <v>133</v>
      </c>
      <c r="D15" s="52" t="s">
        <v>72</v>
      </c>
      <c r="E15" s="48"/>
      <c r="F15" s="48"/>
      <c r="G15" s="48"/>
      <c r="H15" s="48"/>
      <c r="I15" s="48" t="s">
        <v>72</v>
      </c>
      <c r="J15" s="48"/>
      <c r="K15" s="48"/>
      <c r="L15" s="48"/>
      <c r="M15" s="48"/>
      <c r="N15" s="48"/>
      <c r="O15" s="48"/>
      <c r="P15" s="48"/>
      <c r="Q15" s="48"/>
      <c r="R15" s="46"/>
      <c r="S15" s="46"/>
      <c r="T15" s="46"/>
      <c r="U15" s="46"/>
      <c r="V15" s="46"/>
      <c r="W15" s="47"/>
      <c r="X15" s="47"/>
      <c r="Y15" s="47"/>
    </row>
    <row r="16" spans="1:25" ht="22.95" customHeight="1">
      <c r="A16" s="75" t="str" cm="1">
        <f t="array" ref="A16">INDEX($1:$1, ROW())</f>
        <v>Wischer</v>
      </c>
      <c r="B16" s="76" t="str" cm="1">
        <f t="array" ref="B16">INDEX($2:$2, ROW())</f>
        <v>(PP)</v>
      </c>
      <c r="C16" s="73" t="s">
        <v>133</v>
      </c>
      <c r="D16" s="52"/>
      <c r="E16" s="48"/>
      <c r="F16" s="48"/>
      <c r="G16" s="48" t="s">
        <v>72</v>
      </c>
      <c r="H16" s="48" t="s">
        <v>72</v>
      </c>
      <c r="I16" s="48"/>
      <c r="J16" s="48"/>
      <c r="K16" s="48"/>
      <c r="L16" s="48"/>
      <c r="M16" s="48"/>
      <c r="N16" s="48"/>
      <c r="O16" s="48"/>
      <c r="P16" s="48"/>
      <c r="Q16" s="48"/>
      <c r="R16" s="46"/>
      <c r="S16" s="46"/>
      <c r="T16" s="46"/>
      <c r="U16" s="46"/>
      <c r="V16" s="46"/>
      <c r="W16" s="47"/>
      <c r="X16" s="47"/>
      <c r="Y16" s="47"/>
    </row>
    <row r="17" spans="1:25" ht="22.95" customHeight="1">
      <c r="A17" s="77" t="str" cm="1">
        <f t="array" ref="A17">INDEX($1:$1, ROW())</f>
        <v>Chassé</v>
      </c>
      <c r="B17" s="78" t="str" cm="1">
        <f t="array" ref="B17">INDEX($2:$2, ROW())</f>
        <v>n links</v>
      </c>
      <c r="C17" s="73" t="s">
        <v>134</v>
      </c>
      <c r="D17" s="52"/>
      <c r="E17" s="48"/>
      <c r="F17" s="48" t="s">
        <v>72</v>
      </c>
      <c r="G17" s="48"/>
      <c r="H17" s="48"/>
      <c r="I17" s="48"/>
      <c r="J17" s="48"/>
      <c r="K17" s="48"/>
      <c r="L17" s="48"/>
      <c r="M17" s="48" t="s">
        <v>72</v>
      </c>
      <c r="N17" s="48"/>
      <c r="O17" s="48" t="s">
        <v>72</v>
      </c>
      <c r="P17" s="48" t="s">
        <v>72</v>
      </c>
      <c r="Q17" s="48"/>
      <c r="R17" s="46"/>
      <c r="S17" s="46"/>
      <c r="T17" s="46"/>
      <c r="U17" s="46"/>
      <c r="V17" s="46"/>
      <c r="W17" s="47"/>
      <c r="X17" s="47"/>
      <c r="Y17" s="47"/>
    </row>
    <row r="18" spans="1:25" ht="22.95" customHeight="1">
      <c r="A18" s="56" t="str" cm="1">
        <f t="array" ref="A18">INDEX($1:$1, ROW())</f>
        <v>Chassé</v>
      </c>
      <c r="B18" s="60" t="str" cm="1">
        <f t="array" ref="B18">INDEX($2:$2, ROW())</f>
        <v>n rechts</v>
      </c>
      <c r="C18" s="54"/>
      <c r="D18" s="53" t="s">
        <v>72</v>
      </c>
      <c r="E18" s="46"/>
      <c r="F18" s="46"/>
      <c r="G18" s="46"/>
      <c r="H18" s="46"/>
      <c r="I18" s="46"/>
      <c r="J18" s="46"/>
      <c r="K18" s="46"/>
      <c r="L18" s="46"/>
      <c r="M18" s="46"/>
      <c r="N18" s="46"/>
      <c r="O18" s="46"/>
      <c r="P18" s="46"/>
      <c r="Q18" s="46"/>
      <c r="R18" s="46"/>
      <c r="S18" s="46"/>
      <c r="T18" s="46"/>
      <c r="U18" s="46"/>
      <c r="V18" s="46"/>
      <c r="W18" s="47"/>
      <c r="X18" s="47"/>
      <c r="Y18" s="47"/>
    </row>
    <row r="19" spans="1:25" ht="22.95" customHeight="1">
      <c r="A19" s="56" t="str" cm="1">
        <f t="array" ref="A19">INDEX($1:$1, ROW())</f>
        <v>Impetus</v>
      </c>
      <c r="B19" s="60" t="str" cm="1">
        <f t="array" ref="B19">INDEX($2:$2, ROW())</f>
        <v>geschl</v>
      </c>
      <c r="C19" s="54"/>
      <c r="D19" s="53" t="s">
        <v>72</v>
      </c>
      <c r="E19" s="46"/>
      <c r="F19" s="46"/>
      <c r="G19" s="46"/>
      <c r="H19" s="46"/>
      <c r="I19" s="46"/>
      <c r="J19" s="46"/>
      <c r="K19" s="46"/>
      <c r="L19" s="46"/>
      <c r="M19" s="46"/>
      <c r="N19" s="46"/>
      <c r="O19" s="46"/>
      <c r="P19" s="46"/>
      <c r="Q19" s="46"/>
      <c r="R19" s="46"/>
      <c r="S19" s="46"/>
      <c r="T19" s="46"/>
      <c r="U19" s="46"/>
      <c r="V19" s="46"/>
      <c r="W19" s="47"/>
      <c r="X19" s="47"/>
      <c r="Y19" s="47"/>
    </row>
    <row r="20" spans="1:25" ht="22.95" customHeight="1">
      <c r="A20" s="56" t="str" cm="1">
        <f t="array" ref="A20">INDEX($1:$1, ROW())</f>
        <v>Impetus</v>
      </c>
      <c r="B20" s="60" t="str" cm="1">
        <f t="array" ref="B20">INDEX($2:$2, ROW())</f>
        <v>in PP</v>
      </c>
      <c r="C20" s="54"/>
      <c r="D20" s="53" t="s">
        <v>72</v>
      </c>
      <c r="E20" s="46"/>
      <c r="F20" s="46"/>
      <c r="G20" s="46"/>
      <c r="H20" s="46"/>
      <c r="I20" s="46"/>
      <c r="J20" s="46"/>
      <c r="K20" s="46"/>
      <c r="L20" s="46"/>
      <c r="M20" s="46"/>
      <c r="N20" s="46"/>
      <c r="O20" s="46"/>
      <c r="P20" s="46"/>
      <c r="Q20" s="46"/>
      <c r="R20" s="46"/>
      <c r="S20" s="46"/>
      <c r="T20" s="46"/>
      <c r="U20" s="46"/>
      <c r="V20" s="46"/>
      <c r="W20" s="47"/>
      <c r="X20" s="47"/>
      <c r="Y20" s="47"/>
    </row>
    <row r="21" spans="1:25" ht="22.95" customHeight="1">
      <c r="A21" s="56" t="str" cm="1">
        <f t="array" ref="A21">INDEX($1:$1, ROW())</f>
        <v>Flugschritt</v>
      </c>
      <c r="B21" s="60" cm="1">
        <f t="array" ref="B21">INDEX($2:$2, ROW())</f>
        <v>0</v>
      </c>
      <c r="C21" s="54"/>
      <c r="D21" s="53"/>
      <c r="E21" s="46"/>
      <c r="F21" s="46"/>
      <c r="G21" s="46"/>
      <c r="H21" s="46"/>
      <c r="I21" s="46"/>
      <c r="J21" s="46"/>
      <c r="K21" s="46"/>
      <c r="L21" s="46"/>
      <c r="M21" s="46"/>
      <c r="N21" s="46"/>
      <c r="O21" s="46"/>
      <c r="P21" s="46"/>
      <c r="Q21" s="46"/>
      <c r="R21" s="46"/>
      <c r="S21" s="46"/>
      <c r="T21" s="46"/>
      <c r="U21" s="46"/>
      <c r="V21" s="46"/>
      <c r="W21" s="47"/>
      <c r="X21" s="47"/>
      <c r="Y21" s="47"/>
    </row>
    <row r="22" spans="1:25" ht="22.95" customHeight="1">
      <c r="A22" s="56" t="str" cm="1">
        <f t="array" ref="A22">INDEX($1:$1, ROW())</f>
        <v>Flechte</v>
      </c>
      <c r="B22" s="60" cm="1">
        <f t="array" ref="B22">INDEX($2:$2, ROW())</f>
        <v>0</v>
      </c>
      <c r="C22" s="54"/>
      <c r="D22" s="53"/>
      <c r="E22" s="46"/>
      <c r="F22" s="46"/>
      <c r="G22" s="46"/>
      <c r="H22" s="46"/>
      <c r="I22" s="46"/>
      <c r="J22" s="46"/>
      <c r="K22" s="46"/>
      <c r="L22" s="46"/>
      <c r="M22" s="46" t="s">
        <v>72</v>
      </c>
      <c r="N22" s="46"/>
      <c r="O22" s="46" t="s">
        <v>72</v>
      </c>
      <c r="P22" s="46"/>
      <c r="Q22" s="46"/>
      <c r="R22" s="46"/>
      <c r="S22" s="46"/>
      <c r="T22" s="46"/>
      <c r="U22" s="46"/>
      <c r="V22" s="46"/>
      <c r="W22" s="47"/>
      <c r="X22" s="47"/>
      <c r="Y22" s="47"/>
    </row>
    <row r="23" spans="1:25" ht="22.95" customHeight="1">
      <c r="A23" s="56" t="str" cm="1">
        <f t="array" ref="A23">INDEX($1:$1, ROW())</f>
        <v>Zögerwechsel</v>
      </c>
      <c r="B23" s="60" cm="1">
        <f t="array" ref="B23">INDEX($2:$2, ROW())</f>
        <v>0</v>
      </c>
      <c r="C23" s="54"/>
      <c r="D23" s="53" t="s">
        <v>72</v>
      </c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  <c r="Q23" s="46"/>
      <c r="R23" s="46"/>
      <c r="S23" s="46"/>
      <c r="T23" s="46"/>
      <c r="U23" s="46"/>
      <c r="V23" s="46"/>
      <c r="W23" s="47"/>
      <c r="X23" s="47"/>
      <c r="Y23" s="47"/>
    </row>
    <row r="24" spans="1:25" ht="22.95" customHeight="1">
      <c r="A24" s="56" cm="1">
        <f t="array" ref="A24">INDEX($1:$1, ROW())</f>
        <v>0</v>
      </c>
      <c r="B24" s="60" cm="1">
        <f t="array" ref="B24">INDEX($2:$2, ROW())</f>
        <v>0</v>
      </c>
      <c r="C24" s="54"/>
      <c r="D24" s="53"/>
      <c r="E24" s="46"/>
      <c r="F24" s="46"/>
      <c r="G24" s="46"/>
      <c r="H24" s="46"/>
      <c r="I24" s="46"/>
      <c r="J24" s="46"/>
      <c r="K24" s="46"/>
      <c r="L24" s="46"/>
      <c r="M24" s="46"/>
      <c r="N24" s="46"/>
      <c r="O24" s="46"/>
      <c r="P24" s="46"/>
      <c r="Q24" s="46"/>
      <c r="R24" s="46"/>
      <c r="S24" s="46"/>
      <c r="T24" s="46"/>
      <c r="U24" s="46"/>
      <c r="V24" s="46"/>
      <c r="W24" s="47"/>
      <c r="X24" s="47"/>
      <c r="Y24" s="47"/>
    </row>
    <row r="25" spans="1:25" ht="22.95" customHeight="1">
      <c r="A25" s="56" cm="1">
        <f t="array" ref="A25">INDEX($1:$1, ROW())</f>
        <v>0</v>
      </c>
      <c r="B25" s="60"/>
      <c r="C25" s="54"/>
    </row>
    <row r="27" spans="1:25" ht="22.95" customHeight="1">
      <c r="A27" s="59" t="s">
        <v>125</v>
      </c>
      <c r="B27" s="58" t="s">
        <v>122</v>
      </c>
    </row>
  </sheetData>
  <mergeCells count="3">
    <mergeCell ref="B1:C1"/>
    <mergeCell ref="A3:B3"/>
    <mergeCell ref="A1:A2"/>
  </mergeCells>
  <pageMargins left="0.70866141732283472" right="0.31496062992125984" top="0.74803149606299213" bottom="0.74803149606299213" header="0.31496062992125984" footer="0.31496062992125984"/>
  <pageSetup paperSize="9"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13"/>
  <dimension ref="A1:D16"/>
  <sheetViews>
    <sheetView workbookViewId="0">
      <selection activeCell="A3" sqref="A3"/>
    </sheetView>
  </sheetViews>
  <sheetFormatPr baseColWidth="10" defaultColWidth="11.44140625" defaultRowHeight="17.399999999999999"/>
  <cols>
    <col min="1" max="1" width="26.5546875" style="3" customWidth="1"/>
    <col min="2" max="3" width="32.6640625" style="3" customWidth="1"/>
    <col min="4" max="4" width="29.5546875" style="3" customWidth="1"/>
    <col min="5" max="16384" width="11.44140625" style="3"/>
  </cols>
  <sheetData>
    <row r="1" spans="1:4" ht="30" customHeight="1">
      <c r="B1" s="365" t="s">
        <v>60</v>
      </c>
      <c r="C1" s="365"/>
    </row>
    <row r="2" spans="1:4" ht="45" customHeight="1">
      <c r="A2" s="3" t="s">
        <v>67</v>
      </c>
      <c r="B2" s="365" t="s">
        <v>61</v>
      </c>
      <c r="C2" s="365"/>
      <c r="D2" s="3" t="s">
        <v>65</v>
      </c>
    </row>
    <row r="3" spans="1:4" ht="30" customHeight="1">
      <c r="A3" s="3" t="s">
        <v>62</v>
      </c>
      <c r="D3" s="3" t="s">
        <v>63</v>
      </c>
    </row>
    <row r="4" spans="1:4" ht="30" customHeight="1"/>
    <row r="5" spans="1:4" ht="30" customHeight="1"/>
    <row r="6" spans="1:4" ht="30" customHeight="1"/>
    <row r="7" spans="1:4" ht="30" customHeight="1"/>
    <row r="8" spans="1:4" ht="30" customHeight="1">
      <c r="A8" s="3" t="s">
        <v>57</v>
      </c>
      <c r="D8" s="3" t="s">
        <v>59</v>
      </c>
    </row>
    <row r="9" spans="1:4" ht="30" customHeight="1">
      <c r="A9" s="3" t="s">
        <v>58</v>
      </c>
      <c r="D9" s="3" t="s">
        <v>51</v>
      </c>
    </row>
    <row r="10" spans="1:4" ht="30" customHeight="1"/>
    <row r="11" spans="1:4" ht="30" customHeight="1"/>
    <row r="12" spans="1:4" ht="30" customHeight="1"/>
    <row r="13" spans="1:4" ht="30" customHeight="1"/>
    <row r="14" spans="1:4" ht="30" customHeight="1">
      <c r="A14" s="3" t="s">
        <v>66</v>
      </c>
      <c r="D14" s="3" t="s">
        <v>52</v>
      </c>
    </row>
    <row r="15" spans="1:4" ht="30" customHeight="1">
      <c r="A15" s="3" t="s">
        <v>56</v>
      </c>
      <c r="B15" s="365" t="s">
        <v>54</v>
      </c>
      <c r="C15" s="365"/>
      <c r="D15" s="3" t="s">
        <v>53</v>
      </c>
    </row>
    <row r="16" spans="1:4" ht="30" customHeight="1">
      <c r="B16" s="365" t="s">
        <v>55</v>
      </c>
      <c r="C16" s="365"/>
    </row>
  </sheetData>
  <mergeCells count="4">
    <mergeCell ref="B15:C15"/>
    <mergeCell ref="B1:C1"/>
    <mergeCell ref="B16:C16"/>
    <mergeCell ref="B2:C2"/>
  </mergeCells>
  <pageMargins left="0.7" right="0.7" top="0.78740157499999996" bottom="0.78740157499999996" header="0.3" footer="0.3"/>
  <pageSetup paperSize="9" orientation="landscape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3364D-4147-4A3D-B5B4-4B77CD1EE481}">
  <sheetPr codeName="Tabelle20"/>
  <dimension ref="A1:S7"/>
  <sheetViews>
    <sheetView workbookViewId="0">
      <selection activeCell="L9" sqref="L9"/>
    </sheetView>
  </sheetViews>
  <sheetFormatPr baseColWidth="10" defaultColWidth="5.6640625" defaultRowHeight="14.4"/>
  <cols>
    <col min="12" max="12" width="5.6640625" customWidth="1"/>
  </cols>
  <sheetData>
    <row r="1" spans="1:19" s="11" customFormat="1" ht="88.2" customHeight="1">
      <c r="A1" s="21" t="s">
        <v>96</v>
      </c>
      <c r="B1" s="259" t="s">
        <v>109</v>
      </c>
      <c r="C1" s="259" t="s">
        <v>136</v>
      </c>
      <c r="D1" s="259" t="s">
        <v>137</v>
      </c>
      <c r="E1" s="259" t="s">
        <v>224</v>
      </c>
      <c r="F1" s="259" t="s">
        <v>138</v>
      </c>
      <c r="G1" s="259" t="s">
        <v>146</v>
      </c>
      <c r="H1" s="259" t="s">
        <v>195</v>
      </c>
      <c r="I1" s="259" t="s">
        <v>235</v>
      </c>
      <c r="J1" s="259" t="s">
        <v>223</v>
      </c>
      <c r="K1" s="259" t="s">
        <v>390</v>
      </c>
      <c r="L1" s="259" t="s">
        <v>711</v>
      </c>
      <c r="M1" s="259" t="s">
        <v>71</v>
      </c>
      <c r="N1" s="259" t="s">
        <v>14</v>
      </c>
      <c r="O1" s="259" t="s">
        <v>97</v>
      </c>
      <c r="S1" s="16"/>
    </row>
    <row r="2" spans="1:19" s="11" customFormat="1" ht="25.2" customHeight="1">
      <c r="A2" s="289" t="s">
        <v>100</v>
      </c>
      <c r="B2" s="366" t="s">
        <v>724</v>
      </c>
      <c r="C2" s="367"/>
      <c r="D2" s="367"/>
      <c r="E2" s="367"/>
      <c r="F2" s="367"/>
      <c r="G2" s="367"/>
      <c r="H2" s="367"/>
      <c r="I2" s="367"/>
      <c r="J2" s="367"/>
      <c r="K2" s="367"/>
      <c r="L2" s="367"/>
      <c r="M2" s="367"/>
      <c r="N2" s="367"/>
      <c r="O2" s="367"/>
      <c r="S2" s="16"/>
    </row>
    <row r="3" spans="1:19" s="11" customFormat="1" ht="25.2" customHeight="1">
      <c r="A3" s="262" t="s">
        <v>672</v>
      </c>
      <c r="B3" s="268" t="s">
        <v>120</v>
      </c>
      <c r="C3" s="265" t="s">
        <v>72</v>
      </c>
      <c r="D3" s="265" t="s">
        <v>72</v>
      </c>
      <c r="E3" s="268" t="s">
        <v>120</v>
      </c>
      <c r="F3" s="268" t="s">
        <v>120</v>
      </c>
      <c r="G3" s="268" t="s">
        <v>120</v>
      </c>
      <c r="H3" s="268" t="s">
        <v>120</v>
      </c>
      <c r="I3" s="268" t="s">
        <v>120</v>
      </c>
      <c r="J3" s="268" t="s">
        <v>120</v>
      </c>
      <c r="K3" s="268" t="s">
        <v>120</v>
      </c>
      <c r="L3" s="267" t="s">
        <v>671</v>
      </c>
      <c r="M3" s="265"/>
      <c r="N3" s="273"/>
      <c r="O3" s="273"/>
      <c r="P3" s="178"/>
      <c r="S3" s="16"/>
    </row>
    <row r="4" spans="1:19" s="11" customFormat="1" ht="25.2" customHeight="1">
      <c r="A4" s="262" t="s">
        <v>672</v>
      </c>
      <c r="B4" s="268" t="s">
        <v>72</v>
      </c>
      <c r="C4" s="268" t="s">
        <v>72</v>
      </c>
      <c r="D4" s="268" t="s">
        <v>72</v>
      </c>
      <c r="E4" s="268" t="s">
        <v>72</v>
      </c>
      <c r="F4" s="268" t="s">
        <v>72</v>
      </c>
      <c r="G4" s="268" t="s">
        <v>72</v>
      </c>
      <c r="H4" s="268" t="s">
        <v>72</v>
      </c>
      <c r="I4" s="268" t="s">
        <v>72</v>
      </c>
      <c r="J4" s="268" t="s">
        <v>72</v>
      </c>
      <c r="K4" s="268" t="s">
        <v>72</v>
      </c>
      <c r="L4" s="266" t="s">
        <v>673</v>
      </c>
      <c r="M4" s="265"/>
      <c r="N4" s="273"/>
      <c r="O4" s="273"/>
      <c r="P4" s="178"/>
      <c r="S4" s="16"/>
    </row>
    <row r="5" spans="1:19" s="11" customFormat="1" ht="25.2" customHeight="1">
      <c r="A5" s="289" t="s">
        <v>100</v>
      </c>
      <c r="B5" s="366" t="s">
        <v>725</v>
      </c>
      <c r="C5" s="367"/>
      <c r="D5" s="367"/>
      <c r="E5" s="367"/>
      <c r="F5" s="367"/>
      <c r="G5" s="367"/>
      <c r="H5" s="367"/>
      <c r="I5" s="367"/>
      <c r="J5" s="367"/>
      <c r="K5" s="367"/>
      <c r="L5" s="367"/>
      <c r="M5" s="367"/>
      <c r="N5" s="367"/>
      <c r="O5" s="367"/>
      <c r="S5" s="16"/>
    </row>
    <row r="6" spans="1:19" ht="25.2" customHeight="1">
      <c r="A6" s="289" t="s">
        <v>726</v>
      </c>
      <c r="B6" s="268" t="s">
        <v>120</v>
      </c>
      <c r="C6" s="265" t="s">
        <v>72</v>
      </c>
      <c r="D6" s="265" t="s">
        <v>72</v>
      </c>
      <c r="E6" s="268" t="s">
        <v>120</v>
      </c>
      <c r="F6" s="268" t="s">
        <v>120</v>
      </c>
      <c r="G6" s="268" t="s">
        <v>120</v>
      </c>
      <c r="H6" s="268" t="s">
        <v>120</v>
      </c>
      <c r="I6" s="268" t="s">
        <v>120</v>
      </c>
      <c r="J6" s="268" t="s">
        <v>120</v>
      </c>
      <c r="K6" s="268" t="s">
        <v>120</v>
      </c>
      <c r="L6" s="267" t="s">
        <v>671</v>
      </c>
      <c r="M6" s="265"/>
      <c r="N6" s="273"/>
      <c r="O6" s="273"/>
    </row>
    <row r="7" spans="1:19" ht="25.2" customHeight="1">
      <c r="A7" s="289" t="s">
        <v>727</v>
      </c>
      <c r="B7" s="268" t="s">
        <v>72</v>
      </c>
      <c r="C7" s="265" t="s">
        <v>72</v>
      </c>
      <c r="D7" s="265" t="s">
        <v>72</v>
      </c>
      <c r="E7" s="268" t="s">
        <v>72</v>
      </c>
      <c r="F7" s="268" t="s">
        <v>72</v>
      </c>
      <c r="G7" s="268" t="s">
        <v>72</v>
      </c>
      <c r="H7" s="268" t="s">
        <v>72</v>
      </c>
      <c r="I7" s="268" t="s">
        <v>72</v>
      </c>
      <c r="J7" s="268" t="s">
        <v>72</v>
      </c>
      <c r="K7" s="268" t="s">
        <v>72</v>
      </c>
      <c r="L7" s="266" t="s">
        <v>673</v>
      </c>
      <c r="M7" s="265"/>
      <c r="N7" s="273"/>
      <c r="O7" s="273"/>
    </row>
  </sheetData>
  <mergeCells count="2">
    <mergeCell ref="B2:O2"/>
    <mergeCell ref="B5:O5"/>
  </mergeCells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22</vt:i4>
      </vt:variant>
    </vt:vector>
  </HeadingPairs>
  <TitlesOfParts>
    <vt:vector size="22" baseType="lpstr">
      <vt:lpstr>pdf</vt:lpstr>
      <vt:lpstr>pdf_</vt:lpstr>
      <vt:lpstr>CC</vt:lpstr>
      <vt:lpstr>JI</vt:lpstr>
      <vt:lpstr>RB</vt:lpstr>
      <vt:lpstr>SB</vt:lpstr>
      <vt:lpstr>DF</vt:lpstr>
      <vt:lpstr>QS</vt:lpstr>
      <vt:lpstr>SF</vt:lpstr>
      <vt:lpstr>SW</vt:lpstr>
      <vt:lpstr>AS</vt:lpstr>
      <vt:lpstr>TG</vt:lpstr>
      <vt:lpstr>VW</vt:lpstr>
      <vt:lpstr>SS</vt:lpstr>
      <vt:lpstr>LAT</vt:lpstr>
      <vt:lpstr>STD</vt:lpstr>
      <vt:lpstr>ALL</vt:lpstr>
      <vt:lpstr>CCF</vt:lpstr>
      <vt:lpstr>STD_F</vt:lpstr>
      <vt:lpstr>SW PreFol</vt:lpstr>
      <vt:lpstr>Raumrichtungen</vt:lpstr>
      <vt:lpstr>def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Volker</dc:creator>
  <cp:lastModifiedBy>Volker</cp:lastModifiedBy>
  <cp:lastPrinted>2026-06-02T04:28:12Z</cp:lastPrinted>
  <dcterms:created xsi:type="dcterms:W3CDTF">2015-06-05T18:19:34Z</dcterms:created>
  <dcterms:modified xsi:type="dcterms:W3CDTF">2026-06-03T04:57:38Z</dcterms:modified>
</cp:coreProperties>
</file>