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F9815598-D639-406D-83C9-B7542ABA1682}" xr6:coauthVersionLast="47" xr6:coauthVersionMax="47" xr10:uidLastSave="{00000000-0000-0000-0000-000000000000}"/>
  <bookViews>
    <workbookView xWindow="-108" yWindow="-108" windowWidth="23256" windowHeight="12456" tabRatio="815" activeTab="18" xr2:uid="{00000000-000D-0000-FFFF-FFFF00000000}"/>
  </bookViews>
  <sheets>
    <sheet name="pdf" sheetId="37" r:id="rId1"/>
    <sheet name="pdf_" sheetId="38" r:id="rId2"/>
    <sheet name="CC" sheetId="17" r:id="rId3"/>
    <sheet name="JI" sheetId="18" r:id="rId4"/>
    <sheet name="RB" sheetId="16" r:id="rId5"/>
    <sheet name="SB" sheetId="19" r:id="rId6"/>
    <sheet name="DF" sheetId="15" r:id="rId7"/>
    <sheet name="QS" sheetId="12" r:id="rId8"/>
    <sheet name="SF" sheetId="21" r:id="rId9"/>
    <sheet name="SW" sheetId="11" r:id="rId10"/>
    <sheet name="AS" sheetId="29" r:id="rId11"/>
    <sheet name="TG" sheetId="13" r:id="rId12"/>
    <sheet name="VW" sheetId="14" r:id="rId13"/>
    <sheet name="SS" sheetId="24" r:id="rId14"/>
    <sheet name="LAT" sheetId="26" r:id="rId15"/>
    <sheet name="STD" sheetId="27" r:id="rId16"/>
    <sheet name="ALL" sheetId="28" r:id="rId17"/>
    <sheet name="CCF" sheetId="20" r:id="rId18"/>
    <sheet name="STD_F" sheetId="39" r:id="rId19"/>
    <sheet name="SW PreFol" sheetId="8" r:id="rId20"/>
    <sheet name="Raumrichtungen" sheetId="9" r:id="rId21"/>
    <sheet name="def" sheetId="31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39" l="1"/>
  <c r="F25" i="39"/>
  <c r="S13" i="11"/>
  <c r="R13" i="11" s="1"/>
  <c r="E88" i="39"/>
  <c r="E75" i="39"/>
  <c r="E68" i="39"/>
  <c r="E52" i="39"/>
  <c r="E35" i="39"/>
  <c r="E16" i="39"/>
  <c r="F16" i="39"/>
  <c r="S12" i="11"/>
  <c r="R12" i="11" s="1"/>
  <c r="F88" i="39"/>
  <c r="B91" i="39"/>
  <c r="B92" i="39" s="1"/>
  <c r="B93" i="39" s="1"/>
  <c r="B94" i="39" s="1"/>
  <c r="B95" i="39" s="1"/>
  <c r="B96" i="39" s="1"/>
  <c r="B97" i="39" s="1"/>
  <c r="F75" i="39"/>
  <c r="B78" i="39"/>
  <c r="B79" i="39" s="1"/>
  <c r="B80" i="39" s="1"/>
  <c r="B81" i="39" s="1"/>
  <c r="B82" i="39" s="1"/>
  <c r="B83" i="39" s="1"/>
  <c r="B84" i="39" s="1"/>
  <c r="B85" i="39" s="1"/>
  <c r="B86" i="39" s="1"/>
  <c r="B71" i="39"/>
  <c r="B72" i="39" s="1"/>
  <c r="B73" i="39" s="1"/>
  <c r="F68" i="39"/>
  <c r="F52" i="39"/>
  <c r="F35" i="39"/>
  <c r="B55" i="39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39" i="39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F3" i="39"/>
  <c r="E3" i="39" s="1"/>
  <c r="S11" i="11"/>
  <c r="R11" i="11" s="1"/>
  <c r="S50" i="11"/>
  <c r="R50" i="11" s="1"/>
  <c r="F30" i="39"/>
  <c r="E30" i="39" s="1"/>
  <c r="S14" i="11"/>
  <c r="R14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R21" i="17"/>
  <c r="R20" i="17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49" i="11" l="1"/>
  <c r="R49" i="11" s="1"/>
  <c r="S5" i="21"/>
  <c r="R5" i="21" s="1"/>
  <c r="S53" i="11"/>
  <c r="R53" i="11" s="1"/>
  <c r="S52" i="11"/>
  <c r="R52" i="11" s="1"/>
  <c r="S51" i="11"/>
  <c r="R51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<sst xmlns="http://schemas.openxmlformats.org/spreadsheetml/2006/main" count="3633" uniqueCount="855">
  <si>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</si>
  <si>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</si>
  <si>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</si>
  <si>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</si>
  <si>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</si>
  <si>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</si>
  <si>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</si>
  <si>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</si>
  <si>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</si>
  <si>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</si>
  <si>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</si>
  <si>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</si>
  <si>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</si>
  <si>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</si>
  <si>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</si>
  <si>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</si>
  <si>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</si>
  <si>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</si>
  <si>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</si>
  <si>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</si>
  <si>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</si>
  <si>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</si>
  <si>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</si>
  <si>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</si>
  <si>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</si>
  <si>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</si>
  <si>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</si>
  <si>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Hier auch gute Erklärung zur weiteren Ausführung der Drehung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</si>
  <si>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</si>
  <si>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</si>
  <si>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</si>
  <si>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</si>
  <si>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</si>
  <si>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</si>
  <si>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</si>
  <si>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</si>
  <si>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</si>
  <si>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</si>
  <si>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</si>
  <si>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</si>
  <si>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</si>
  <si>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</si>
  <si>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</si>
  <si>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</si>
  <si>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</si>
  <si>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</si>
  <si>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</si>
  <si>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</si>
  <si>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Alternative, wenn Seite zu kurz:
bis AußStlWe, dann in PP
Chassee,
Rd an neuer Wand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</si>
  <si>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</si>
  <si>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</si>
  <si>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</si>
  <si>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</si>
  <si>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</si>
  <si>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</si>
  <si>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</si>
  <si>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</si>
  <si>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</si>
  <si>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</si>
  <si>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</si>
  <si>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</si>
  <si>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</si>
  <si>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</si>
  <si>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</si>
  <si>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</si>
  <si>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</si>
  <si>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</si>
  <si>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</si>
  <si>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</si>
  <si>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</si>
  <si>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</si>
  <si>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</si>
  <si>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</si>
  <si>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</si>
  <si>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</si>
  <si>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</si>
  <si>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</si>
  <si>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</si>
  <si>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</si>
  <si>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</si>
  <si>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</si>
  <si>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</si>
  <si>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</si>
  <si>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</si>
  <si>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</si>
  <si>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</si>
  <si>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</si>
  <si>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</si>
  <si>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</si>
  <si>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</si>
  <si>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</si>
  <si>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</si>
  <si>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</si>
  <si>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</si>
  <si>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</si>
  <si>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</si>
  <si>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</si>
  <si>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</si>
  <si>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</si>
  <si>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</si>
  <si>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</si>
  <si>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</si>
  <si>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</si>
  <si>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</si>
  <si>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</si>
  <si>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</si>
  <si>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</si>
  <si>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</si>
  <si>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</si>
  <si>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</si>
  <si>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</si>
  <si>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</si>
  <si>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</si>
  <si>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</si>
  <si>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</si>
  <si>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</si>
  <si>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</si>
  <si>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</si>
  <si>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</si>
  <si>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</si>
  <si>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</si>
  <si>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</si>
  <si>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</si>
  <si>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</si>
  <si>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</si>
  <si>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</si>
  <si>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</si>
  <si>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</si>
  <si>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</si>
  <si>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</si>
  <si>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</si>
  <si>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</si>
  <si>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</si>
  <si>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</si>
  <si>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</si>
  <si>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</si>
  <si>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</si>
  <si>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</si>
  <si>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</si>
  <si>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</si>
  <si>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</si>
  <si>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</si>
  <si>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</si>
  <si>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</si>
  <si>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</si>
  <si>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</si>
  <si>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</si>
  <si>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</si>
  <si>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</si>
  <si>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</si>
  <si>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</si>
  <si>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</si>
  <si>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</si>
  <si>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</si>
  <si>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</si>
  <si>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</si>
  <si>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</si>
  <si>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</si>
  <si>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</si>
  <si>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</si>
  <si>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</si>
  <si>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</si>
  <si>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</si>
  <si>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</si>
  <si>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</si>
  <si>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</si>
  <si>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</si>
  <si>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</si>
  <si>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</si>
  <si>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</si>
  <si>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</si>
  <si>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</si>
  <si>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</si>
  <si>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</si>
  <si>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</si>
  <si>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</si>
  <si>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</si>
  <si>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</si>
  <si>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</si>
  <si>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</si>
  <si>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</si>
  <si>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</si>
  <si>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</si>
  <si>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</si>
  <si>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</si>
  <si>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</si>
  <si>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</si>
  <si>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</si>
  <si>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</si>
  <si>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</si>
  <si>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</si>
  <si>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</si>
  <si>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</si>
  <si>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</si>
  <si>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</si>
  <si>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</si>
  <si>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</si>
  <si>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</si>
  <si>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</si>
  <si>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</si>
  <si>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</si>
  <si>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</si>
  <si>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</si>
  <si>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</si>
  <si>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</si>
  <si>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</si>
  <si>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</si>
  <si>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</si>
  <si>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</si>
  <si>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</si>
  <si>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</si>
  <si>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</si>
  <si>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</si>
  <si>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</si>
  <si>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</si>
  <si>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</si>
  <si>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</si>
  <si>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</si>
  <si>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</si>
  <si>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</si>
  <si>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</si>
  <si>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</si>
  <si>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</si>
  <si>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</si>
  <si>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</si>
  <si>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</si>
  <si>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</si>
  <si>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</si>
  <si>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</si>
  <si>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</si>
  <si>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</si>
  <si>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</si>
  <si>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</si>
  <si>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</si>
  <si>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</si>
  <si>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</si>
  <si>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</si>
  <si>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</si>
  <si>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</si>
  <si>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</si>
  <si>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</si>
  <si>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</si>
  <si>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</si>
  <si>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</si>
  <si>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</si>
  <si>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</si>
  <si>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</si>
  <si>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</si>
  <si>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</si>
  <si>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</si>
  <si>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</si>
  <si>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</si>
  <si>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</si>
  <si>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</si>
  <si>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</si>
  <si>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</si>
  <si>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</si>
  <si>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</si>
  <si>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</si>
  <si>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</si>
  <si>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</si>
  <si>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</si>
  <si>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</si>
  <si>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</si>
  <si>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</si>
  <si>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</si>
  <si>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</si>
  <si>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</si>
  <si>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</si>
  <si>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</si>
  <si>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</si>
  <si>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</si>
  <si>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</si>
  <si>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</si>
  <si>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</si>
  <si>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</si>
  <si>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</si>
  <si>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</si>
  <si>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</si>
  <si>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</si>
  <si>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</si>
  <si>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</si>
  <si>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</si>
  <si>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</si>
  <si>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</si>
  <si>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</si>
  <si>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</si>
  <si>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</si>
  <si>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</si>
  <si>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</si>
  <si>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</si>
  <si>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</si>
  <si>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</si>
  <si>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</si>
  <si>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</si>
  <si>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</si>
  <si>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</si>
  <si>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</si>
  <si>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</si>
  <si>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</si>
  <si>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</si>
  <si>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</si>
  <si>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</si>
  <si>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</si>
  <si>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</si>
  <si>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</si>
  <si>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</si>
  <si>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</si>
  <si>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</si>
  <si>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</si>
  <si>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</si>
  <si>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</si>
  <si>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</si>
  <si>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</si>
  <si>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</si>
  <si>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</si>
  <si>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</si>
  <si>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</si>
  <si>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</si>
  <si>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</si>
  <si>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</si>
  <si>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</si>
  <si>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</si>
  <si>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</si>
  <si>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</si>
  <si>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</si>
  <si>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</si>
  <si>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</si>
  <si>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</si>
  <si>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</si>
  <si>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</si>
  <si>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</si>
  <si>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</si>
  <si>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</si>
  <si>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</si>
  <si>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</si>
  <si>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</si>
  <si>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</si>
  <si>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</si>
  <si>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</si>
  <si>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</si>
  <si>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</si>
  <si>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</si>
  <si>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</si>
  <si>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</si>
  <si>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</si>
  <si>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</si>
  <si>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</si>
  <si>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</si>
  <si>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</si>
  <si>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</si>
  <si>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</si>
  <si>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</si>
  <si>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</si>
  <si>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</si>
  <si>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</si>
  <si>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</si>
  <si>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</si>
  <si>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</si>
  <si>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</si>
  <si>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</si>
  <si>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</si>
  <si>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</si>
  <si>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</si>
  <si>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</si>
  <si>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</si>
  <si>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</si>
  <si>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</si>
  <si>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</si>
  <si>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</si>
  <si>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</si>
  <si>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</si>
  <si>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</si>
  <si>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</si>
  <si>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</si>
  <si>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</si>
  <si>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</si>
  <si>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</si>
  <si>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</si>
  <si>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</si>
  <si>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</si>
  <si>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</si>
  <si>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ArchivA\videothek\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</si>
  <si>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</si>
  <si>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</si>
  <si>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</si>
  <si>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</si>
  <si>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</si>
  <si>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</si>
  <si>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</si>
  <si>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</si>
  <si>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</si>
  <si>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</si>
  <si>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</si>
  <si>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</si>
  <si>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</si>
  <si>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</si>
  <si>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</si>
  <si>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</si>
  <si>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</si>
  <si>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</si>
  <si>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</si>
  <si>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</si>
  <si>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</si>
  <si>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</si>
  <si>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</si>
  <si>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</si>
  <si>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</si>
  <si>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</si>
  <si>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</si>
  <si>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</si>
  <si>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</si>
  <si>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</si>
  <si>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</si>
  <si>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</si>
  <si>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</si>
  <si>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</si>
  <si>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</si>
  <si>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</si>
  <si>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</si>
  <si>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</si>
  <si>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</si>
  <si>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</si>
  <si>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</si>
  <si>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</si>
  <si>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</si>
  <si>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</si>
  <si>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</si>
  <si>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</si>
  <si>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</si>
  <si>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</si>
  <si>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</si>
  <si>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</si>
  <si>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</si>
  <si>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</si>
  <si>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</si>
  <si>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</si>
  <si>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</si>
  <si>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</si>
  <si>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</si>
  <si>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</si>
  <si>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</si>
  <si>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</si>
  <si>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</si>
  <si>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SW Kristof Der Stern.mp4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</si>
  <si>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</si>
  <si>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</si>
  <si>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</si>
  <si>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</si>
  <si>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</si>
  <si>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</si>
  <si>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</si>
  <si>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</si>
  <si>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</si>
  <si>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</si>
  <si>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</si>
  <si>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</si>
  <si>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</si>
  <si>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</si>
  <si>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</si>
  <si>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</si>
  <si>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</si>
  <si>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</si>
  <si>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</si>
  <si>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</si>
  <si>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</si>
  <si>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</si>
  <si>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</si>
  <si>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</si>
  <si>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</si>
  <si>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</si>
  <si>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</si>
  <si>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</si>
  <si>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</si>
  <si>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</si>
  <si>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</si>
  <si>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</si>
  <si>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</si>
  <si>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</si>
  <si>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</si>
  <si>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</si>
  <si>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</si>
  <si>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</si>
  <si>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</si>
  <si>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</si>
  <si>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</si>
  <si>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</si>
  <si>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</si>
  <si>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</si>
  <si>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</si>
  <si>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</si>
  <si>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</si>
  <si>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</si>
  <si>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</si>
  <si>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</si>
  <si>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</si>
  <si>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</si>
  <si>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</si>
  <si>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</si>
  <si>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</si>
  <si>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</si>
  <si>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</si>
  <si>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</si>
  <si>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</si>
  <si>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</si>
  <si>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</si>
  <si>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</si>
  <si>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</si>
  <si>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</si>
  <si>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</si>
  <si>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</si>
  <si>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</si>
  <si>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</si>
  <si>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</si>
  <si>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</si>
  <si>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</si>
  <si>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</si>
  <si>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</si>
  <si>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</si>
  <si>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</si>
  <si>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</si>
  <si>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</si>
  <si>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</si>
  <si>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</si>
  <si>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</si>
  <si>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</si>
  <si>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</si>
  <si>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</si>
  <si>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</si>
  <si>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</si>
  <si>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</si>
  <si>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</si>
  <si>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</si>
  <si>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</si>
  <si>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</si>
  <si>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</si>
  <si>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</si>
  <si>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</si>
  <si>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</si>
  <si>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</si>
  <si>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</si>
  <si>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</si>
  <si>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</si>
  <si>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</si>
  <si>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</si>
  <si>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</si>
  <si>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</si>
  <si>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</si>
  <si>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</si>
  <si>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</si>
  <si>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</si>
  <si>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</si>
  <si>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</si>
  <si>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</si>
  <si>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</si>
  <si>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</si>
  <si>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</si>
  <si>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</si>
  <si>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</si>
  <si>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</si>
  <si>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</si>
  <si>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</si>
  <si>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</si>
  <si>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</si>
  <si>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</si>
  <si>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</si>
  <si>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</si>
  <si>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</si>
  <si>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</si>
  <si>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</si>
  <si>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</si>
  <si>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</si>
  <si>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CC002</t>
  </si>
  <si>
    <t>CC006</t>
  </si>
  <si>
    <t>CC007</t>
  </si>
  <si>
    <t>CC008</t>
  </si>
  <si>
    <t>CC009</t>
  </si>
  <si>
    <t>CC010</t>
  </si>
  <si>
    <t>CC011</t>
  </si>
  <si>
    <t>CC012</t>
  </si>
  <si>
    <t>CC013</t>
  </si>
  <si>
    <t>CC014</t>
  </si>
  <si>
    <t>CC015</t>
  </si>
  <si>
    <t>CC016</t>
  </si>
  <si>
    <t>CC017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</si>
  <si>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</si>
  <si>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</si>
  <si>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</si>
  <si>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</si>
  <si>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</si>
  <si>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</si>
  <si>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</si>
  <si>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</si>
  <si>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</si>
  <si>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</si>
  <si>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CC018</t>
  </si>
  <si>
    <t>CC019</t>
  </si>
  <si>
    <t>CC020</t>
  </si>
  <si>
    <t>CC021</t>
  </si>
  <si>
    <t>CC022</t>
  </si>
  <si>
    <t>CC023</t>
  </si>
  <si>
    <t>CC024</t>
  </si>
  <si>
    <t>CC025</t>
  </si>
  <si>
    <t>CC026</t>
  </si>
  <si>
    <t>CC027</t>
  </si>
  <si>
    <t>CC028</t>
  </si>
  <si>
    <t>CC029</t>
  </si>
  <si>
    <t>CC030</t>
  </si>
  <si>
    <t>CC031</t>
  </si>
  <si>
    <t>CC032</t>
  </si>
  <si>
    <t>CC033</t>
  </si>
  <si>
    <t>CC034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</si>
  <si>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</si>
  <si>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</si>
  <si>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</si>
  <si>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</si>
  <si>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</si>
  <si>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</si>
  <si>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</si>
  <si>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</si>
  <si>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</si>
  <si>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</si>
  <si>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</si>
  <si>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</si>
  <si>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</si>
  <si>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</si>
  <si>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</si>
  <si>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</si>
  <si>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</si>
  <si>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</si>
  <si>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</si>
  <si>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</si>
  <si>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</si>
  <si>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</si>
  <si>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</si>
  <si>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</si>
  <si>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</si>
  <si>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</si>
  <si>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</si>
  <si>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</si>
  <si>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</si>
  <si>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</si>
  <si>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</si>
  <si>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</si>
  <si>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</si>
  <si>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</si>
  <si>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</si>
  <si>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</si>
  <si>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</si>
  <si>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</si>
  <si>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</si>
  <si>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</si>
  <si>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</si>
  <si>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</si>
  <si>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</si>
  <si>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</si>
  <si>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</si>
  <si>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</si>
  <si>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</si>
  <si>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</si>
  <si>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</si>
  <si>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(Eingang in die Eisenbahn)</t>
  </si>
  <si>
    <t>(die Folge heisst hier Mambo Kick)</t>
  </si>
  <si>
    <t>wir lassen die Hände gefasst</t>
  </si>
  <si>
    <t>Rd1, Chassé R, Ld1, Chassé-L, Rd-AP</t>
  </si>
  <si>
    <t>Variationen von Rd, Ld, Übg, Chassé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</si>
  <si>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</si>
  <si>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</si>
  <si>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</si>
  <si>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</si>
  <si>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</si>
  <si>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</si>
  <si>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</si>
  <si>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</si>
  <si>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</si>
  <si>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</si>
  <si>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</si>
  <si>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</si>
  <si>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</si>
  <si>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</si>
  <si>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</si>
  <si>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</si>
  <si>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</si>
  <si>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</si>
  <si>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</si>
  <si>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</si>
  <si>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</si>
  <si>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</si>
  <si>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</si>
  <si>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</si>
  <si>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</si>
  <si>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</si>
  <si>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</si>
  <si>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</si>
  <si>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</si>
  <si>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</si>
  <si>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</si>
  <si>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</si>
  <si>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</si>
  <si>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</si>
  <si>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</si>
  <si>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</si>
  <si>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RB Zeile 22: Datei nicht gefunden.</t>
  </si>
  <si>
    <t>RB Zeile 26: Datei nicht gefunden.</t>
  </si>
  <si>
    <t>RB Zeile 41: Datei nicht gefunden.</t>
  </si>
  <si>
    <t>RB Zeile 47: Datei nicht gefunden.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</si>
  <si>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</si>
  <si>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</si>
  <si>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</si>
  <si>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</si>
  <si>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</si>
  <si>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</si>
  <si>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</si>
  <si>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</si>
  <si>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</si>
  <si>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</si>
  <si>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</si>
  <si>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</si>
  <si>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</si>
  <si>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</si>
  <si>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</si>
  <si>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</si>
  <si>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</si>
  <si>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</si>
  <si>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</si>
  <si>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</si>
  <si>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</si>
  <si>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</si>
  <si>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</si>
  <si>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</si>
  <si>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</si>
  <si>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</si>
  <si>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</si>
  <si>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Der 18er:
Rd 1 + 2
Übg R-L
Ld 1 + 2
Übg L-R</t>
  </si>
  <si>
    <t>18 Schritte:
1 - 6
7 8 9
10 - 15
16 17 18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</si>
  <si>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</si>
  <si>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</si>
  <si>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</si>
  <si>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</si>
  <si>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</si>
  <si>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</si>
  <si>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</si>
  <si>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</si>
  <si>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</si>
  <si>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</si>
  <si>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</si>
  <si>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Folge 1:
Rd1+2, Übg, Ld1+2, Übg
Rd, AußStlWe
Rd, Kreisel, Übg
Ld1+2
Wischer, Chassé
Rd1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</si>
  <si>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</si>
  <si>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</si>
  <si>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</si>
  <si>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</si>
  <si>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</si>
  <si>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</si>
  <si>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</si>
  <si>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</si>
  <si>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</si>
  <si>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</si>
  <si>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</si>
  <si>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</si>
  <si>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</si>
  <si>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</si>
  <si>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</si>
  <si>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</si>
  <si>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</si>
  <si>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</si>
  <si>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</si>
  <si>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</si>
  <si>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</si>
  <si>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</si>
  <si>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</si>
  <si>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</si>
  <si>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</si>
  <si>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</si>
  <si>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</si>
  <si>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</si>
  <si>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</si>
  <si>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</si>
  <si>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</si>
  <si>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</si>
  <si>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</si>
  <si>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</si>
  <si>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</si>
  <si>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Gruppe 2            Stand 02.06.2026</t>
  </si>
  <si>
    <t>Tanzen TSV Mittwoch Figuren und Folgen - Gruppe 2         Stand 02.06.2026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</si>
  <si>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</si>
  <si>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</si>
  <si>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</si>
  <si>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</si>
  <si>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</si>
  <si>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</si>
  <si>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</si>
  <si>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</si>
  <si>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</si>
  <si>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</si>
  <si>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</si>
  <si>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</si>
  <si>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RD, LD, Kreisel, AW, Wischer, Chassé</t>
  </si>
  <si>
    <t>RD, LD, Kreisel, AW-PP,  Chassé</t>
  </si>
  <si>
    <t>RD, LD, Ü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</si>
  <si>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</si>
  <si>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</si>
  <si>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</si>
  <si>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</si>
  <si>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</si>
  <si>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</si>
  <si>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</si>
  <si>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</si>
  <si>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</si>
  <si>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</si>
  <si>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</si>
  <si>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</si>
  <si>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</si>
  <si>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</si>
  <si>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</si>
  <si>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</si>
  <si>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</si>
  <si>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</si>
  <si>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rechs Lunge Pose - geschl. TH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</si>
  <si>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</si>
  <si>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</si>
  <si>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</si>
  <si>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</si>
  <si>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</si>
  <si>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</si>
  <si>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</si>
  <si>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</si>
  <si>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</si>
  <si>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</si>
  <si>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</si>
  <si>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</si>
  <si>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Dame um den Herren (1 - 2 &amp; 3)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</si>
  <si>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</si>
  <si>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</si>
  <si>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</si>
  <si>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</si>
  <si>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</si>
  <si>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</si>
  <si>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</si>
  <si>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Alignment</t>
  </si>
  <si>
    <t>AoT</t>
  </si>
  <si>
    <t>3/8 R</t>
  </si>
  <si>
    <t>3/8 L</t>
  </si>
  <si>
    <t>2x3/8 R</t>
  </si>
  <si>
    <t>2x3/8 L</t>
  </si>
  <si>
    <t>1/4 L</t>
  </si>
  <si>
    <t>backing LOD</t>
  </si>
  <si>
    <t>backing DC</t>
  </si>
  <si>
    <t>?</t>
  </si>
  <si>
    <t>facing DW</t>
  </si>
  <si>
    <t>Alexy</t>
  </si>
  <si>
    <t>gleiches Video lokal</t>
  </si>
  <si>
    <t>JI Mooch Alexy.mp4</t>
  </si>
  <si>
    <t>https://www.youtube.com/watch?v=ai49xGmnc9g</t>
  </si>
  <si>
    <t>seq</t>
  </si>
  <si>
    <t>send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</si>
</sst>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9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3">
    <xf numFmtId="0" fontId="0" fillId="0" borderId="0"/>
    <xf numFmtId="0" fontId="54" fillId="0" borderId="0"/>
    <xf numFmtId="0" fontId="55" fillId="0" borderId="0" applyNumberFormat="0" applyFill="0" applyBorder="0" applyAlignment="0" applyProtection="0"/>
  </cellStyleXfs>
  <cellXfs count="376">
    <xf numFmtId="0" fontId="0" fillId="0" borderId="0" xfId="0"/>
    <xf numFmtId="0" fontId="56" fillId="0" borderId="1" xfId="1" applyFont="1" applyBorder="1" applyAlignment="1">
      <alignment horizontal="left" vertical="center" indent="1"/>
    </xf>
    <xf numFmtId="0" fontId="56" fillId="0" borderId="1" xfId="1" applyFont="1" applyBorder="1" applyAlignment="1">
      <alignment horizontal="center" vertical="center"/>
    </xf>
    <xf numFmtId="0" fontId="57" fillId="0" borderId="0" xfId="0" applyFont="1" applyAlignment="1">
      <alignment horizontal="center" vertical="center" wrapText="1"/>
    </xf>
    <xf numFmtId="0" fontId="56" fillId="0" borderId="1" xfId="1" applyFont="1" applyBorder="1" applyAlignment="1">
      <alignment horizontal="center" vertical="center" wrapText="1"/>
    </xf>
    <xf numFmtId="49" fontId="56" fillId="0" borderId="0" xfId="1" applyNumberFormat="1" applyFont="1" applyBorder="1" applyAlignment="1">
      <alignment horizontal="center" vertical="center" wrapText="1"/>
    </xf>
    <xf numFmtId="49" fontId="56" fillId="0" borderId="0" xfId="1" applyNumberFormat="1" applyFont="1" applyBorder="1" applyAlignment="1">
      <alignment horizontal="left" vertical="center" wrapText="1" indent="1"/>
    </xf>
    <xf numFmtId="0" fontId="56" fillId="0" borderId="0" xfId="1" applyFont="1" applyBorder="1" applyAlignment="1">
      <alignment horizontal="left" vertical="center" wrapText="1" indent="1"/>
    </xf>
    <xf numFmtId="49" fontId="56" fillId="0" borderId="0" xfId="1" applyNumberFormat="1" applyFont="1" applyBorder="1" applyAlignment="1">
      <alignment horizontal="center" vertical="center"/>
    </xf>
    <xf numFmtId="49" fontId="56" fillId="0" borderId="0" xfId="1" applyNumberFormat="1" applyFont="1" applyBorder="1" applyAlignment="1">
      <alignment horizontal="left" vertical="center" indent="1"/>
    </xf>
    <xf numFmtId="0" fontId="56" fillId="0" borderId="2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left" vertical="center" indent="1"/>
    </xf>
    <xf numFmtId="49" fontId="59" fillId="0" borderId="0" xfId="0" applyNumberFormat="1" applyFont="1" applyBorder="1" applyAlignment="1">
      <alignment horizontal="center"/>
    </xf>
    <xf numFmtId="49" fontId="59" fillId="0" borderId="0" xfId="0" applyNumberFormat="1" applyFont="1" applyBorder="1"/>
    <xf numFmtId="0" fontId="59" fillId="0" borderId="0" xfId="0" applyFont="1" applyBorder="1"/>
    <xf numFmtId="0" fontId="56" fillId="0" borderId="2" xfId="1" applyFont="1" applyBorder="1" applyAlignment="1">
      <alignment horizontal="center" vertical="center"/>
    </xf>
    <xf numFmtId="0" fontId="56" fillId="0" borderId="0" xfId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49" fontId="59" fillId="0" borderId="0" xfId="0" applyNumberFormat="1" applyFont="1" applyBorder="1" applyAlignment="1">
      <alignment horizontal="center" vertical="center"/>
    </xf>
    <xf numFmtId="49" fontId="56" fillId="2" borderId="9" xfId="1" applyNumberFormat="1" applyFont="1" applyFill="1" applyBorder="1" applyAlignment="1">
      <alignment horizontal="center" vertical="center" wrapText="1"/>
    </xf>
    <xf numFmtId="49" fontId="56" fillId="2" borderId="4" xfId="1" applyNumberFormat="1" applyFont="1" applyFill="1" applyBorder="1" applyAlignment="1">
      <alignment horizontal="left" vertical="center" wrapText="1" indent="1"/>
    </xf>
    <xf numFmtId="0" fontId="56" fillId="2" borderId="4" xfId="1" applyFont="1" applyFill="1" applyBorder="1" applyAlignment="1">
      <alignment horizontal="left" vertical="center" wrapText="1" indent="1"/>
    </xf>
    <xf numFmtId="0" fontId="56" fillId="2" borderId="4" xfId="1" applyFont="1" applyFill="1" applyBorder="1" applyAlignment="1">
      <alignment horizontal="left" vertical="center" indent="1"/>
    </xf>
    <xf numFmtId="0" fontId="56" fillId="2" borderId="5" xfId="1" applyFont="1" applyFill="1" applyBorder="1" applyAlignment="1">
      <alignment horizontal="center" vertical="center" wrapText="1"/>
    </xf>
    <xf numFmtId="0" fontId="56" fillId="2" borderId="4" xfId="1" applyFont="1" applyFill="1" applyBorder="1" applyAlignment="1">
      <alignment horizontal="center" vertical="center"/>
    </xf>
    <xf numFmtId="0" fontId="55" fillId="0" borderId="1" xfId="2" applyBorder="1" applyAlignment="1">
      <alignment horizontal="center" vertical="center"/>
    </xf>
    <xf numFmtId="49" fontId="56" fillId="0" borderId="7" xfId="1" applyNumberFormat="1" applyFont="1" applyBorder="1" applyAlignment="1">
      <alignment horizontal="center" vertical="center"/>
    </xf>
    <xf numFmtId="49" fontId="56" fillId="0" borderId="2" xfId="1" applyNumberFormat="1" applyFont="1" applyBorder="1" applyAlignment="1">
      <alignment horizontal="center" vertical="center"/>
    </xf>
    <xf numFmtId="49" fontId="56" fillId="0" borderId="8" xfId="1" quotePrefix="1" applyNumberFormat="1" applyFont="1" applyBorder="1" applyAlignment="1">
      <alignment horizontal="center" vertical="center"/>
    </xf>
    <xf numFmtId="49" fontId="56" fillId="0" borderId="1" xfId="1" quotePrefix="1" applyNumberFormat="1" applyFont="1" applyBorder="1" applyAlignment="1">
      <alignment horizontal="center" vertical="center"/>
    </xf>
    <xf numFmtId="49" fontId="60" fillId="0" borderId="8" xfId="1" applyNumberFormat="1" applyFont="1" applyBorder="1" applyAlignment="1">
      <alignment horizontal="center" vertical="center"/>
    </xf>
    <xf numFmtId="49" fontId="60" fillId="0" borderId="1" xfId="1" applyNumberFormat="1" applyFont="1" applyBorder="1" applyAlignment="1">
      <alignment horizontal="center" vertical="center"/>
    </xf>
    <xf numFmtId="49" fontId="59" fillId="0" borderId="0" xfId="0" applyNumberFormat="1" applyFont="1" applyAlignment="1">
      <alignment horizontal="center" vertical="center"/>
    </xf>
    <xf numFmtId="49" fontId="56" fillId="0" borderId="8" xfId="1" applyNumberFormat="1" applyFont="1" applyBorder="1" applyAlignment="1">
      <alignment horizontal="center" vertical="center" wrapText="1"/>
    </xf>
    <xf numFmtId="49" fontId="56" fillId="0" borderId="1" xfId="1" applyNumberFormat="1" applyFont="1" applyBorder="1" applyAlignment="1">
      <alignment horizontal="center" vertical="center" wrapText="1"/>
    </xf>
    <xf numFmtId="49" fontId="56" fillId="0" borderId="8" xfId="1" applyNumberFormat="1" applyFont="1" applyBorder="1" applyAlignment="1">
      <alignment horizontal="center" vertical="center"/>
    </xf>
    <xf numFmtId="49" fontId="56" fillId="0" borderId="1" xfId="1" applyNumberFormat="1" applyFont="1" applyBorder="1" applyAlignment="1">
      <alignment horizontal="center" vertical="center"/>
    </xf>
    <xf numFmtId="0" fontId="56" fillId="0" borderId="3" xfId="1" applyFont="1" applyBorder="1" applyAlignment="1">
      <alignment horizontal="center" vertical="center" wrapText="1"/>
    </xf>
    <xf numFmtId="0" fontId="53" fillId="0" borderId="1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center" vertical="center" wrapText="1"/>
    </xf>
    <xf numFmtId="0" fontId="61" fillId="0" borderId="1" xfId="1" applyFont="1" applyBorder="1" applyAlignment="1">
      <alignment horizontal="center" vertical="center" wrapText="1"/>
    </xf>
    <xf numFmtId="0" fontId="62" fillId="0" borderId="1" xfId="1" applyFont="1" applyBorder="1" applyAlignment="1">
      <alignment horizontal="center" vertical="center" wrapText="1"/>
    </xf>
    <xf numFmtId="0" fontId="61" fillId="2" borderId="1" xfId="1" applyFont="1" applyFill="1" applyBorder="1" applyAlignment="1">
      <alignment horizontal="center" vertical="center" wrapText="1"/>
    </xf>
    <xf numFmtId="0" fontId="61" fillId="2" borderId="2" xfId="1" applyFont="1" applyFill="1" applyBorder="1" applyAlignment="1">
      <alignment horizontal="center" vertical="center" wrapText="1"/>
    </xf>
    <xf numFmtId="0" fontId="53" fillId="0" borderId="2" xfId="1" applyFont="1" applyBorder="1" applyAlignment="1">
      <alignment horizontal="center" vertical="center" wrapText="1"/>
    </xf>
    <xf numFmtId="0" fontId="61" fillId="2" borderId="7" xfId="1" applyFont="1" applyFill="1" applyBorder="1" applyAlignment="1">
      <alignment horizontal="center" vertical="center" wrapText="1"/>
    </xf>
    <xf numFmtId="0" fontId="61" fillId="2" borderId="8" xfId="1" applyFont="1" applyFill="1" applyBorder="1" applyAlignment="1">
      <alignment horizontal="center" vertical="center" wrapText="1"/>
    </xf>
    <xf numFmtId="0" fontId="61" fillId="0" borderId="8" xfId="1" applyFont="1" applyBorder="1" applyAlignment="1">
      <alignment horizontal="center" vertical="center" wrapText="1"/>
    </xf>
    <xf numFmtId="0" fontId="56" fillId="2" borderId="7" xfId="1" applyFont="1" applyFill="1" applyBorder="1" applyAlignment="1">
      <alignment horizontal="center" vertical="center" wrapText="1"/>
    </xf>
    <xf numFmtId="0" fontId="56" fillId="0" borderId="8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right" vertical="center" wrapText="1"/>
    </xf>
    <xf numFmtId="0" fontId="62" fillId="0" borderId="2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left" vertical="center" indent="2"/>
    </xf>
    <xf numFmtId="0" fontId="63" fillId="2" borderId="0" xfId="1" applyFont="1" applyFill="1" applyBorder="1" applyAlignment="1">
      <alignment horizontal="right" vertical="center" wrapText="1"/>
    </xf>
    <xf numFmtId="0" fontId="56" fillId="0" borderId="10" xfId="1" applyFont="1" applyBorder="1" applyAlignment="1">
      <alignment horizontal="left" vertical="center" wrapText="1" indent="1"/>
    </xf>
    <xf numFmtId="0" fontId="64" fillId="2" borderId="8" xfId="1" applyFont="1" applyFill="1" applyBorder="1" applyAlignment="1">
      <alignment horizontal="center" vertical="center" wrapText="1"/>
    </xf>
    <xf numFmtId="0" fontId="61" fillId="0" borderId="2" xfId="1" applyFont="1" applyBorder="1" applyAlignment="1">
      <alignment horizontal="center" vertical="center" wrapText="1"/>
    </xf>
    <xf numFmtId="0" fontId="64" fillId="2" borderId="1" xfId="1" applyFont="1" applyFill="1" applyBorder="1" applyAlignment="1">
      <alignment horizontal="center" vertical="center" wrapText="1"/>
    </xf>
    <xf numFmtId="0" fontId="61" fillId="4" borderId="2" xfId="1" applyFont="1" applyFill="1" applyBorder="1" applyAlignment="1">
      <alignment horizontal="center" vertical="center" wrapText="1"/>
    </xf>
    <xf numFmtId="0" fontId="61" fillId="5" borderId="1" xfId="1" applyFont="1" applyFill="1" applyBorder="1" applyAlignment="1">
      <alignment horizontal="center" vertical="center" wrapText="1"/>
    </xf>
    <xf numFmtId="0" fontId="64" fillId="5" borderId="8" xfId="1" applyFont="1" applyFill="1" applyBorder="1" applyAlignment="1">
      <alignment horizontal="center" vertical="center" wrapText="1"/>
    </xf>
    <xf numFmtId="0" fontId="61" fillId="6" borderId="2" xfId="1" applyFont="1" applyFill="1" applyBorder="1" applyAlignment="1">
      <alignment horizontal="center" vertical="center" wrapText="1"/>
    </xf>
    <xf numFmtId="0" fontId="64" fillId="6" borderId="8" xfId="1" applyFont="1" applyFill="1" applyBorder="1" applyAlignment="1">
      <alignment horizontal="center" vertical="center" wrapText="1"/>
    </xf>
    <xf numFmtId="0" fontId="61" fillId="6" borderId="1" xfId="1" applyFont="1" applyFill="1" applyBorder="1" applyAlignment="1">
      <alignment horizontal="center" vertical="center" wrapText="1"/>
    </xf>
    <xf numFmtId="0" fontId="56" fillId="3" borderId="8" xfId="1" applyFont="1" applyFill="1" applyBorder="1" applyAlignment="1">
      <alignment horizontal="center" vertical="center" wrapText="1"/>
    </xf>
    <xf numFmtId="0" fontId="56" fillId="3" borderId="1" xfId="1" applyFont="1" applyFill="1" applyBorder="1" applyAlignment="1">
      <alignment horizontal="center" vertical="center" wrapText="1"/>
    </xf>
    <xf numFmtId="0" fontId="56" fillId="3" borderId="7" xfId="1" applyFont="1" applyFill="1" applyBorder="1" applyAlignment="1">
      <alignment horizontal="left" vertical="center" wrapText="1"/>
    </xf>
    <xf numFmtId="0" fontId="56" fillId="3" borderId="7" xfId="1" applyFont="1" applyFill="1" applyBorder="1" applyAlignment="1">
      <alignment horizontal="center" vertical="center" wrapText="1"/>
    </xf>
    <xf numFmtId="0" fontId="56" fillId="3" borderId="2" xfId="1" applyFont="1" applyFill="1" applyBorder="1" applyAlignment="1">
      <alignment horizontal="center" vertical="center" wrapText="1"/>
    </xf>
    <xf numFmtId="0" fontId="56" fillId="7" borderId="0" xfId="1" applyFont="1" applyFill="1" applyBorder="1" applyAlignment="1">
      <alignment horizontal="right" vertical="center" wrapText="1"/>
    </xf>
    <xf numFmtId="0" fontId="56" fillId="7" borderId="10" xfId="1" applyFont="1" applyFill="1" applyBorder="1" applyAlignment="1">
      <alignment horizontal="left" vertical="center" wrapText="1"/>
    </xf>
    <xf numFmtId="0" fontId="56" fillId="7" borderId="3" xfId="1" applyFont="1" applyFill="1" applyBorder="1" applyAlignment="1">
      <alignment horizontal="right" vertical="center" wrapText="1"/>
    </xf>
    <xf numFmtId="0" fontId="56" fillId="7" borderId="7" xfId="1" applyFont="1" applyFill="1" applyBorder="1" applyAlignment="1">
      <alignment horizontal="left" vertical="center" wrapText="1"/>
    </xf>
    <xf numFmtId="0" fontId="56" fillId="7" borderId="8" xfId="1" applyFont="1" applyFill="1" applyBorder="1" applyAlignment="1">
      <alignment horizontal="center" vertical="center" wrapText="1"/>
    </xf>
    <xf numFmtId="0" fontId="56" fillId="7" borderId="1" xfId="1" applyFont="1" applyFill="1" applyBorder="1" applyAlignment="1">
      <alignment horizontal="center" vertical="center" wrapText="1"/>
    </xf>
    <xf numFmtId="0" fontId="59" fillId="0" borderId="0" xfId="0" applyFont="1" applyBorder="1" applyAlignment="1">
      <alignment horizontal="left" vertical="center" indent="1"/>
    </xf>
    <xf numFmtId="0" fontId="56" fillId="2" borderId="5" xfId="1" applyFont="1" applyFill="1" applyBorder="1" applyAlignment="1">
      <alignment horizontal="left" vertical="center" wrapText="1" indent="1"/>
    </xf>
    <xf numFmtId="0" fontId="56" fillId="0" borderId="2" xfId="1" applyFont="1" applyBorder="1" applyAlignment="1">
      <alignment horizontal="left" vertical="center" indent="1"/>
    </xf>
    <xf numFmtId="0" fontId="59" fillId="0" borderId="0" xfId="0" applyFont="1" applyAlignment="1">
      <alignment horizontal="left" vertical="center" indent="1"/>
    </xf>
    <xf numFmtId="49" fontId="56" fillId="0" borderId="0" xfId="1" quotePrefix="1" applyNumberFormat="1" applyFont="1" applyBorder="1" applyAlignment="1">
      <alignment horizontal="center" vertical="center"/>
    </xf>
    <xf numFmtId="0" fontId="55" fillId="0" borderId="0" xfId="2" applyBorder="1" applyAlignment="1">
      <alignment horizontal="left" vertical="center" wrapText="1" indent="1"/>
    </xf>
    <xf numFmtId="0" fontId="55" fillId="0" borderId="1" xfId="2" applyBorder="1" applyAlignment="1">
      <alignment horizontal="left" vertical="center"/>
    </xf>
    <xf numFmtId="0" fontId="55" fillId="0" borderId="0" xfId="2"/>
    <xf numFmtId="0" fontId="56" fillId="0" borderId="1" xfId="1" applyFont="1" applyBorder="1" applyAlignment="1">
      <alignment horizontal="left" vertical="center" wrapText="1" indent="1"/>
    </xf>
    <xf numFmtId="0" fontId="55" fillId="0" borderId="0" xfId="2" applyBorder="1"/>
    <xf numFmtId="0" fontId="55" fillId="0" borderId="0" xfId="2" applyAlignment="1">
      <alignment horizontal="left" vertical="center" indent="1"/>
    </xf>
    <xf numFmtId="0" fontId="56" fillId="0" borderId="2" xfId="1" applyFont="1" applyBorder="1" applyAlignment="1">
      <alignment horizontal="left" vertical="center" wrapText="1" indent="1"/>
    </xf>
    <xf numFmtId="0" fontId="52" fillId="0" borderId="0" xfId="1" applyFont="1" applyBorder="1" applyAlignment="1">
      <alignment horizontal="left" vertical="center" indent="1"/>
    </xf>
    <xf numFmtId="0" fontId="52" fillId="0" borderId="1" xfId="1" applyFont="1" applyBorder="1" applyAlignment="1">
      <alignment horizontal="left" vertical="center" indent="1"/>
    </xf>
    <xf numFmtId="49" fontId="51" fillId="0" borderId="8" xfId="1" applyNumberFormat="1" applyFont="1" applyBorder="1" applyAlignment="1">
      <alignment horizontal="center" vertical="center"/>
    </xf>
    <xf numFmtId="49" fontId="51" fillId="0" borderId="1" xfId="1" applyNumberFormat="1" applyFont="1" applyBorder="1" applyAlignment="1">
      <alignment horizontal="center" vertical="center"/>
    </xf>
    <xf numFmtId="0" fontId="51" fillId="0" borderId="1" xfId="1" applyFont="1" applyBorder="1" applyAlignment="1">
      <alignment horizontal="left" vertical="center" indent="1"/>
    </xf>
    <xf numFmtId="0" fontId="51" fillId="0" borderId="1" xfId="1" applyFont="1" applyBorder="1" applyAlignment="1">
      <alignment horizontal="center" vertical="center" wrapText="1"/>
    </xf>
    <xf numFmtId="0" fontId="51" fillId="0" borderId="0" xfId="1" applyFont="1" applyBorder="1" applyAlignment="1">
      <alignment horizontal="left" vertical="center" indent="1"/>
    </xf>
    <xf numFmtId="49" fontId="50" fillId="0" borderId="1" xfId="1" quotePrefix="1" applyNumberFormat="1" applyFont="1" applyBorder="1" applyAlignment="1">
      <alignment horizontal="center" vertical="center"/>
    </xf>
    <xf numFmtId="0" fontId="50" fillId="0" borderId="1" xfId="1" applyFont="1" applyBorder="1" applyAlignment="1">
      <alignment horizontal="left" vertical="center" indent="1"/>
    </xf>
    <xf numFmtId="49" fontId="50" fillId="0" borderId="8" xfId="1" quotePrefix="1" applyNumberFormat="1" applyFont="1" applyBorder="1" applyAlignment="1">
      <alignment horizontal="center" vertical="center"/>
    </xf>
    <xf numFmtId="0" fontId="50" fillId="0" borderId="0" xfId="1" applyFont="1" applyBorder="1" applyAlignment="1">
      <alignment horizontal="left" vertical="center" indent="1"/>
    </xf>
    <xf numFmtId="49" fontId="50" fillId="0" borderId="2" xfId="1" applyNumberFormat="1" applyFont="1" applyBorder="1" applyAlignment="1">
      <alignment horizontal="center" vertical="center"/>
    </xf>
    <xf numFmtId="49" fontId="50" fillId="0" borderId="1" xfId="1" applyNumberFormat="1" applyFont="1" applyBorder="1" applyAlignment="1">
      <alignment horizontal="center" vertical="center"/>
    </xf>
    <xf numFmtId="0" fontId="50" fillId="0" borderId="1" xfId="1" applyFont="1" applyBorder="1" applyAlignment="1">
      <alignment horizontal="center" vertical="center"/>
    </xf>
    <xf numFmtId="49" fontId="50" fillId="0" borderId="8" xfId="1" applyNumberFormat="1" applyFont="1" applyBorder="1" applyAlignment="1">
      <alignment horizontal="center" vertical="center"/>
    </xf>
    <xf numFmtId="0" fontId="50" fillId="0" borderId="0" xfId="0" applyFont="1" applyAlignment="1">
      <alignment horizontal="left" vertical="center" indent="1"/>
    </xf>
    <xf numFmtId="49" fontId="50" fillId="0" borderId="1" xfId="1" applyNumberFormat="1" applyFont="1" applyBorder="1" applyAlignment="1">
      <alignment horizontal="center" vertical="center" wrapText="1"/>
    </xf>
    <xf numFmtId="0" fontId="50" fillId="2" borderId="5" xfId="1" applyFont="1" applyFill="1" applyBorder="1" applyAlignment="1">
      <alignment horizontal="left" vertical="center" wrapText="1" indent="1"/>
    </xf>
    <xf numFmtId="0" fontId="50" fillId="0" borderId="2" xfId="1" applyFont="1" applyBorder="1" applyAlignment="1">
      <alignment horizontal="left" vertical="center" indent="1"/>
    </xf>
    <xf numFmtId="0" fontId="50" fillId="2" borderId="5" xfId="1" applyFont="1" applyFill="1" applyBorder="1" applyAlignment="1">
      <alignment horizontal="center" vertical="center" wrapText="1"/>
    </xf>
    <xf numFmtId="0" fontId="50" fillId="2" borderId="5" xfId="1" applyFont="1" applyFill="1" applyBorder="1" applyAlignment="1">
      <alignment horizontal="left" vertical="center" wrapText="1" indent="2"/>
    </xf>
    <xf numFmtId="0" fontId="50" fillId="2" borderId="4" xfId="1" applyFont="1" applyFill="1" applyBorder="1" applyAlignment="1">
      <alignment horizontal="left" vertical="center" indent="1"/>
    </xf>
    <xf numFmtId="49" fontId="50" fillId="0" borderId="7" xfId="1" applyNumberFormat="1" applyFont="1" applyBorder="1" applyAlignment="1">
      <alignment horizontal="center" vertical="center"/>
    </xf>
    <xf numFmtId="0" fontId="50" fillId="0" borderId="2" xfId="1" applyFont="1" applyBorder="1" applyAlignment="1">
      <alignment horizontal="center" vertical="center" wrapText="1"/>
    </xf>
    <xf numFmtId="0" fontId="50" fillId="0" borderId="2" xfId="1" applyFont="1" applyBorder="1" applyAlignment="1">
      <alignment horizontal="left" vertical="center" indent="2"/>
    </xf>
    <xf numFmtId="0" fontId="50" fillId="0" borderId="1" xfId="1" applyFont="1" applyBorder="1" applyAlignment="1">
      <alignment horizontal="center" vertical="center" wrapText="1"/>
    </xf>
    <xf numFmtId="0" fontId="65" fillId="0" borderId="0" xfId="2" applyFont="1" applyAlignment="1">
      <alignment horizontal="left" indent="1"/>
    </xf>
    <xf numFmtId="0" fontId="50" fillId="0" borderId="0" xfId="0" applyFont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left" vertical="center" indent="2"/>
    </xf>
    <xf numFmtId="0" fontId="50" fillId="0" borderId="0" xfId="0" applyFont="1" applyBorder="1" applyAlignment="1">
      <alignment horizontal="left" vertical="center" indent="1"/>
    </xf>
    <xf numFmtId="0" fontId="65" fillId="0" borderId="0" xfId="2" applyFont="1" applyAlignment="1">
      <alignment horizontal="left" vertical="center" indent="1"/>
    </xf>
    <xf numFmtId="49" fontId="49" fillId="0" borderId="0" xfId="1" quotePrefix="1" applyNumberFormat="1" applyFont="1" applyBorder="1" applyAlignment="1">
      <alignment horizontal="center" vertical="center"/>
    </xf>
    <xf numFmtId="49" fontId="49" fillId="0" borderId="1" xfId="1" quotePrefix="1" applyNumberFormat="1" applyFont="1" applyBorder="1" applyAlignment="1">
      <alignment horizontal="center" vertical="center"/>
    </xf>
    <xf numFmtId="49" fontId="49" fillId="0" borderId="1" xfId="1" applyNumberFormat="1" applyFont="1" applyBorder="1" applyAlignment="1">
      <alignment horizontal="center" vertical="center"/>
    </xf>
    <xf numFmtId="0" fontId="49" fillId="0" borderId="1" xfId="1" applyFont="1" applyBorder="1" applyAlignment="1">
      <alignment horizontal="left" vertical="center" indent="1"/>
    </xf>
    <xf numFmtId="49" fontId="48" fillId="0" borderId="0" xfId="1" applyNumberFormat="1" applyFont="1" applyBorder="1" applyAlignment="1">
      <alignment horizontal="left" vertical="center" indent="1"/>
    </xf>
    <xf numFmtId="0" fontId="47" fillId="0" borderId="1" xfId="1" applyFont="1" applyBorder="1" applyAlignment="1">
      <alignment horizontal="left" vertical="center" indent="1"/>
    </xf>
    <xf numFmtId="0" fontId="47" fillId="2" borderId="5" xfId="1" applyFont="1" applyFill="1" applyBorder="1" applyAlignment="1">
      <alignment horizontal="left" vertical="center" wrapText="1" indent="1"/>
    </xf>
    <xf numFmtId="0" fontId="47" fillId="0" borderId="2" xfId="1" applyFont="1" applyBorder="1" applyAlignment="1">
      <alignment horizontal="left" vertical="center" indent="1"/>
    </xf>
    <xf numFmtId="0" fontId="47" fillId="0" borderId="0" xfId="0" applyFont="1" applyAlignment="1">
      <alignment horizontal="left" vertical="center" indent="1"/>
    </xf>
    <xf numFmtId="0" fontId="46" fillId="2" borderId="4" xfId="1" applyFont="1" applyFill="1" applyBorder="1" applyAlignment="1">
      <alignment horizontal="left" vertical="center" wrapText="1" indent="1"/>
    </xf>
    <xf numFmtId="0" fontId="65" fillId="0" borderId="0" xfId="2" applyFont="1" applyBorder="1" applyAlignment="1">
      <alignment horizontal="left" vertical="center" wrapText="1" indent="1"/>
    </xf>
    <xf numFmtId="0" fontId="65" fillId="0" borderId="0" xfId="2" applyFont="1"/>
    <xf numFmtId="0" fontId="46" fillId="0" borderId="0" xfId="0" applyFont="1" applyBorder="1"/>
    <xf numFmtId="0" fontId="46" fillId="2" borderId="5" xfId="1" applyFont="1" applyFill="1" applyBorder="1" applyAlignment="1">
      <alignment horizontal="center" vertical="center" wrapText="1"/>
    </xf>
    <xf numFmtId="0" fontId="46" fillId="0" borderId="2" xfId="1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50" fillId="10" borderId="1" xfId="1" applyFont="1" applyFill="1" applyBorder="1" applyAlignment="1">
      <alignment horizontal="center" vertical="center"/>
    </xf>
    <xf numFmtId="0" fontId="50" fillId="10" borderId="0" xfId="0" applyFont="1" applyFill="1" applyAlignment="1">
      <alignment horizontal="center" vertical="center"/>
    </xf>
    <xf numFmtId="0" fontId="66" fillId="0" borderId="0" xfId="0" applyFont="1" applyFill="1" applyBorder="1" applyAlignment="1">
      <alignment horizontal="left" vertical="center" indent="1"/>
    </xf>
    <xf numFmtId="0" fontId="66" fillId="10" borderId="0" xfId="0" applyFont="1" applyFill="1" applyBorder="1" applyAlignment="1">
      <alignment horizontal="left" vertical="center" indent="1"/>
    </xf>
    <xf numFmtId="0" fontId="67" fillId="0" borderId="0" xfId="1" applyFont="1" applyFill="1" applyBorder="1" applyAlignment="1">
      <alignment horizontal="left" vertical="center" indent="1"/>
    </xf>
    <xf numFmtId="0" fontId="67" fillId="10" borderId="0" xfId="1" applyFont="1" applyFill="1" applyBorder="1" applyAlignment="1">
      <alignment horizontal="left" vertical="center" indent="1"/>
    </xf>
    <xf numFmtId="49" fontId="46" fillId="0" borderId="1" xfId="1" applyNumberFormat="1" applyFont="1" applyBorder="1" applyAlignment="1">
      <alignment horizontal="center" vertical="center"/>
    </xf>
    <xf numFmtId="0" fontId="66" fillId="0" borderId="1" xfId="1" applyFont="1" applyFill="1" applyBorder="1" applyAlignment="1">
      <alignment horizontal="left" vertical="center" indent="1"/>
    </xf>
    <xf numFmtId="0" fontId="66" fillId="10" borderId="1" xfId="1" applyFont="1" applyFill="1" applyBorder="1" applyAlignment="1">
      <alignment horizontal="left" vertical="center" indent="1"/>
    </xf>
    <xf numFmtId="49" fontId="45" fillId="0" borderId="1" xfId="1" applyNumberFormat="1" applyFont="1" applyBorder="1" applyAlignment="1">
      <alignment horizontal="center" vertical="center"/>
    </xf>
    <xf numFmtId="0" fontId="44" fillId="0" borderId="0" xfId="1" applyFont="1" applyBorder="1" applyAlignment="1">
      <alignment horizontal="left" vertical="center" indent="1"/>
    </xf>
    <xf numFmtId="49" fontId="43" fillId="0" borderId="8" xfId="1" applyNumberFormat="1" applyFont="1" applyBorder="1" applyAlignment="1">
      <alignment horizontal="center" vertical="center"/>
    </xf>
    <xf numFmtId="0" fontId="66" fillId="0" borderId="0" xfId="0" applyFont="1" applyFill="1" applyAlignment="1">
      <alignment horizontal="left" vertical="center" indent="1"/>
    </xf>
    <xf numFmtId="0" fontId="66" fillId="10" borderId="0" xfId="0" applyFont="1" applyFill="1" applyAlignment="1">
      <alignment horizontal="left" vertical="center" indent="1"/>
    </xf>
    <xf numFmtId="0" fontId="42" fillId="0" borderId="0" xfId="1" applyFont="1" applyBorder="1" applyAlignment="1">
      <alignment horizontal="left" vertical="center" indent="1"/>
    </xf>
    <xf numFmtId="49" fontId="42" fillId="0" borderId="0" xfId="1" applyNumberFormat="1" applyFont="1" applyBorder="1" applyAlignment="1">
      <alignment horizontal="center" vertical="center"/>
    </xf>
    <xf numFmtId="0" fontId="42" fillId="11" borderId="0" xfId="1" applyFont="1" applyFill="1" applyBorder="1" applyAlignment="1">
      <alignment horizontal="left" vertical="center" indent="1"/>
    </xf>
    <xf numFmtId="49" fontId="41" fillId="0" borderId="0" xfId="1" applyNumberFormat="1" applyFont="1" applyBorder="1" applyAlignment="1">
      <alignment horizontal="left" vertical="center" indent="1"/>
    </xf>
    <xf numFmtId="0" fontId="40" fillId="0" borderId="0" xfId="1" applyFont="1" applyFill="1" applyBorder="1" applyAlignment="1">
      <alignment horizontal="left" vertical="center" indent="1"/>
    </xf>
    <xf numFmtId="0" fontId="39" fillId="0" borderId="0" xfId="1" applyFont="1" applyBorder="1" applyAlignment="1">
      <alignment horizontal="left" vertical="center" indent="1"/>
    </xf>
    <xf numFmtId="0" fontId="39" fillId="0" borderId="0" xfId="1" applyFont="1" applyBorder="1" applyAlignment="1">
      <alignment horizontal="left" vertical="center" wrapText="1" indent="1"/>
    </xf>
    <xf numFmtId="0" fontId="66" fillId="0" borderId="0" xfId="1" applyFont="1" applyFill="1" applyBorder="1" applyAlignment="1">
      <alignment horizontal="left" vertical="center" indent="1"/>
    </xf>
    <xf numFmtId="49" fontId="38" fillId="0" borderId="0" xfId="1" applyNumberFormat="1" applyFont="1" applyBorder="1" applyAlignment="1">
      <alignment horizontal="left" vertical="center" indent="1"/>
    </xf>
    <xf numFmtId="0" fontId="38" fillId="0" borderId="0" xfId="1" applyFont="1" applyBorder="1" applyAlignment="1">
      <alignment horizontal="left" vertical="center" indent="1"/>
    </xf>
    <xf numFmtId="0" fontId="56" fillId="0" borderId="0" xfId="1" applyFont="1" applyBorder="1" applyAlignment="1">
      <alignment horizontal="left" vertical="center"/>
    </xf>
    <xf numFmtId="49" fontId="56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7" fillId="0" borderId="1" xfId="1" applyFont="1" applyBorder="1" applyAlignment="1">
      <alignment horizontal="left" vertical="center" indent="1"/>
    </xf>
    <xf numFmtId="0" fontId="66" fillId="9" borderId="1" xfId="1" applyFont="1" applyFill="1" applyBorder="1" applyAlignment="1">
      <alignment horizontal="left" vertical="center" indent="1"/>
    </xf>
    <xf numFmtId="49" fontId="37" fillId="0" borderId="1" xfId="1" quotePrefix="1" applyNumberFormat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 wrapText="1"/>
    </xf>
    <xf numFmtId="0" fontId="37" fillId="0" borderId="1" xfId="1" applyFont="1" applyBorder="1" applyAlignment="1">
      <alignment horizontal="left" vertical="center" wrapText="1" indent="1"/>
    </xf>
    <xf numFmtId="49" fontId="37" fillId="0" borderId="7" xfId="1" applyNumberFormat="1" applyFont="1" applyBorder="1" applyAlignment="1">
      <alignment horizontal="center" vertical="center"/>
    </xf>
    <xf numFmtId="0" fontId="37" fillId="0" borderId="2" xfId="1" applyFont="1" applyBorder="1" applyAlignment="1">
      <alignment horizontal="center" vertical="center" wrapText="1"/>
    </xf>
    <xf numFmtId="0" fontId="37" fillId="0" borderId="2" xfId="1" applyFont="1" applyBorder="1" applyAlignment="1">
      <alignment horizontal="left" vertical="center" indent="1"/>
    </xf>
    <xf numFmtId="0" fontId="37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59" fillId="12" borderId="0" xfId="0" applyFont="1" applyFill="1" applyAlignment="1">
      <alignment horizontal="center" vertical="center"/>
    </xf>
    <xf numFmtId="49" fontId="37" fillId="0" borderId="1" xfId="1" applyNumberFormat="1" applyFont="1" applyBorder="1" applyAlignment="1">
      <alignment horizontal="center" vertical="center"/>
    </xf>
    <xf numFmtId="0" fontId="36" fillId="0" borderId="1" xfId="1" applyFont="1" applyBorder="1" applyAlignment="1">
      <alignment horizontal="center" vertical="center"/>
    </xf>
    <xf numFmtId="0" fontId="36" fillId="0" borderId="1" xfId="1" applyFont="1" applyBorder="1" applyAlignment="1">
      <alignment horizontal="left" vertical="center" indent="1"/>
    </xf>
    <xf numFmtId="0" fontId="36" fillId="0" borderId="0" xfId="1" applyFont="1" applyBorder="1" applyAlignment="1">
      <alignment horizontal="left" vertical="center" indent="1"/>
    </xf>
    <xf numFmtId="49" fontId="36" fillId="0" borderId="1" xfId="1" applyNumberFormat="1" applyFont="1" applyBorder="1" applyAlignment="1">
      <alignment horizontal="center" vertical="center"/>
    </xf>
    <xf numFmtId="49" fontId="36" fillId="0" borderId="1" xfId="1" quotePrefix="1" applyNumberFormat="1" applyFont="1" applyBorder="1" applyAlignment="1">
      <alignment horizontal="center" vertical="center"/>
    </xf>
    <xf numFmtId="0" fontId="66" fillId="0" borderId="0" xfId="0" applyFont="1" applyBorder="1" applyAlignment="1">
      <alignment horizontal="left" vertical="center" indent="1"/>
    </xf>
    <xf numFmtId="0" fontId="53" fillId="0" borderId="0" xfId="0" applyFont="1" applyBorder="1" applyAlignment="1">
      <alignment horizontal="left" vertical="center" indent="1"/>
    </xf>
    <xf numFmtId="0" fontId="40" fillId="0" borderId="0" xfId="1" applyFont="1" applyBorder="1" applyAlignment="1">
      <alignment horizontal="left" vertical="center" indent="1"/>
    </xf>
    <xf numFmtId="49" fontId="56" fillId="2" borderId="9" xfId="1" applyNumberFormat="1" applyFont="1" applyFill="1" applyBorder="1" applyAlignment="1">
      <alignment horizontal="left" vertical="center" wrapText="1" indent="1"/>
    </xf>
    <xf numFmtId="49" fontId="35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56" fillId="2" borderId="6" xfId="1" applyNumberFormat="1" applyFont="1" applyFill="1" applyBorder="1" applyAlignment="1">
      <alignment horizontal="left" vertical="center" wrapText="1" indent="1"/>
    </xf>
    <xf numFmtId="0" fontId="35" fillId="0" borderId="0" xfId="1" applyFont="1" applyBorder="1" applyAlignment="1">
      <alignment horizontal="left" vertical="center" indent="1"/>
    </xf>
    <xf numFmtId="0" fontId="59" fillId="0" borderId="0" xfId="0" applyFont="1" applyBorder="1" applyAlignment="1">
      <alignment horizontal="center"/>
    </xf>
    <xf numFmtId="2" fontId="55" fillId="0" borderId="0" xfId="2" applyNumberFormat="1" applyBorder="1" applyAlignment="1">
      <alignment horizontal="left" vertical="center" indent="1"/>
    </xf>
    <xf numFmtId="2" fontId="68" fillId="0" borderId="0" xfId="2" applyNumberFormat="1" applyFont="1" applyBorder="1" applyAlignment="1">
      <alignment horizontal="left" vertical="center" indent="1"/>
    </xf>
    <xf numFmtId="0" fontId="69" fillId="0" borderId="0" xfId="1" applyFont="1" applyBorder="1" applyAlignment="1">
      <alignment horizontal="left" vertical="center" indent="1"/>
    </xf>
    <xf numFmtId="0" fontId="69" fillId="0" borderId="0" xfId="0" applyFont="1" applyBorder="1" applyAlignment="1">
      <alignment horizontal="left"/>
    </xf>
    <xf numFmtId="0" fontId="34" fillId="0" borderId="0" xfId="1" applyFont="1" applyBorder="1" applyAlignment="1">
      <alignment horizontal="left" vertical="center" indent="1"/>
    </xf>
    <xf numFmtId="49" fontId="34" fillId="2" borderId="6" xfId="1" applyNumberFormat="1" applyFont="1" applyFill="1" applyBorder="1" applyAlignment="1">
      <alignment horizontal="left" vertical="center" wrapText="1" indent="1"/>
    </xf>
    <xf numFmtId="0" fontId="34" fillId="0" borderId="0" xfId="1" applyFont="1" applyFill="1" applyBorder="1" applyAlignment="1">
      <alignment horizontal="left" vertical="center" indent="1"/>
    </xf>
    <xf numFmtId="49" fontId="56" fillId="2" borderId="4" xfId="1" applyNumberFormat="1" applyFont="1" applyFill="1" applyBorder="1" applyAlignment="1">
      <alignment horizontal="left" vertical="center" textRotation="90" wrapText="1"/>
    </xf>
    <xf numFmtId="49" fontId="35" fillId="2" borderId="4" xfId="1" applyNumberFormat="1" applyFont="1" applyFill="1" applyBorder="1" applyAlignment="1">
      <alignment horizontal="left" vertical="center" textRotation="90" wrapText="1"/>
    </xf>
    <xf numFmtId="49" fontId="56" fillId="2" borderId="4" xfId="1" applyNumberFormat="1" applyFont="1" applyFill="1" applyBorder="1" applyAlignment="1">
      <alignment horizontal="left" vertical="center" wrapText="1"/>
    </xf>
    <xf numFmtId="49" fontId="33" fillId="2" borderId="4" xfId="1" applyNumberFormat="1" applyFont="1" applyFill="1" applyBorder="1" applyAlignment="1">
      <alignment horizontal="left" vertical="center" wrapText="1"/>
    </xf>
    <xf numFmtId="49" fontId="33" fillId="2" borderId="9" xfId="1" applyNumberFormat="1" applyFont="1" applyFill="1" applyBorder="1" applyAlignment="1">
      <alignment horizontal="left" vertical="center" wrapText="1" indent="1"/>
    </xf>
    <xf numFmtId="49" fontId="33" fillId="2" borderId="6" xfId="1" applyNumberFormat="1" applyFont="1" applyFill="1" applyBorder="1" applyAlignment="1">
      <alignment horizontal="left" vertical="center" wrapText="1" indent="1"/>
    </xf>
    <xf numFmtId="0" fontId="33" fillId="0" borderId="0" xfId="1" applyFont="1" applyBorder="1" applyAlignment="1">
      <alignment horizontal="left" vertical="center" wrapText="1" indent="1"/>
    </xf>
    <xf numFmtId="49" fontId="33" fillId="0" borderId="0" xfId="1" applyNumberFormat="1" applyFont="1" applyBorder="1" applyAlignment="1">
      <alignment horizontal="left" vertical="center" indent="1"/>
    </xf>
    <xf numFmtId="0" fontId="33" fillId="0" borderId="0" xfId="1" applyFont="1" applyBorder="1" applyAlignment="1">
      <alignment horizontal="left" vertical="center" indent="1"/>
    </xf>
    <xf numFmtId="49" fontId="33" fillId="0" borderId="0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left" vertical="center" indent="1"/>
    </xf>
    <xf numFmtId="49" fontId="33" fillId="0" borderId="8" xfId="1" applyNumberFormat="1" applyFont="1" applyBorder="1" applyAlignment="1">
      <alignment horizontal="center" vertical="center" wrapText="1"/>
    </xf>
    <xf numFmtId="49" fontId="33" fillId="0" borderId="8" xfId="1" quotePrefix="1" applyNumberFormat="1" applyFont="1" applyBorder="1" applyAlignment="1">
      <alignment horizontal="center" vertical="center"/>
    </xf>
    <xf numFmtId="49" fontId="33" fillId="0" borderId="1" xfId="1" quotePrefix="1" applyNumberFormat="1" applyFont="1" applyBorder="1" applyAlignment="1">
      <alignment horizontal="center" vertical="center"/>
    </xf>
    <xf numFmtId="49" fontId="32" fillId="0" borderId="1" xfId="1" quotePrefix="1" applyNumberFormat="1" applyFont="1" applyBorder="1" applyAlignment="1">
      <alignment horizontal="center" vertical="center"/>
    </xf>
    <xf numFmtId="0" fontId="31" fillId="0" borderId="1" xfId="1" applyFont="1" applyBorder="1" applyAlignment="1">
      <alignment horizontal="left" vertical="center" indent="1"/>
    </xf>
    <xf numFmtId="49" fontId="31" fillId="0" borderId="1" xfId="1" quotePrefix="1" applyNumberFormat="1" applyFont="1" applyBorder="1" applyAlignment="1">
      <alignment horizontal="center" vertical="center"/>
    </xf>
    <xf numFmtId="49" fontId="31" fillId="0" borderId="8" xfId="1" quotePrefix="1" applyNumberFormat="1" applyFont="1" applyBorder="1" applyAlignment="1">
      <alignment horizontal="center" vertical="center"/>
    </xf>
    <xf numFmtId="49" fontId="31" fillId="0" borderId="1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 wrapText="1"/>
    </xf>
    <xf numFmtId="49" fontId="29" fillId="0" borderId="8" xfId="1" quotePrefix="1" applyNumberFormat="1" applyFont="1" applyBorder="1" applyAlignment="1">
      <alignment horizontal="center" vertical="center"/>
    </xf>
    <xf numFmtId="49" fontId="29" fillId="0" borderId="1" xfId="1" quotePrefix="1" applyNumberFormat="1" applyFont="1" applyBorder="1" applyAlignment="1">
      <alignment horizontal="center" vertical="center"/>
    </xf>
    <xf numFmtId="0" fontId="29" fillId="0" borderId="1" xfId="1" applyFont="1" applyBorder="1" applyAlignment="1">
      <alignment horizontal="left" vertical="center" indent="1"/>
    </xf>
    <xf numFmtId="0" fontId="29" fillId="0" borderId="1" xfId="1" applyFont="1" applyBorder="1" applyAlignment="1">
      <alignment horizontal="left" vertical="center" wrapText="1" indent="1"/>
    </xf>
    <xf numFmtId="0" fontId="29" fillId="0" borderId="8" xfId="1" applyFont="1" applyBorder="1" applyAlignment="1">
      <alignment horizontal="center" vertical="center"/>
    </xf>
    <xf numFmtId="0" fontId="56" fillId="13" borderId="1" xfId="1" applyFont="1" applyFill="1" applyBorder="1" applyAlignment="1">
      <alignment horizontal="left" vertical="center" wrapText="1" indent="1"/>
    </xf>
    <xf numFmtId="49" fontId="29" fillId="0" borderId="1" xfId="1" applyNumberFormat="1" applyFont="1" applyBorder="1" applyAlignment="1">
      <alignment horizontal="center" vertical="center"/>
    </xf>
    <xf numFmtId="0" fontId="29" fillId="13" borderId="1" xfId="1" applyFont="1" applyFill="1" applyBorder="1" applyAlignment="1">
      <alignment horizontal="left" vertical="center" wrapText="1" indent="1"/>
    </xf>
    <xf numFmtId="0" fontId="29" fillId="0" borderId="0" xfId="1" applyFont="1" applyBorder="1" applyAlignment="1">
      <alignment horizontal="left" vertical="center" indent="1"/>
    </xf>
    <xf numFmtId="0" fontId="65" fillId="0" borderId="0" xfId="2" applyFont="1" applyBorder="1" applyAlignment="1">
      <alignment horizontal="left" vertical="center" indent="1"/>
    </xf>
    <xf numFmtId="49" fontId="28" fillId="2" borderId="4" xfId="1" applyNumberFormat="1" applyFont="1" applyFill="1" applyBorder="1" applyAlignment="1">
      <alignment horizontal="center" vertical="center" textRotation="90" wrapText="1"/>
    </xf>
    <xf numFmtId="49" fontId="27" fillId="0" borderId="0" xfId="1" applyNumberFormat="1" applyFont="1" applyBorder="1" applyAlignment="1">
      <alignment horizontal="center" vertical="center"/>
    </xf>
    <xf numFmtId="49" fontId="27" fillId="2" borderId="4" xfId="1" applyNumberFormat="1" applyFont="1" applyFill="1" applyBorder="1" applyAlignment="1">
      <alignment horizontal="center" vertical="center" textRotation="90" wrapText="1"/>
    </xf>
    <xf numFmtId="49" fontId="27" fillId="2" borderId="6" xfId="1" applyNumberFormat="1" applyFont="1" applyFill="1" applyBorder="1" applyAlignment="1">
      <alignment horizontal="center" vertical="center" wrapText="1"/>
    </xf>
    <xf numFmtId="49" fontId="27" fillId="0" borderId="8" xfId="1" applyNumberFormat="1" applyFont="1" applyBorder="1" applyAlignment="1">
      <alignment horizontal="center" vertical="center"/>
    </xf>
    <xf numFmtId="49" fontId="27" fillId="0" borderId="1" xfId="1" applyNumberFormat="1" applyFont="1" applyBorder="1" applyAlignment="1">
      <alignment horizontal="center" vertical="center"/>
    </xf>
    <xf numFmtId="49" fontId="27" fillId="6" borderId="7" xfId="1" applyNumberFormat="1" applyFont="1" applyFill="1" applyBorder="1" applyAlignment="1">
      <alignment horizontal="center" vertical="center"/>
    </xf>
    <xf numFmtId="49" fontId="27" fillId="6" borderId="7" xfId="1" applyNumberFormat="1" applyFont="1" applyFill="1" applyBorder="1" applyAlignment="1">
      <alignment horizontal="left" vertical="center" indent="1"/>
    </xf>
    <xf numFmtId="49" fontId="56" fillId="6" borderId="7" xfId="1" applyNumberFormat="1" applyFont="1" applyFill="1" applyBorder="1" applyAlignment="1">
      <alignment horizontal="left" vertical="center" indent="1"/>
    </xf>
    <xf numFmtId="49" fontId="27" fillId="6" borderId="7" xfId="1" quotePrefix="1" applyNumberFormat="1" applyFont="1" applyFill="1" applyBorder="1" applyAlignment="1">
      <alignment horizontal="center" vertical="center"/>
    </xf>
    <xf numFmtId="49" fontId="26" fillId="0" borderId="1" xfId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 wrapText="1"/>
    </xf>
    <xf numFmtId="0" fontId="26" fillId="0" borderId="1" xfId="1" applyFont="1" applyBorder="1" applyAlignment="1">
      <alignment horizontal="left" vertical="center" indent="1"/>
    </xf>
    <xf numFmtId="49" fontId="25" fillId="6" borderId="7" xfId="1" applyNumberFormat="1" applyFont="1" applyFill="1" applyBorder="1" applyAlignment="1">
      <alignment horizontal="center" vertical="center"/>
    </xf>
    <xf numFmtId="49" fontId="25" fillId="0" borderId="0" xfId="1" applyNumberFormat="1" applyFont="1" applyBorder="1" applyAlignment="1">
      <alignment horizontal="left" vertical="center" indent="1"/>
    </xf>
    <xf numFmtId="49" fontId="24" fillId="0" borderId="8" xfId="1" applyNumberFormat="1" applyFont="1" applyBorder="1" applyAlignment="1">
      <alignment horizontal="center" vertical="center"/>
    </xf>
    <xf numFmtId="49" fontId="24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horizontal="left" vertical="center" indent="1"/>
    </xf>
    <xf numFmtId="0" fontId="24" fillId="9" borderId="1" xfId="1" applyFont="1" applyFill="1" applyBorder="1" applyAlignment="1">
      <alignment horizontal="center" vertical="center" wrapText="1"/>
    </xf>
    <xf numFmtId="49" fontId="24" fillId="0" borderId="8" xfId="1" quotePrefix="1" applyNumberFormat="1" applyFont="1" applyBorder="1" applyAlignment="1">
      <alignment horizontal="center" vertical="center"/>
    </xf>
    <xf numFmtId="49" fontId="24" fillId="0" borderId="1" xfId="1" quotePrefix="1" applyNumberFormat="1" applyFont="1" applyBorder="1" applyAlignment="1">
      <alignment horizontal="center" vertical="center"/>
    </xf>
    <xf numFmtId="0" fontId="51" fillId="0" borderId="0" xfId="1" quotePrefix="1" applyFont="1" applyBorder="1" applyAlignment="1">
      <alignment horizontal="left" vertical="center" indent="1"/>
    </xf>
    <xf numFmtId="0" fontId="37" fillId="0" borderId="0" xfId="1" applyFont="1" applyBorder="1" applyAlignment="1">
      <alignment horizontal="left" vertical="center" indent="1"/>
    </xf>
    <xf numFmtId="0" fontId="24" fillId="0" borderId="0" xfId="1" applyFont="1" applyBorder="1" applyAlignment="1">
      <alignment horizontal="left" vertical="center" indent="1"/>
    </xf>
    <xf numFmtId="0" fontId="24" fillId="0" borderId="0" xfId="1" quotePrefix="1" applyFont="1" applyBorder="1" applyAlignment="1">
      <alignment horizontal="left" vertical="center" indent="1"/>
    </xf>
    <xf numFmtId="0" fontId="23" fillId="0" borderId="1" xfId="1" applyFont="1" applyBorder="1" applyAlignment="1">
      <alignment horizontal="left" vertical="center" indent="1"/>
    </xf>
    <xf numFmtId="49" fontId="22" fillId="2" borderId="6" xfId="1" applyNumberFormat="1" applyFont="1" applyFill="1" applyBorder="1" applyAlignment="1">
      <alignment horizontal="center" vertical="center" wrapText="1"/>
    </xf>
    <xf numFmtId="0" fontId="66" fillId="10" borderId="0" xfId="1" applyFont="1" applyFill="1" applyBorder="1" applyAlignment="1">
      <alignment horizontal="left" vertical="center" indent="1"/>
    </xf>
    <xf numFmtId="49" fontId="21" fillId="0" borderId="8" xfId="1" quotePrefix="1" applyNumberFormat="1" applyFont="1" applyBorder="1" applyAlignment="1">
      <alignment horizontal="center" vertical="center"/>
    </xf>
    <xf numFmtId="49" fontId="21" fillId="0" borderId="1" xfId="1" applyNumberFormat="1" applyFont="1" applyBorder="1" applyAlignment="1">
      <alignment horizontal="center" vertical="center" wrapText="1"/>
    </xf>
    <xf numFmtId="0" fontId="21" fillId="0" borderId="1" xfId="1" applyFont="1" applyBorder="1" applyAlignment="1">
      <alignment horizontal="left" vertical="center" wrapText="1" indent="1"/>
    </xf>
    <xf numFmtId="49" fontId="21" fillId="0" borderId="8" xfId="1" applyNumberFormat="1" applyFont="1" applyBorder="1" applyAlignment="1">
      <alignment horizontal="center" vertical="center" wrapText="1"/>
    </xf>
    <xf numFmtId="49" fontId="21" fillId="0" borderId="0" xfId="1" applyNumberFormat="1" applyFont="1" applyBorder="1" applyAlignment="1">
      <alignment horizontal="center" vertical="center"/>
    </xf>
    <xf numFmtId="0" fontId="71" fillId="0" borderId="0" xfId="0" applyFont="1"/>
    <xf numFmtId="0" fontId="66" fillId="0" borderId="0" xfId="0" applyFont="1"/>
    <xf numFmtId="0" fontId="66" fillId="0" borderId="15" xfId="0" applyFont="1" applyFill="1" applyBorder="1" applyAlignment="1">
      <alignment horizontal="left" vertical="center" indent="1"/>
    </xf>
    <xf numFmtId="0" fontId="65" fillId="0" borderId="15" xfId="2" applyFont="1" applyFill="1" applyBorder="1" applyAlignment="1">
      <alignment horizontal="left" vertical="center" indent="1"/>
    </xf>
    <xf numFmtId="0" fontId="66" fillId="0" borderId="15" xfId="0" applyFont="1" applyFill="1" applyBorder="1" applyAlignment="1">
      <alignment horizontal="left" vertical="center" wrapText="1" indent="1"/>
    </xf>
    <xf numFmtId="0" fontId="71" fillId="0" borderId="15" xfId="0" applyFont="1" applyFill="1" applyBorder="1" applyAlignment="1">
      <alignment horizontal="left" vertical="center" wrapText="1" indent="1"/>
    </xf>
    <xf numFmtId="0" fontId="20" fillId="0" borderId="1" xfId="1" applyFont="1" applyBorder="1" applyAlignment="1">
      <alignment horizontal="left" vertical="center" wrapText="1" indent="1"/>
    </xf>
    <xf numFmtId="49" fontId="19" fillId="0" borderId="0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left" vertical="center" wrapText="1" indent="1"/>
    </xf>
    <xf numFmtId="0" fontId="53" fillId="0" borderId="0" xfId="0" applyFont="1"/>
    <xf numFmtId="0" fontId="71" fillId="0" borderId="0" xfId="0" applyFont="1" applyAlignment="1">
      <alignment horizontal="left" vertical="center" wrapText="1" indent="1"/>
    </xf>
    <xf numFmtId="0" fontId="66" fillId="0" borderId="0" xfId="0" applyFont="1" applyAlignment="1">
      <alignment horizontal="left" vertical="center" wrapText="1" indent="1"/>
    </xf>
    <xf numFmtId="49" fontId="17" fillId="0" borderId="0" xfId="1" applyNumberFormat="1" applyFont="1" applyBorder="1" applyAlignment="1">
      <alignment horizontal="left" vertical="center" indent="1"/>
    </xf>
    <xf numFmtId="49" fontId="16" fillId="0" borderId="8" xfId="1" applyNumberFormat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1" xfId="1" applyFont="1" applyBorder="1" applyAlignment="1">
      <alignment horizontal="left" vertical="center" indent="1"/>
    </xf>
    <xf numFmtId="0" fontId="14" fillId="0" borderId="0" xfId="1" applyFont="1" applyBorder="1" applyAlignment="1">
      <alignment horizontal="left" vertical="center" indent="1"/>
    </xf>
    <xf numFmtId="0" fontId="69" fillId="2" borderId="0" xfId="1" applyFont="1" applyFill="1" applyBorder="1" applyAlignment="1">
      <alignment horizontal="left" vertical="center" indent="1"/>
    </xf>
    <xf numFmtId="0" fontId="70" fillId="2" borderId="0" xfId="1" applyFont="1" applyFill="1" applyBorder="1" applyAlignment="1">
      <alignment horizontal="left" vertical="center" indent="1"/>
    </xf>
    <xf numFmtId="0" fontId="56" fillId="2" borderId="0" xfId="1" applyFont="1" applyFill="1" applyBorder="1" applyAlignment="1">
      <alignment horizontal="left" vertical="center" indent="1"/>
    </xf>
    <xf numFmtId="0" fontId="13" fillId="0" borderId="1" xfId="1" applyFont="1" applyBorder="1" applyAlignment="1">
      <alignment horizontal="left" vertical="center" indent="1"/>
    </xf>
    <xf numFmtId="49" fontId="13" fillId="0" borderId="8" xfId="1" applyNumberFormat="1" applyFont="1" applyBorder="1" applyAlignment="1">
      <alignment horizontal="center" vertical="center"/>
    </xf>
    <xf numFmtId="49" fontId="13" fillId="0" borderId="8" xfId="1" quotePrefix="1" applyNumberFormat="1" applyFont="1" applyBorder="1" applyAlignment="1">
      <alignment horizontal="center" vertical="center"/>
    </xf>
    <xf numFmtId="49" fontId="13" fillId="0" borderId="1" xfId="1" applyNumberFormat="1" applyFont="1" applyBorder="1" applyAlignment="1">
      <alignment horizontal="center" vertical="center"/>
    </xf>
    <xf numFmtId="49" fontId="13" fillId="0" borderId="1" xfId="1" quotePrefix="1" applyNumberFormat="1" applyFont="1" applyBorder="1" applyAlignment="1">
      <alignment horizontal="center" vertical="center"/>
    </xf>
    <xf numFmtId="0" fontId="66" fillId="8" borderId="1" xfId="1" applyFont="1" applyFill="1" applyBorder="1" applyAlignment="1">
      <alignment horizontal="left" vertical="center" indent="1"/>
    </xf>
    <xf numFmtId="0" fontId="66" fillId="10" borderId="1" xfId="1" quotePrefix="1" applyFont="1" applyFill="1" applyBorder="1" applyAlignment="1">
      <alignment horizontal="left" vertical="center" indent="1"/>
    </xf>
    <xf numFmtId="49" fontId="12" fillId="0" borderId="8" xfId="1" applyNumberFormat="1" applyFont="1" applyBorder="1" applyAlignment="1">
      <alignment horizontal="center" vertical="center"/>
    </xf>
    <xf numFmtId="49" fontId="12" fillId="0" borderId="1" xfId="1" applyNumberFormat="1" applyFont="1" applyBorder="1" applyAlignment="1">
      <alignment horizontal="center" vertical="center"/>
    </xf>
    <xf numFmtId="0" fontId="73" fillId="0" borderId="15" xfId="0" applyFont="1" applyFill="1" applyBorder="1" applyAlignment="1">
      <alignment horizontal="left" vertical="center" wrapText="1" indent="1"/>
    </xf>
    <xf numFmtId="0" fontId="11" fillId="0" borderId="0" xfId="0" applyFont="1" applyAlignment="1">
      <alignment horizontal="left" vertical="center" indent="1"/>
    </xf>
    <xf numFmtId="49" fontId="11" fillId="0" borderId="8" xfId="1" applyNumberFormat="1" applyFont="1" applyBorder="1" applyAlignment="1">
      <alignment horizontal="center" vertical="center" wrapText="1"/>
    </xf>
    <xf numFmtId="49" fontId="11" fillId="0" borderId="1" xfId="1" applyNumberFormat="1" applyFont="1" applyBorder="1" applyAlignment="1">
      <alignment horizontal="center" vertical="center" wrapText="1"/>
    </xf>
    <xf numFmtId="0" fontId="11" fillId="0" borderId="1" xfId="1" applyFont="1" applyBorder="1" applyAlignment="1">
      <alignment horizontal="left" vertical="center" indent="1"/>
    </xf>
    <xf numFmtId="0" fontId="11" fillId="0" borderId="1" xfId="1" applyFont="1" applyBorder="1" applyAlignment="1">
      <alignment horizontal="left" vertical="center" wrapText="1" indent="1"/>
    </xf>
    <xf numFmtId="0" fontId="10" fillId="0" borderId="1" xfId="1" applyFont="1" applyBorder="1" applyAlignment="1">
      <alignment horizontal="left" vertical="center" indent="1"/>
    </xf>
    <xf numFmtId="0" fontId="72" fillId="0" borderId="0" xfId="0" applyFont="1" applyBorder="1" applyAlignment="1">
      <alignment horizontal="left" vertical="center" indent="1"/>
    </xf>
    <xf numFmtId="0" fontId="72" fillId="0" borderId="0" xfId="0" applyFont="1" applyFill="1" applyBorder="1" applyAlignment="1">
      <alignment horizontal="left" vertical="center" indent="1"/>
    </xf>
    <xf numFmtId="0" fontId="61" fillId="0" borderId="0" xfId="0" applyFont="1" applyBorder="1"/>
    <xf numFmtId="0" fontId="66" fillId="0" borderId="0" xfId="0" applyFont="1" applyBorder="1"/>
    <xf numFmtId="0" fontId="71" fillId="0" borderId="0" xfId="0" applyFont="1" applyBorder="1"/>
    <xf numFmtId="0" fontId="66" fillId="0" borderId="0" xfId="0" applyFont="1" applyFill="1" applyBorder="1" applyAlignment="1">
      <alignment horizontal="left" vertical="center" wrapText="1" indent="1"/>
    </xf>
    <xf numFmtId="0" fontId="65" fillId="0" borderId="0" xfId="2" applyFont="1" applyFill="1" applyBorder="1" applyAlignment="1">
      <alignment horizontal="left" vertical="center" indent="1"/>
    </xf>
    <xf numFmtId="0" fontId="71" fillId="0" borderId="0" xfId="0" applyFont="1" applyFill="1" applyBorder="1" applyAlignment="1">
      <alignment horizontal="left" vertical="center" wrapText="1" indent="1"/>
    </xf>
    <xf numFmtId="49" fontId="9" fillId="0" borderId="8" xfId="1" applyNumberFormat="1" applyFont="1" applyBorder="1" applyAlignment="1">
      <alignment horizontal="center" vertical="center"/>
    </xf>
    <xf numFmtId="49" fontId="9" fillId="0" borderId="1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 wrapText="1" indent="1"/>
    </xf>
    <xf numFmtId="0" fontId="9" fillId="0" borderId="1" xfId="1" applyFont="1" applyBorder="1" applyAlignment="1">
      <alignment horizontal="left" vertical="center" indent="1"/>
    </xf>
    <xf numFmtId="0" fontId="8" fillId="0" borderId="1" xfId="1" applyFont="1" applyBorder="1" applyAlignment="1">
      <alignment horizontal="left" vertical="center" wrapText="1" indent="1"/>
    </xf>
    <xf numFmtId="0" fontId="8" fillId="0" borderId="1" xfId="1" applyFont="1" applyBorder="1" applyAlignment="1">
      <alignment horizontal="left" vertical="center" indent="1"/>
    </xf>
    <xf numFmtId="0" fontId="73" fillId="0" borderId="0" xfId="0" applyFont="1" applyBorder="1" applyAlignment="1">
      <alignment horizontal="left" vertical="center" indent="1"/>
    </xf>
    <xf numFmtId="0" fontId="73" fillId="0" borderId="0" xfId="0" applyFont="1" applyFill="1" applyBorder="1" applyAlignment="1">
      <alignment horizontal="left" vertical="center" indent="1"/>
    </xf>
    <xf numFmtId="0" fontId="66" fillId="0" borderId="1" xfId="1" applyFont="1" applyBorder="1" applyAlignment="1">
      <alignment horizontal="left" vertical="center" indent="1"/>
    </xf>
    <xf numFmtId="49" fontId="74" fillId="2" borderId="9" xfId="1" applyNumberFormat="1" applyFont="1" applyFill="1" applyBorder="1" applyAlignment="1">
      <alignment horizontal="center" vertical="center" wrapText="1"/>
    </xf>
    <xf numFmtId="49" fontId="74" fillId="2" borderId="6" xfId="1" applyNumberFormat="1" applyFont="1" applyFill="1" applyBorder="1" applyAlignment="1">
      <alignment horizontal="center" vertical="center" wrapText="1"/>
    </xf>
    <xf numFmtId="49" fontId="74" fillId="2" borderId="6" xfId="1" applyNumberFormat="1" applyFont="1" applyFill="1" applyBorder="1" applyAlignment="1">
      <alignment horizontal="center" vertical="center"/>
    </xf>
    <xf numFmtId="49" fontId="74" fillId="0" borderId="0" xfId="0" applyNumberFormat="1" applyFont="1" applyBorder="1" applyAlignment="1">
      <alignment horizontal="center" vertical="center"/>
    </xf>
    <xf numFmtId="49" fontId="75" fillId="2" borderId="9" xfId="1" applyNumberFormat="1" applyFont="1" applyFill="1" applyBorder="1" applyAlignment="1">
      <alignment horizontal="center" vertical="center" wrapText="1"/>
    </xf>
    <xf numFmtId="49" fontId="75" fillId="2" borderId="6" xfId="1" applyNumberFormat="1" applyFont="1" applyFill="1" applyBorder="1" applyAlignment="1">
      <alignment horizontal="center" vertical="center" wrapText="1"/>
    </xf>
    <xf numFmtId="49" fontId="75" fillId="2" borderId="6" xfId="1" applyNumberFormat="1" applyFont="1" applyFill="1" applyBorder="1" applyAlignment="1">
      <alignment horizontal="center" vertical="center"/>
    </xf>
    <xf numFmtId="49" fontId="75" fillId="2" borderId="6" xfId="0" applyNumberFormat="1" applyFont="1" applyFill="1" applyBorder="1" applyAlignment="1">
      <alignment horizontal="center" vertical="center"/>
    </xf>
    <xf numFmtId="49" fontId="75" fillId="0" borderId="6" xfId="0" applyNumberFormat="1" applyFont="1" applyBorder="1" applyAlignment="1">
      <alignment horizontal="center" vertical="center"/>
    </xf>
    <xf numFmtId="49" fontId="75" fillId="0" borderId="0" xfId="0" applyNumberFormat="1" applyFont="1" applyBorder="1" applyAlignment="1">
      <alignment horizontal="center" vertical="center"/>
    </xf>
    <xf numFmtId="49" fontId="75" fillId="2" borderId="6" xfId="1" quotePrefix="1" applyNumberFormat="1" applyFont="1" applyFill="1" applyBorder="1" applyAlignment="1">
      <alignment horizontal="center" vertical="center"/>
    </xf>
    <xf numFmtId="49" fontId="76" fillId="2" borderId="9" xfId="1" applyNumberFormat="1" applyFont="1" applyFill="1" applyBorder="1" applyAlignment="1">
      <alignment horizontal="center" vertical="center" wrapText="1"/>
    </xf>
    <xf numFmtId="49" fontId="76" fillId="2" borderId="6" xfId="1" applyNumberFormat="1" applyFont="1" applyFill="1" applyBorder="1" applyAlignment="1">
      <alignment horizontal="center" vertical="center" wrapText="1"/>
    </xf>
    <xf numFmtId="49" fontId="76" fillId="2" borderId="6" xfId="1" applyNumberFormat="1" applyFont="1" applyFill="1" applyBorder="1" applyAlignment="1">
      <alignment horizontal="center" vertical="center"/>
    </xf>
    <xf numFmtId="49" fontId="76" fillId="2" borderId="6" xfId="1" quotePrefix="1" applyNumberFormat="1" applyFont="1" applyFill="1" applyBorder="1" applyAlignment="1">
      <alignment horizontal="center" vertical="center"/>
    </xf>
    <xf numFmtId="49" fontId="77" fillId="0" borderId="0" xfId="0" applyNumberFormat="1" applyFont="1" applyBorder="1" applyAlignment="1">
      <alignment horizontal="center"/>
    </xf>
    <xf numFmtId="49" fontId="74" fillId="2" borderId="9" xfId="1" applyNumberFormat="1" applyFont="1" applyFill="1" applyBorder="1" applyAlignment="1">
      <alignment horizontal="left" vertical="center" wrapText="1" indent="1"/>
    </xf>
    <xf numFmtId="49" fontId="74" fillId="2" borderId="6" xfId="1" applyNumberFormat="1" applyFont="1" applyFill="1" applyBorder="1" applyAlignment="1">
      <alignment horizontal="left" vertical="center" wrapText="1" indent="1"/>
    </xf>
    <xf numFmtId="0" fontId="74" fillId="0" borderId="0" xfId="1" applyFont="1" applyBorder="1" applyAlignment="1">
      <alignment horizontal="left" vertical="center" indent="1"/>
    </xf>
    <xf numFmtId="0" fontId="55" fillId="0" borderId="1" xfId="2" applyBorder="1" applyAlignment="1">
      <alignment horizontal="left" vertical="center" indent="1"/>
    </xf>
    <xf numFmtId="0" fontId="55" fillId="2" borderId="0" xfId="2" applyFill="1" applyBorder="1" applyAlignment="1">
      <alignment horizontal="left" vertical="center" indent="1"/>
    </xf>
    <xf numFmtId="0" fontId="7" fillId="0" borderId="1" xfId="1" applyFont="1" applyBorder="1" applyAlignment="1">
      <alignment horizontal="left" vertical="center" indent="1"/>
    </xf>
    <xf numFmtId="49" fontId="6" fillId="0" borderId="8" xfId="1" quotePrefix="1" applyNumberFormat="1" applyFont="1" applyBorder="1" applyAlignment="1">
      <alignment horizontal="center" vertical="center"/>
    </xf>
    <xf numFmtId="49" fontId="6" fillId="0" borderId="1" xfId="1" quotePrefix="1" applyNumberFormat="1" applyFont="1" applyBorder="1" applyAlignment="1">
      <alignment horizontal="center" vertical="center"/>
    </xf>
    <xf numFmtId="0" fontId="69" fillId="2" borderId="0" xfId="1" applyNumberFormat="1" applyFont="1" applyFill="1" applyBorder="1" applyAlignment="1">
      <alignment horizontal="left" vertical="center" indent="1"/>
    </xf>
    <xf numFmtId="0" fontId="6" fillId="0" borderId="0" xfId="1" applyFont="1" applyBorder="1" applyAlignment="1">
      <alignment horizontal="left" vertical="center" indent="1"/>
    </xf>
    <xf numFmtId="0" fontId="55" fillId="0" borderId="0" xfId="2" applyBorder="1" applyAlignment="1">
      <alignment horizontal="left" vertical="center" indent="1"/>
    </xf>
    <xf numFmtId="0" fontId="6" fillId="0" borderId="1" xfId="1" applyFont="1" applyBorder="1" applyAlignment="1">
      <alignment horizontal="left" vertical="center" wrapText="1" indent="1"/>
    </xf>
    <xf numFmtId="1" fontId="56" fillId="0" borderId="2" xfId="1" applyNumberFormat="1" applyFont="1" applyBorder="1" applyAlignment="1">
      <alignment horizontal="center" vertical="center"/>
    </xf>
    <xf numFmtId="1" fontId="56" fillId="0" borderId="1" xfId="1" applyNumberFormat="1" applyFont="1" applyBorder="1" applyAlignment="1">
      <alignment horizontal="center" vertical="center"/>
    </xf>
    <xf numFmtId="1" fontId="55" fillId="0" borderId="0" xfId="2" applyNumberFormat="1" applyBorder="1" applyAlignment="1">
      <alignment horizontal="left" vertical="center" indent="1"/>
    </xf>
    <xf numFmtId="1" fontId="59" fillId="0" borderId="0" xfId="0" applyNumberFormat="1" applyFont="1" applyAlignment="1">
      <alignment horizontal="center" vertical="center"/>
    </xf>
    <xf numFmtId="0" fontId="6" fillId="0" borderId="1" xfId="1" applyFont="1" applyBorder="1" applyAlignment="1">
      <alignment horizontal="left" vertical="center" indent="1"/>
    </xf>
    <xf numFmtId="0" fontId="5" fillId="0" borderId="0" xfId="1" applyFont="1" applyFill="1" applyBorder="1" applyAlignment="1">
      <alignment horizontal="left" vertical="center" indent="1"/>
    </xf>
    <xf numFmtId="0" fontId="5" fillId="0" borderId="0" xfId="1" applyFont="1" applyBorder="1" applyAlignment="1">
      <alignment horizontal="left" vertical="center" indent="1"/>
    </xf>
    <xf numFmtId="0" fontId="66" fillId="0" borderId="1" xfId="1" quotePrefix="1" applyFont="1" applyFill="1" applyBorder="1" applyAlignment="1">
      <alignment horizontal="left" vertical="center" indent="1"/>
    </xf>
    <xf numFmtId="0" fontId="65" fillId="0" borderId="1" xfId="2" applyFont="1" applyBorder="1" applyAlignment="1">
      <alignment horizontal="left" vertical="center" wrapText="1" indent="1"/>
    </xf>
    <xf numFmtId="0" fontId="65" fillId="13" borderId="1" xfId="2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1" applyFont="1" applyBorder="1" applyAlignment="1">
      <alignment horizontal="left" vertical="center" indent="1"/>
    </xf>
    <xf numFmtId="0" fontId="3" fillId="0" borderId="0" xfId="1" applyFont="1" applyAlignment="1">
      <alignment horizontal="left" vertical="center" indent="1"/>
    </xf>
    <xf numFmtId="0" fontId="3" fillId="0" borderId="0" xfId="1" applyFont="1" applyBorder="1" applyAlignment="1">
      <alignment horizontal="left" vertical="center" indent="1"/>
    </xf>
    <xf numFmtId="49" fontId="2" fillId="2" borderId="9" xfId="1" applyNumberFormat="1" applyFont="1" applyFill="1" applyBorder="1" applyAlignment="1">
      <alignment horizontal="left" vertical="center" wrapText="1" indent="1"/>
    </xf>
    <xf numFmtId="0" fontId="2" fillId="0" borderId="0" xfId="1" applyFont="1" applyBorder="1" applyAlignment="1">
      <alignment horizontal="left" vertical="center" indent="1"/>
    </xf>
    <xf numFmtId="0" fontId="2" fillId="0" borderId="0" xfId="1" applyFont="1" applyFill="1" applyBorder="1" applyAlignment="1">
      <alignment horizontal="left" vertical="center" indent="1"/>
    </xf>
    <xf numFmtId="0" fontId="78" fillId="2" borderId="0" xfId="2" applyFont="1" applyFill="1" applyBorder="1" applyAlignment="1">
      <alignment horizontal="left" vertical="center" indent="1"/>
    </xf>
    <xf numFmtId="49" fontId="74" fillId="2" borderId="0" xfId="1" applyNumberFormat="1" applyFont="1" applyFill="1" applyBorder="1" applyAlignment="1">
      <alignment horizontal="left" vertical="center" wrapText="1" indent="1"/>
    </xf>
    <xf numFmtId="0" fontId="56" fillId="3" borderId="0" xfId="1" applyFont="1" applyFill="1" applyBorder="1" applyAlignment="1">
      <alignment horizontal="center" vertical="center" wrapText="1"/>
    </xf>
    <xf numFmtId="0" fontId="56" fillId="3" borderId="10" xfId="1" applyFont="1" applyFill="1" applyBorder="1" applyAlignment="1">
      <alignment horizontal="center" vertical="center" wrapText="1"/>
    </xf>
    <xf numFmtId="0" fontId="56" fillId="3" borderId="11" xfId="1" applyFont="1" applyFill="1" applyBorder="1" applyAlignment="1">
      <alignment horizontal="center" vertical="center" wrapText="1"/>
    </xf>
    <xf numFmtId="0" fontId="56" fillId="3" borderId="12" xfId="1" applyFont="1" applyFill="1" applyBorder="1" applyAlignment="1">
      <alignment horizontal="center" vertical="center" wrapText="1"/>
    </xf>
    <xf numFmtId="0" fontId="61" fillId="8" borderId="11" xfId="1" applyFont="1" applyFill="1" applyBorder="1" applyAlignment="1">
      <alignment horizontal="center" vertical="center" wrapText="1"/>
    </xf>
    <xf numFmtId="0" fontId="61" fillId="8" borderId="3" xfId="1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49" fontId="22" fillId="2" borderId="13" xfId="1" applyNumberFormat="1" applyFont="1" applyFill="1" applyBorder="1" applyAlignment="1">
      <alignment horizontal="center" vertical="center" wrapText="1"/>
    </xf>
    <xf numFmtId="49" fontId="28" fillId="2" borderId="14" xfId="1" applyNumberFormat="1" applyFont="1" applyFill="1" applyBorder="1" applyAlignment="1">
      <alignment horizontal="center" vertical="center" wrapText="1"/>
    </xf>
    <xf numFmtId="49" fontId="1" fillId="0" borderId="8" xfId="1" applyNumberFormat="1" applyFont="1" applyBorder="1" applyAlignment="1">
      <alignment horizontal="center" vertical="center"/>
    </xf>
    <xf numFmtId="49" fontId="1" fillId="0" borderId="1" xfId="1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 wrapText="1"/>
    </xf>
    <xf numFmtId="0" fontId="1" fillId="0" borderId="0" xfId="1" applyFont="1" applyBorder="1" applyAlignment="1">
      <alignment horizontal="left" vertical="center" indent="1"/>
    </xf>
  </cellXfs>
  <cellStyles count="3">
    <cellStyle name="Link" xfId="2" builtinId="8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810701</xdr:colOff>
      <xdr:row>17</xdr:row>
      <xdr:rowOff>222326</xdr:rowOff>
    </xdr:from>
    <xdr:to>
      <xdr:col>10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tX-KTlJmwvw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https://youtu.be/fR5DSLVLjRg" TargetMode="External"/><Relationship Id="rId42" Type="http://schemas.openxmlformats.org/officeDocument/2006/relationships/hyperlink" Target="https://www.youtube.com/watch?v=hyv8-p6GAd0" TargetMode="External"/><Relationship Id="rId47" Type="http://schemas.openxmlformats.org/officeDocument/2006/relationships/hyperlink" Target="https://youtu.be/SFZnF86v0Lg" TargetMode="External"/><Relationship Id="rId50" Type="http://schemas.openxmlformats.org/officeDocument/2006/relationships/hyperlink" Target="https://www.youtube.com/watch?v=R7KchmqEyOw" TargetMode="External"/><Relationship Id="rId55" Type="http://schemas.openxmlformats.org/officeDocument/2006/relationships/hyperlink" Target="https://www.youtube.com/watch?v=QA2GeuRZmqg" TargetMode="External"/><Relationship Id="rId63" Type="http://schemas.openxmlformats.org/officeDocument/2006/relationships/hyperlink" Target="https://www.youtube.com/watch?v=VdNLw1Y7D9k" TargetMode="External"/><Relationship Id="rId68" Type="http://schemas.openxmlformats.org/officeDocument/2006/relationships/printerSettings" Target="../printerSettings/printerSettings1.bin"/><Relationship Id="rId7" Type="http://schemas.openxmlformats.org/officeDocument/2006/relationships/hyperlink" Target="https://youtu.be/EjAnf6eaAzs" TargetMode="External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x_6Ss1S6lKA" TargetMode="External"/><Relationship Id="rId29" Type="http://schemas.openxmlformats.org/officeDocument/2006/relationships/hyperlink" Target="https://www.youtube.com/watch?v=driRiyoLYlE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ePpWGq3DEVs" TargetMode="External"/><Relationship Id="rId32" Type="http://schemas.openxmlformats.org/officeDocument/2006/relationships/hyperlink" Target="https://www.youtube.com/watch?v=JZfHG73Zkp0" TargetMode="External"/><Relationship Id="rId37" Type="http://schemas.openxmlformats.org/officeDocument/2006/relationships/hyperlink" Target="../../../AppData/AppData/Roaming/Microsoft/Excel/ArchivA/videothek/DF%20Krist&#243;f%20Workshop%20am%2028.3.26.mp4" TargetMode="External"/><Relationship Id="rId40" Type="http://schemas.openxmlformats.org/officeDocument/2006/relationships/hyperlink" Target="https://youtu.be/yTG1OuyUGFs" TargetMode="External"/><Relationship Id="rId45" Type="http://schemas.openxmlformats.org/officeDocument/2006/relationships/hyperlink" Target="https://www.youtube.com/watch?v=UfrYPVu9ez0" TargetMode="External"/><Relationship Id="rId53" Type="http://schemas.openxmlformats.org/officeDocument/2006/relationships/hyperlink" Target="https://www.youtube.com/watch?v=XJCntxh9fpc%20%20%20%20%20%20%20ab%20Minute%202:08" TargetMode="External"/><Relationship Id="rId58" Type="http://schemas.openxmlformats.org/officeDocument/2006/relationships/hyperlink" Target="https://www.youtube.com/watch?v=NyBPjhCQnT4" TargetMode="External"/><Relationship Id="rId66" Type="http://schemas.openxmlformats.org/officeDocument/2006/relationships/hyperlink" Target="https://www.youtube.com/watch?v=fH__CSFSjKQ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iHAdTYyLV0A" TargetMode="External"/><Relationship Id="rId19" Type="http://schemas.openxmlformats.org/officeDocument/2006/relationships/hyperlink" Target="https://www.youtube.com/watch?v=7qb6TcsEUng" TargetMode="External"/><Relationship Id="rId14" Type="http://schemas.openxmlformats.org/officeDocument/2006/relationships/hyperlink" Target="https://www.youtube.com/watch?v=iHJFWeEASJw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https://www.youtube.com/watch?v=263-pZwIiBg" TargetMode="External"/><Relationship Id="rId30" Type="http://schemas.openxmlformats.org/officeDocument/2006/relationships/hyperlink" Target="https://www.youtube.com/watch?v=gjfJ_4Zsvn8" TargetMode="External"/><Relationship Id="rId35" Type="http://schemas.openxmlformats.org/officeDocument/2006/relationships/hyperlink" Target="https://www.youtube.com/watch?v=4c_QrBTuiSc" TargetMode="External"/><Relationship Id="rId43" Type="http://schemas.openxmlformats.org/officeDocument/2006/relationships/hyperlink" Target="https://www.youtube.com/watch?v=9QnDJIGy3TY" TargetMode="External"/><Relationship Id="rId48" Type="http://schemas.openxmlformats.org/officeDocument/2006/relationships/hyperlink" Target="https://www.youtube.com/watch?v=76Ej_yILcAI" TargetMode="External"/><Relationship Id="rId56" Type="http://schemas.openxmlformats.org/officeDocument/2006/relationships/hyperlink" Target="https://www.youtube.com/watch?v=Tw7zJY0_MMM" TargetMode="External"/><Relationship Id="rId64" Type="http://schemas.openxmlformats.org/officeDocument/2006/relationships/hyperlink" Target="https://www.youtube.com/watch?v=2kHTddRkqc4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gQrHNRC-S7U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BOtfBEc3c_c?list=TLPQMjcwNDIwMjbVsnA_9Vk0Qg" TargetMode="External"/><Relationship Id="rId25" Type="http://schemas.openxmlformats.org/officeDocument/2006/relationships/hyperlink" Target="https://www.youtube.com/watch?v=_PqZGqr9Yq4" TargetMode="External"/><Relationship Id="rId33" Type="http://schemas.openxmlformats.org/officeDocument/2006/relationships/hyperlink" Target="https://www.youtube.com/watch?v=OybRrYvA1qw" TargetMode="External"/><Relationship Id="rId38" Type="http://schemas.openxmlformats.org/officeDocument/2006/relationships/hyperlink" Target="https://youtu.be/bltEvvt1YAs" TargetMode="External"/><Relationship Id="rId46" Type="http://schemas.openxmlformats.org/officeDocument/2006/relationships/hyperlink" Target="https://www.youtube.com/watch?v=OiMRm3qTPcg" TargetMode="External"/><Relationship Id="rId59" Type="http://schemas.openxmlformats.org/officeDocument/2006/relationships/hyperlink" Target="https://www.youtube.com/watch?v=WpgcXLElWPo" TargetMode="External"/><Relationship Id="rId67" Type="http://schemas.openxmlformats.org/officeDocument/2006/relationships/hyperlink" Target="https://www.youtube.com/watch?v=NDenZ1rH6GU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https://youtu.be/fvrous6VhLM" TargetMode="External"/><Relationship Id="rId54" Type="http://schemas.openxmlformats.org/officeDocument/2006/relationships/hyperlink" Target="https://www.youtube.com/watch?v=iVIoZhapxfs" TargetMode="External"/><Relationship Id="rId62" Type="http://schemas.openxmlformats.org/officeDocument/2006/relationships/hyperlink" Target="https://www.youtube.com/watch?v=gL_TI9z1ENY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AHz_DogC-o0" TargetMode="External"/><Relationship Id="rId23" Type="http://schemas.openxmlformats.org/officeDocument/2006/relationships/hyperlink" Target="https://www.youtube.com/watch?v=pnOwx5yvvpc" TargetMode="External"/><Relationship Id="rId28" Type="http://schemas.openxmlformats.org/officeDocument/2006/relationships/hyperlink" Target="https://www.youtube.com/watch?v=BM0_wkT5nMo" TargetMode="External"/><Relationship Id="rId36" Type="http://schemas.openxmlformats.org/officeDocument/2006/relationships/hyperlink" Target="https://www.youtube.com/watch?v=hyv8-p6GAd0" TargetMode="External"/><Relationship Id="rId49" Type="http://schemas.openxmlformats.org/officeDocument/2006/relationships/hyperlink" Target="https://www.youtube.com/watch?v=76Ej_yILcAI" TargetMode="External"/><Relationship Id="rId57" Type="http://schemas.openxmlformats.org/officeDocument/2006/relationships/hyperlink" Target="https://www.youtube.com/watch?v=Tw7zJY0_MMM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https://www.youtube.com/watch?v=ny_M7Knj-Gk" TargetMode="External"/><Relationship Id="rId44" Type="http://schemas.openxmlformats.org/officeDocument/2006/relationships/hyperlink" Target="https://www.youtube.com/watch?v=3qGrNlCZkmQ" TargetMode="External"/><Relationship Id="rId52" Type="http://schemas.openxmlformats.org/officeDocument/2006/relationships/hyperlink" Target="https://www.youtube.com/watch?v=vt0fuTzPdXM" TargetMode="External"/><Relationship Id="rId60" Type="http://schemas.openxmlformats.org/officeDocument/2006/relationships/hyperlink" Target="https://www.youtube.com/watch?v=iI78Izgx98w" TargetMode="External"/><Relationship Id="rId65" Type="http://schemas.openxmlformats.org/officeDocument/2006/relationships/hyperlink" Target="https://youtu.be/3wcxbZjdGGA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7EGhxEiRG3A" TargetMode="External"/><Relationship Id="rId39" Type="http://schemas.openxmlformats.org/officeDocument/2006/relationships/hyperlink" Target="https://www.youtube.com/watch?v=OybRrYvA1q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printerSettings" Target="../printerSettings/printerSettings4.bin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../../../AppData/AppData/Roaming/Microsoft/Excel/ArchivA/videothek/RB%20Rust25%20ADTV.mp4" TargetMode="External"/><Relationship Id="rId39" Type="http://schemas.openxmlformats.org/officeDocument/2006/relationships/hyperlink" Target="../../../AppData/AppData/Roaming/Microsoft/Excel/ArchivA/videothek/RB%20HaHa%20Folge%20mit%20vielen%20HipTwists.mp4" TargetMode="External"/><Relationship Id="rId21" Type="http://schemas.openxmlformats.org/officeDocument/2006/relationships/hyperlink" Target="../../../AppData/AppData/Roaming/Microsoft/Excel/ArchivA/videothek/RB%20Hans%203%20Trees%20vv.mp4" TargetMode="External"/><Relationship Id="rId34" Type="http://schemas.openxmlformats.org/officeDocument/2006/relationships/hyperlink" Target="../../../AppData/AppData/Roaming/Microsoft/Excel/ArchivA/videothek/RB%20HaHa%203%20Trees_vl.mp4" TargetMode="External"/><Relationship Id="rId42" Type="http://schemas.openxmlformats.org/officeDocument/2006/relationships/hyperlink" Target="../../../AppData/AppData/Roaming/Microsoft/Excel/ArchivA/videothek/RB%20Bianca%20Kliffhanger.mp4" TargetMode="External"/><Relationship Id="rId47" Type="http://schemas.openxmlformats.org/officeDocument/2006/relationships/printerSettings" Target="../printerSettings/printerSettings5.bin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../../../AppData/AppData/Roaming/Microsoft/Excel/ArchivA/videothek/RB%20L1%20A%20Technik%20Rust26%20RFrieling.mp4" TargetMode="External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../../../AppData/AppData/Roaming/Microsoft/Excel/ArchivA/videothek/RB%20Hans%20Advanced%20Hiptwist.mp4" TargetMode="External"/><Relationship Id="rId32" Type="http://schemas.openxmlformats.org/officeDocument/2006/relationships/hyperlink" Target="../../../AppData/AppData/Roaming/Microsoft/Excel/ArchivA/videothek/RB%20ImgBallroom%20Three%20Trees.mp4" TargetMode="External"/><Relationship Id="rId37" Type="http://schemas.openxmlformats.org/officeDocument/2006/relationships/hyperlink" Target="../../../AppData/AppData/Roaming/Microsoft/Excel/ArchivA/videothek/RB%20HaHa%20Die%20Lange.mp4" TargetMode="External"/><Relationship Id="rId40" Type="http://schemas.openxmlformats.org/officeDocument/2006/relationships/hyperlink" Target="../../../AppData/AppData/Roaming/Microsoft/Excel/ArchivA/videothek/RB%20HaHa%20Verfolgung.mp4" TargetMode="External"/><Relationship Id="rId45" Type="http://schemas.openxmlformats.org/officeDocument/2006/relationships/hyperlink" Target="../../../AppData/AppData/Roaming/Microsoft/Excel/ArchivA/videothek/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../../../AppData/AppData/Roaming/Microsoft/Excel/ArchivA/videothek/RB%20Hans%202015%20%2008%2024.mp4" TargetMode="External"/><Relationship Id="rId28" Type="http://schemas.openxmlformats.org/officeDocument/2006/relationships/hyperlink" Target="../../../AppData/AppData/Roaming/Microsoft/Excel/ArchivA/videothek/RB%20Rust25%20RFrieling.mp4" TargetMode="External"/><Relationship Id="rId36" Type="http://schemas.openxmlformats.org/officeDocument/2006/relationships/hyperlink" Target="../../../AppData/AppData/Roaming/Microsoft/Excel/ArchivA/videothek/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../../../AppData/AppData/Roaming/Microsoft/Excel/ArchivA/videothek/RB%20YT%20Three%20Trees%20.mp4" TargetMode="External"/><Relationship Id="rId44" Type="http://schemas.openxmlformats.org/officeDocument/2006/relationships/hyperlink" Target="../../../AppData/AppData/Roaming/Microsoft/Excel/ArchivA/videothek/RB%20Kristof%20Folge%20vom%2024.6.23.mp4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../../../AppData/AppData/Roaming/Microsoft/Excel/ArchivA/videothek/RB%20Hans%203%20Trees%20vl.mp4" TargetMode="External"/><Relationship Id="rId27" Type="http://schemas.openxmlformats.org/officeDocument/2006/relationships/hyperlink" Target="../../../AppData/AppData/Roaming/Microsoft/Excel/ArchivA/videothek/RB%20Rust25%20Latin%20Feeling%20HNietsche.mp4" TargetMode="External"/><Relationship Id="rId30" Type="http://schemas.openxmlformats.org/officeDocument/2006/relationships/hyperlink" Target="../../../AppData/AppData/Roaming/Microsoft/Excel/ArchivA/videothek/RB%20L1%20B%20Technik%20Rust26%20RFrieling.mp4" TargetMode="External"/><Relationship Id="rId35" Type="http://schemas.openxmlformats.org/officeDocument/2006/relationships/hyperlink" Target="../../../AppData/AppData/Roaming/Microsoft/Excel/ArchivA/videothek/RB%20HaHa%203%20Trees_vv.mp4" TargetMode="External"/><Relationship Id="rId43" Type="http://schemas.openxmlformats.org/officeDocument/2006/relationships/hyperlink" Target="../../../AppData/AppData/Roaming/Microsoft/Excel/ArchivA/videothek/RB%20Krist&#243;f%20Handtuch.mp4" TargetMode="External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../../../AppData/AppData/Roaming/Microsoft/Excel/ArchivA/videothek/RB%20Hans%20Advanced%20SlidingDoor.mp4" TargetMode="External"/><Relationship Id="rId33" Type="http://schemas.openxmlformats.org/officeDocument/2006/relationships/hyperlink" Target="../../../AppData/AppData/Roaming/Microsoft/Excel/ArchivA/videothek/RB%20HaHa%203%20Trees_vh.wmv" TargetMode="External"/><Relationship Id="rId38" Type="http://schemas.openxmlformats.org/officeDocument/2006/relationships/hyperlink" Target="../../../AppData/AppData/Roaming/Microsoft/Excel/ArchivA/videothek/RB%20HaHa%20Einfache%20Folge.mp4" TargetMode="External"/><Relationship Id="rId46" Type="http://schemas.openxmlformats.org/officeDocument/2006/relationships/hyperlink" Target="../../../AppData/AppData/Roaming/Microsoft/Excel/ArchivA/videothek/" TargetMode="External"/><Relationship Id="rId20" Type="http://schemas.openxmlformats.org/officeDocument/2006/relationships/hyperlink" Target="../../../AppData/AppData/Roaming/Microsoft/Excel/ArchivA/videothek/RB%20Hans%20%202014-09.mp4" TargetMode="External"/><Relationship Id="rId41" Type="http://schemas.openxmlformats.org/officeDocument/2006/relationships/hyperlink" Target="../../../AppData/AppData/Roaming/Microsoft/Excel/ArchivA/videothek/RB%20Kristof%20Training%20am%2024.6.23.mp4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B%20Ya%20Criss%20Cross.mp4" TargetMode="External"/><Relationship Id="rId13" Type="http://schemas.openxmlformats.org/officeDocument/2006/relationships/hyperlink" Target="../../../AppData/AppData/Roaming/Microsoft/Excel/Archiv/Archiv/ArchivA/videothek/SB%20Hans%20Cris%20Cros%202015%20%2002%2026.wmv" TargetMode="External"/><Relationship Id="rId18" Type="http://schemas.openxmlformats.org/officeDocument/2006/relationships/hyperlink" Target="../../../AppData/AppData/Roaming/Microsoft/Excel/Archiv/Archiv/ArchivA/videothek/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../../../AppData/AppData/Roaming/Microsoft/Excel/Archiv/Archiv/ArchivA/videothek/SB%20Krist&#243;f%20WS%20Feb25.mp4" TargetMode="External"/><Relationship Id="rId7" Type="http://schemas.openxmlformats.org/officeDocument/2006/relationships/hyperlink" Target="../../../AppData/AppData/Roaming/Microsoft/Excel/Archiv/Archiv/ArchivA/videothek/SB%20Schattenpromenaden.mp4" TargetMode="External"/><Relationship Id="rId12" Type="http://schemas.openxmlformats.org/officeDocument/2006/relationships/hyperlink" Target="../../../AppData/AppData/Roaming/Microsoft/Excel/Archiv/Archiv/ArchivA/videothek/SB%20L2%20Rust26%20MHull.mp4" TargetMode="External"/><Relationship Id="rId17" Type="http://schemas.openxmlformats.org/officeDocument/2006/relationships/hyperlink" Target="../../../AppData/AppData/Roaming/Microsoft/Excel/Archiv/Archiv/ArchivA/videothek/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../../../AppData/AppData/Roaming/Microsoft/Excel/Archiv/Archiv/ArchivA/videothek/SB%20Bianca%208er%20Pakete.MOV" TargetMode="External"/><Relationship Id="rId20" Type="http://schemas.openxmlformats.org/officeDocument/2006/relationships/hyperlink" Target="../../../AppData/AppData/Roaming/Microsoft/Excel/Archiv/Archiv/ArchivA/videothek/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../../../AppData/AppData/Roaming/Microsoft/Excel/Archiv/Archiv/ArchivA/videothek/SB%20Rust25%20RKieling%20.mp4" TargetMode="External"/><Relationship Id="rId11" Type="http://schemas.openxmlformats.org/officeDocument/2006/relationships/hyperlink" Target="../../../AppData/AppData/Roaming/Microsoft/Excel/Archiv/Archiv/ArchivA/videothek/SB%20L1-2%20Technik%20Rust26%20MHull.mp4" TargetMode="External"/><Relationship Id="rId5" Type="http://schemas.openxmlformats.org/officeDocument/2006/relationships/hyperlink" Target="../../../AppData/AppData/Roaming/Microsoft/Excel/Archiv/Archiv/ArchivA/videothek/SB%20Rust25%20Latin%20Feeling%20HNietsche%20II.mp4" TargetMode="External"/><Relationship Id="rId15" Type="http://schemas.openxmlformats.org/officeDocument/2006/relationships/hyperlink" Target="../../../AppData/AppData/Roaming/Microsoft/Excel/Archiv/Archiv/ArchivA/videothek/SB%20Hans%20viel%20drehen.wmv" TargetMode="External"/><Relationship Id="rId10" Type="http://schemas.openxmlformats.org/officeDocument/2006/relationships/hyperlink" Target="../../../AppData/AppData/Roaming/Microsoft/Excel/Archiv/Archiv/ArchivA/videothek/SB%20L1-2%20B%20Rust26%20FSlemties.mp4" TargetMode="External"/><Relationship Id="rId19" Type="http://schemas.openxmlformats.org/officeDocument/2006/relationships/hyperlink" Target="../../../AppData/AppData/Roaming/Microsoft/Excel/Archiv/Archiv/ArchivA/videothek/SB%20Bianca%208er%20Pakte%20Takt.mp4" TargetMode="External"/><Relationship Id="rId4" Type="http://schemas.openxmlformats.org/officeDocument/2006/relationships/hyperlink" Target="../../../AppData/AppData/Roaming/Microsoft/Excel/Archiv/Archiv/ArchivA/videothek/SB%20Rust25%20Latin%20Feeling%20HNietsche%20I.mp4" TargetMode="External"/><Relationship Id="rId9" Type="http://schemas.openxmlformats.org/officeDocument/2006/relationships/hyperlink" Target="../../../AppData/AppData/Roaming/Microsoft/Excel/Archiv/Archiv/ArchivA/videothek/SB%20L1-2%20A%20Rust26%20FSlemties.mp4" TargetMode="External"/><Relationship Id="rId14" Type="http://schemas.openxmlformats.org/officeDocument/2006/relationships/hyperlink" Target="../../../AppData/AppData/Roaming/Microsoft/Excel/Archiv/Archiv/ArchivA/videothek/SB%20Hans%20Kontra%20Botafogo.mp4" TargetMode="External"/><Relationship Id="rId22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7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QS%20HaHa%20Quick%20Running%20Turnes.mp4" TargetMode="External"/><Relationship Id="rId18" Type="http://schemas.openxmlformats.org/officeDocument/2006/relationships/hyperlink" Target="../../../AppData/AppData/Roaming/Microsoft/Excel/ArchivA/videothek/QS%20Bianca%20StepHop%20Dame%20mit%20Musik.mp4" TargetMode="External"/><Relationship Id="rId26" Type="http://schemas.openxmlformats.org/officeDocument/2006/relationships/hyperlink" Target="../../../AppData/AppData/Roaming/Microsoft/Excel/ArchivA/videothek/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../../../AppData/AppData/Roaming/Microsoft/Excel/ArchivA/videothek/QS%20Bianca%20StepHop%20Herr%20mit%20Musik.mp4" TargetMode="External"/><Relationship Id="rId7" Type="http://schemas.openxmlformats.org/officeDocument/2006/relationships/hyperlink" Target="../../../AppData/AppData/Roaming/Microsoft/Excel/ArchivA/videothek/QS%20L1-2%20Technik%20Rust25%20RKieling.mp4" TargetMode="External"/><Relationship Id="rId12" Type="http://schemas.openxmlformats.org/officeDocument/2006/relationships/hyperlink" Target="../../../AppData/AppData/Roaming/Microsoft/Excel/ArchivA/videothek/QS%20HaHa%20Fishschwanz%20lang%20und%20kurz.mp4" TargetMode="External"/><Relationship Id="rId17" Type="http://schemas.openxmlformats.org/officeDocument/2006/relationships/hyperlink" Target="../../../AppData/AppData/Roaming/Microsoft/Excel/ArchivA/videothek/QS%20Bianca%20StepHop%20Dame%202.mp4" TargetMode="External"/><Relationship Id="rId25" Type="http://schemas.openxmlformats.org/officeDocument/2006/relationships/hyperlink" Target="../../../AppData/AppData/Roaming/Microsoft/Excel/ArchivA/videothek/QS%20Bianca%20FourQuickRun.MOV" TargetMode="External"/><Relationship Id="rId33" Type="http://schemas.openxmlformats.org/officeDocument/2006/relationships/printerSettings" Target="../printerSettings/printerSettings8.bin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../../../AppData/AppData/Roaming/Microsoft/Excel/ArchivA/videothek/QS%20Bianca%20StepHop%20Dame%201.mp4" TargetMode="External"/><Relationship Id="rId20" Type="http://schemas.openxmlformats.org/officeDocument/2006/relationships/hyperlink" Target="../../../AppData/AppData/Roaming/Microsoft/Excel/ArchivA/videothek/QS%20Bianca%20StepHop%20Herr%202.mp4" TargetMode="External"/><Relationship Id="rId29" Type="http://schemas.openxmlformats.org/officeDocument/2006/relationships/hyperlink" Target="../../../AppData/AppData/Roaming/Microsoft/Excel/ArchivA/videothek/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../../../AppData/AppData/Roaming/Microsoft/Excel/ArchivA/videothek/QS%20Ya%20Doppeltes%20Lottchen%20Teil%201.mp4" TargetMode="External"/><Relationship Id="rId11" Type="http://schemas.openxmlformats.org/officeDocument/2006/relationships/hyperlink" Target="../../../AppData/AppData/Roaming/Microsoft/Excel/ArchivA/videothek/QS%20HaHa%20Basisfolge.mp4" TargetMode="External"/><Relationship Id="rId24" Type="http://schemas.openxmlformats.org/officeDocument/2006/relationships/hyperlink" Target="../../../AppData/AppData/Roaming/Microsoft/Excel/ArchivA/videothek/QS%20Bianca%20SIT%20Herr.mp4" TargetMode="External"/><Relationship Id="rId32" Type="http://schemas.openxmlformats.org/officeDocument/2006/relationships/hyperlink" Target="../../../AppData/AppData/Roaming/Microsoft/Excel/ArchivA/videothek/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../../../AppData/AppData/Roaming/Microsoft/Excel/ArchivA/videothek/QS%20HaHa%20V6%202015%2004.mp4" TargetMode="External"/><Relationship Id="rId23" Type="http://schemas.openxmlformats.org/officeDocument/2006/relationships/hyperlink" Target="../../../AppData/AppData/Roaming/Microsoft/Excel/ArchivA/videothek/QS%20Bianca%20SIT%20Dame.mp4" TargetMode="External"/><Relationship Id="rId28" Type="http://schemas.openxmlformats.org/officeDocument/2006/relationships/hyperlink" Target="../../../AppData/AppData/Roaming/Microsoft/Excel/ArchivA/videothek/QS%20Tipsy.mp4" TargetMode="External"/><Relationship Id="rId10" Type="http://schemas.openxmlformats.org/officeDocument/2006/relationships/hyperlink" Target="../../../AppData/AppData/Roaming/Microsoft/Excel/ArchivA/videothek/QS%20HaHa%20Fishschwanz%20lang%20und%20kurz.mp4" TargetMode="External"/><Relationship Id="rId19" Type="http://schemas.openxmlformats.org/officeDocument/2006/relationships/hyperlink" Target="../../../AppData/AppData/Roaming/Microsoft/Excel/ArchivA/videothek/QS%20Bianca%20StepHop%20Herr%201.mp4" TargetMode="External"/><Relationship Id="rId31" Type="http://schemas.openxmlformats.org/officeDocument/2006/relationships/hyperlink" Target="../../../AppData/AppData/Roaming/Microsoft/Excel/ArchivA/videothek/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../../../AppData/AppData/Roaming/Microsoft/Excel/ArchivA/videothek/QS%20Fishtail.mp4" TargetMode="External"/><Relationship Id="rId14" Type="http://schemas.openxmlformats.org/officeDocument/2006/relationships/hyperlink" Target="../../../AppData/AppData/Roaming/Microsoft/Excel/ArchivA/videothek/QS%20HaHa%20Running%20Promenade.mp4" TargetMode="External"/><Relationship Id="rId22" Type="http://schemas.openxmlformats.org/officeDocument/2006/relationships/hyperlink" Target="../../../AppData/AppData/Roaming/Microsoft/Excel/ArchivA/videothek/QS%20Bianca%20StepHop.xlsx" TargetMode="External"/><Relationship Id="rId27" Type="http://schemas.openxmlformats.org/officeDocument/2006/relationships/hyperlink" Target="../../../AppData/AppData/Roaming/Microsoft/Excel/ArchivA/videothek/QS%20Tippsy%203.mp4" TargetMode="External"/><Relationship Id="rId30" Type="http://schemas.openxmlformats.org/officeDocument/2006/relationships/hyperlink" Target="../../../AppData/AppData/Roaming/Microsoft/Excel/ArchivA/videothek/QS%20Egils%20Silver%20Level%20Routine.mp4" TargetMode="External"/><Relationship Id="rId8" Type="http://schemas.openxmlformats.org/officeDocument/2006/relationships/hyperlink" Target="../../../AppData/AppData/Roaming/Microsoft/Excel/ArchivA/videothek/QS%20Fishtail%20Egils.mp4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F%20L1%20A%20Rust26%20MHull.mp4" TargetMode="External"/><Relationship Id="rId13" Type="http://schemas.openxmlformats.org/officeDocument/2006/relationships/hyperlink" Target="../../../AppData/AppData/Roaming/Microsoft/Excel/Archiv/Archiv/ArchivA/videothek/SF%20Krist&#243;f%20Workshop%20am%2028.3.26.mp4" TargetMode="External"/><Relationship Id="rId3" Type="http://schemas.openxmlformats.org/officeDocument/2006/relationships/hyperlink" Target="../../../AppData/AppData/Roaming/Microsoft/Excel/Archiv/Archiv/ArchivA/videothek/SF%20Rust25%20RKieling%20Dame-Herr.mp4" TargetMode="External"/><Relationship Id="rId7" Type="http://schemas.openxmlformats.org/officeDocument/2006/relationships/hyperlink" Target="../../../AppData/AppData/Roaming/Microsoft/Excel/Archiv/Archiv/ArchivA/videothek/SF%20Rust25%20Technik.mp4" TargetMode="External"/><Relationship Id="rId12" Type="http://schemas.openxmlformats.org/officeDocument/2006/relationships/hyperlink" Target="../../../AppData/AppData/Roaming/Microsoft/Excel/Archiv/Archiv/ArchivA/videothek/SF%20L1-1%20Rust26%20RFrieling%20Notitz.jpg" TargetMode="External"/><Relationship Id="rId2" Type="http://schemas.openxmlformats.org/officeDocument/2006/relationships/hyperlink" Target="../../../AppData/AppData/Roaming/Microsoft/Excel/Archiv/Archiv/ArchivA/videothek/SF%20Rust25%20ADTV.mp4" TargetMode="External"/><Relationship Id="rId16" Type="http://schemas.openxmlformats.org/officeDocument/2006/relationships/printerSettings" Target="../printerSettings/printerSettings9.bin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../../../AppData/AppData/Roaming/Microsoft/Excel/Archiv/Archiv/ArchivA/videothek/SF%20Rust25%20Technik%20Intro.mp4" TargetMode="External"/><Relationship Id="rId11" Type="http://schemas.openxmlformats.org/officeDocument/2006/relationships/hyperlink" Target="../../../AppData/AppData/Roaming/Microsoft/Excel/Archiv/Archiv/ArchivA/videothek/SF%20L1-2%20Rust26%20RFrieling.mp4" TargetMode="External"/><Relationship Id="rId5" Type="http://schemas.openxmlformats.org/officeDocument/2006/relationships/hyperlink" Target="../../../AppData/AppData/Roaming/Microsoft/Excel/Archiv/Archiv/ArchivA/videothek/SF%20Rust25%20RKieling%20II.mp4" TargetMode="External"/><Relationship Id="rId15" Type="http://schemas.openxmlformats.org/officeDocument/2006/relationships/hyperlink" Target="../../../AppData/AppData/Roaming/Microsoft/Excel/Archiv/Archiv/ArchivA/videothek/" TargetMode="External"/><Relationship Id="rId10" Type="http://schemas.openxmlformats.org/officeDocument/2006/relationships/hyperlink" Target="../../../AppData/AppData/Roaming/Microsoft/Excel/Archiv/Archiv/ArchivA/videothek/SF%20L1%20C%20Rust26%20MHull.mp4" TargetMode="External"/><Relationship Id="rId4" Type="http://schemas.openxmlformats.org/officeDocument/2006/relationships/hyperlink" Target="../../../AppData/AppData/Roaming/Microsoft/Excel/Archiv/Archiv/ArchivA/videothek/SF%20Rust25%20RKieling.mp4" TargetMode="External"/><Relationship Id="rId9" Type="http://schemas.openxmlformats.org/officeDocument/2006/relationships/hyperlink" Target="../../../AppData/AppData/Roaming/Microsoft/Excel/Archiv/Archiv/ArchivA/videothek/SF%20L1%20B%20Rust26%20MHull.mp4" TargetMode="External"/><Relationship Id="rId14" Type="http://schemas.openxmlformats.org/officeDocument/2006/relationships/hyperlink" Target="../../../AppData/AppData/Roaming/Microsoft/Excel/Archiv/Archiv/ArchivA/videothek/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SW%20HaHa%20LD%20Cort&#233;%20OutsideSpin%20TwistTurn.AVI" TargetMode="External"/><Relationship Id="rId18" Type="http://schemas.openxmlformats.org/officeDocument/2006/relationships/hyperlink" Target="../../../AppData/Roaming/Microsoft/Excel/ArchivA/videothek/SW%20Bianca%20Au&#223;enseitlicher%20Wechsel%203%20Beispiele.mp4" TargetMode="External"/><Relationship Id="rId26" Type="http://schemas.openxmlformats.org/officeDocument/2006/relationships/hyperlink" Target="../../../AppData/Roaming/Microsoft/Excel/ArchivA/videothek/SW%20Backcheck%20Lockstep.mp4" TargetMode="External"/><Relationship Id="rId39" Type="http://schemas.openxmlformats.org/officeDocument/2006/relationships/hyperlink" Target="../../../AppData/Roaming/Microsoft/Excel/ArchivA/videothek/SW%20Traisa%201.jpeg" TargetMode="External"/><Relationship Id="rId21" Type="http://schemas.openxmlformats.org/officeDocument/2006/relationships/hyperlink" Target="../../../AppData/Roaming/Microsoft/Excel/ArchivA/videothek/SW%20Bianca%20Sterbender%20Schwan%20-%20Herr.mp4" TargetMode="External"/><Relationship Id="rId34" Type="http://schemas.openxmlformats.org/officeDocument/2006/relationships/hyperlink" Target="../../../AppData/Roaming/Microsoft/Excel/ArchivA/videothek/SW%20%20Underarm%20Turn%20With%20a%20Partner%20for%20a%20Waltz.mp4" TargetMode="External"/><Relationship Id="rId42" Type="http://schemas.openxmlformats.org/officeDocument/2006/relationships/printerSettings" Target="../printerSettings/printerSettings10.bin"/><Relationship Id="rId7" Type="http://schemas.openxmlformats.org/officeDocument/2006/relationships/hyperlink" Target="https://www.youtube.com/watch?v=R7KchmqEyOw" TargetMode="External"/><Relationship Id="rId2" Type="http://schemas.openxmlformats.org/officeDocument/2006/relationships/hyperlink" Target="https://www.youtube.com/watch?v=UfrYPVu9ez0" TargetMode="External"/><Relationship Id="rId16" Type="http://schemas.openxmlformats.org/officeDocument/2006/relationships/hyperlink" Target="../../../AppData/Roaming/Microsoft/Excel/ArchivA/videothek/SW%20HaHa%20Walzer%202014_11_mit%20OutsideSpin_TurningLockR.wmv" TargetMode="External"/><Relationship Id="rId20" Type="http://schemas.openxmlformats.org/officeDocument/2006/relationships/hyperlink" Target="../../../AppData/Roaming/Microsoft/Excel/ArchivA/videothek/SW%20Bianca%20Sterbender%20Schwan%20-%20Dame.mp4" TargetMode="External"/><Relationship Id="rId29" Type="http://schemas.openxmlformats.org/officeDocument/2006/relationships/hyperlink" Target="../../../AppData/Roaming/Microsoft/Excel/ArchivA/videothek/SW%20Kristof%20Der%20Stern.mp4" TargetMode="External"/><Relationship Id="rId41" Type="http://schemas.openxmlformats.org/officeDocument/2006/relationships/hyperlink" Target="../../../AppData/Roaming/Microsoft/Excel/ArchivA/videothek/SW%20Traisa%202.jpeg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https://www.youtube.com/watch?v=76Ej_yILcAI" TargetMode="External"/><Relationship Id="rId11" Type="http://schemas.openxmlformats.org/officeDocument/2006/relationships/hyperlink" Target="../../../AppData/Roaming/Microsoft/Excel/ArchivA/videothek/SW%20L2%20A%20Rust26%20ADTV.mp4" TargetMode="External"/><Relationship Id="rId24" Type="http://schemas.openxmlformats.org/officeDocument/2006/relationships/hyperlink" Target="../../../AppData/Roaming/Microsoft/Excel/ArchivA/videothek/SW%20KLM%20%20Tanzwochenende%202006.mp4" TargetMode="External"/><Relationship Id="rId32" Type="http://schemas.openxmlformats.org/officeDocument/2006/relationships/hyperlink" Target="../../../AppData/Roaming/Microsoft/Excel/ArchivA/videothek/SW%20Open%20Natural%20&amp;%20Outside%20Spin%20-%20Slow%20Waltz.mp4" TargetMode="External"/><Relationship Id="rId37" Type="http://schemas.openxmlformats.org/officeDocument/2006/relationships/hyperlink" Target="../../../AppData/Roaming/Microsoft/Excel/ArchivA/videothek/SW%20Kristof%20Rd%20Z&#246;gWe%20Chas%20Ronde%20&#220;bg%20I.mp4" TargetMode="External"/><Relationship Id="rId40" Type="http://schemas.openxmlformats.org/officeDocument/2006/relationships/hyperlink" Target="../../../AppData/Roaming/Microsoft/Excel/ArchivA/videothek/SW%20Traisa%202.jpeg" TargetMode="External"/><Relationship Id="rId5" Type="http://schemas.openxmlformats.org/officeDocument/2006/relationships/hyperlink" Target="https://www.youtube.com/watch?v=76Ej_yILcAI" TargetMode="External"/><Relationship Id="rId15" Type="http://schemas.openxmlformats.org/officeDocument/2006/relationships/hyperlink" Target="../../../AppData/Roaming/Microsoft/Excel/ArchivA/videothek/SW%20HaHa%20Walzer%202014_11_mit%20OutsideSpin_TurningLockR%20B.wmv" TargetMode="External"/><Relationship Id="rId23" Type="http://schemas.openxmlformats.org/officeDocument/2006/relationships/hyperlink" Target="../../../AppData/Roaming/Microsoft/Excel/ArchivA/videothek/SW%20English%20Waltz%20Lesson_%20Open%20Right%20Turn%20(Konstantin).mp4" TargetMode="External"/><Relationship Id="rId28" Type="http://schemas.openxmlformats.org/officeDocument/2006/relationships/hyperlink" Target="../../../AppData/Roaming/Microsoft/Excel/ArchivA/videothek/SW%20Backcheck%20Z&#246;gerwechsel.mp4" TargetMode="External"/><Relationship Id="rId36" Type="http://schemas.openxmlformats.org/officeDocument/2006/relationships/hyperlink" Target="../../../AppData/Roaming/Microsoft/Excel/ArchivA/videothek/SW%20Kristof%20Rd%20Z&#246;gWe%20Chas%20Ronde%20Endlauf%20II.mp4" TargetMode="External"/><Relationship Id="rId10" Type="http://schemas.openxmlformats.org/officeDocument/2006/relationships/hyperlink" Target="../../../AppData/Roaming/Microsoft/Excel/ArchivA/videothek/SW%20Rust25%20MHull%20.mp4" TargetMode="External"/><Relationship Id="rId19" Type="http://schemas.openxmlformats.org/officeDocument/2006/relationships/hyperlink" Target="../../../AppData/Roaming/Microsoft/Excel/ArchivA/videothek/SW%20Bianca%20Oversway.MOV" TargetMode="External"/><Relationship Id="rId31" Type="http://schemas.openxmlformats.org/officeDocument/2006/relationships/hyperlink" Target="../../../AppData/Roaming/Microsoft/Excel/ArchivA/videothek/SW%20Oversway.mp4" TargetMode="External"/><Relationship Id="rId4" Type="http://schemas.openxmlformats.org/officeDocument/2006/relationships/hyperlink" Target="https://youtu.be/SFZnF86v0Lg" TargetMode="External"/><Relationship Id="rId9" Type="http://schemas.openxmlformats.org/officeDocument/2006/relationships/hyperlink" Target="https://www.youtube.com/watch?v=4yQb4sT8KkE" TargetMode="External"/><Relationship Id="rId14" Type="http://schemas.openxmlformats.org/officeDocument/2006/relationships/hyperlink" Target="../../../AppData/Roaming/Microsoft/Excel/ArchivA/videothek/SW%20HaHa%20Slow%20Waltz%202015%2005.wmv" TargetMode="External"/><Relationship Id="rId22" Type="http://schemas.openxmlformats.org/officeDocument/2006/relationships/hyperlink" Target="../../../AppData/Roaming/Microsoft/Excel/ArchivA/videothek/SW%20Bianca%20Windm&#252;hle.mp4" TargetMode="External"/><Relationship Id="rId27" Type="http://schemas.openxmlformats.org/officeDocument/2006/relationships/hyperlink" Target="../../../AppData/Roaming/Microsoft/Excel/ArchivA/videothek/SW%20Backcheck%20Outside%20Change.mp4" TargetMode="External"/><Relationship Id="rId30" Type="http://schemas.openxmlformats.org/officeDocument/2006/relationships/hyperlink" Target="../../../AppData/Roaming/Microsoft/Excel/ArchivA/videothek/SW%20Krist&#243;f%20Stern%20Basictraining%20Krist&#243;f.mp4" TargetMode="External"/><Relationship Id="rId35" Type="http://schemas.openxmlformats.org/officeDocument/2006/relationships/hyperlink" Target="../../../AppData/Roaming/Microsoft/Excel/ArchivA/videothek/SW%20Kristof%20Rd%20Z&#246;gWe%20Chas%20Ronde%20Endlauf%20I.mp4" TargetMode="External"/><Relationship Id="rId8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youtube.com/watch?v=OiMRm3qTPcg" TargetMode="External"/><Relationship Id="rId12" Type="http://schemas.openxmlformats.org/officeDocument/2006/relationships/hyperlink" Target="../../../AppData/Roaming/Microsoft/Excel/ArchivA/videothek/SW%20L2%20B%20Rust26%20ADTV.mp4" TargetMode="External"/><Relationship Id="rId17" Type="http://schemas.openxmlformats.org/officeDocument/2006/relationships/hyperlink" Target="../../../AppData/Roaming/Microsoft/Excel/ArchivA/videothek/SW%20HaHa%20Walzer%20langsam%202015%2008.wmv" TargetMode="External"/><Relationship Id="rId25" Type="http://schemas.openxmlformats.org/officeDocument/2006/relationships/hyperlink" Target="../../../AppData/Roaming/Microsoft/Excel/ArchivA/videothek/SW%20Backcheck%20Endlauf.mp4" TargetMode="External"/><Relationship Id="rId33" Type="http://schemas.openxmlformats.org/officeDocument/2006/relationships/hyperlink" Target="../../../AppData/Roaming/Microsoft/Excel/ArchivA/videothek/SW%20Slow%20Waltz%20Basic%20_%20Szymon%20Kalinowski%20&amp;%20Grazyna%20Grabicka%20_%20Figure%20names,%20counting,%20music.mp4" TargetMode="External"/><Relationship Id="rId38" Type="http://schemas.openxmlformats.org/officeDocument/2006/relationships/hyperlink" Target="../../../AppData/Roaming/Microsoft/Excel/ArchivA/videothek/SW%20Kristof%20Rd%20Z&#246;gWe%20Chas%20Ronde%20&#220;bg%20II.mp4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NyBPjhCQnT4" TargetMode="External"/><Relationship Id="rId13" Type="http://schemas.openxmlformats.org/officeDocument/2006/relationships/hyperlink" Target="../../../AppData/Roaming/Microsoft/Excel/ArchivA/videothek/TG%20L1-2%20A%20Rust26%20RFrieling.mp4" TargetMode="External"/><Relationship Id="rId18" Type="http://schemas.openxmlformats.org/officeDocument/2006/relationships/printerSettings" Target="../printerSettings/printerSettings11.bin"/><Relationship Id="rId3" Type="http://schemas.openxmlformats.org/officeDocument/2006/relationships/hyperlink" Target="https://www.youtube.com/watch?v=XJCntxh9fpc%20%20%20%20%20%20%20ab%20Minute%202:08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../../../AppData/Roaming/Microsoft/Excel/ArchivA/videothek/TG%205Step%20Rust25%20EnglMan.mp4" TargetMode="External"/><Relationship Id="rId17" Type="http://schemas.openxmlformats.org/officeDocument/2006/relationships/hyperlink" Target="../../../AppData/Roaming/Microsoft/Excel/ArchivA/videothek/TG%20Hans%20Wiener%20Walzer%20LinksDrehung.AVI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../../../AppData/Roaming/Microsoft/Excel/ArchivA/videothek/TG%20Krist&#243;f%20Workshop%20am%2028.3.26.mp4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Tw7zJY0_MMM" TargetMode="External"/><Relationship Id="rId11" Type="http://schemas.openxmlformats.org/officeDocument/2006/relationships/hyperlink" Target="../../../AppData/Roaming/Microsoft/Excel/ArchivA/videothek/TG%20Rust25%20AKiefer.mp4" TargetMode="External"/><Relationship Id="rId5" Type="http://schemas.openxmlformats.org/officeDocument/2006/relationships/hyperlink" Target="https://www.youtube.com/watch?v=QA2GeuRZmqg" TargetMode="External"/><Relationship Id="rId15" Type="http://schemas.openxmlformats.org/officeDocument/2006/relationships/hyperlink" Target="../../../AppData/Roaming/Microsoft/Excel/ArchivA/videothek/TG%20L1-2%20B%20Rust26%20RFrieling%20Notitz.jpg" TargetMode="External"/><Relationship Id="rId10" Type="http://schemas.openxmlformats.org/officeDocument/2006/relationships/hyperlink" Target="../../../AppData/Roaming/Microsoft/Excel/ArchivA/videothek/TG%20Rust25%20ADTV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WpgcXLElWPo" TargetMode="External"/><Relationship Id="rId14" Type="http://schemas.openxmlformats.org/officeDocument/2006/relationships/hyperlink" Target="../../../AppData/Roaming/Microsoft/Excel/ArchivA/videothek/TG%20L1-2%20B%20Rust26%20Frieling.mp4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videothek/WW%20L2-3%20Rust26%20RFrieling.mp4" TargetMode="External"/><Relationship Id="rId3" Type="http://schemas.openxmlformats.org/officeDocument/2006/relationships/hyperlink" Target="https://youtu.be/uaxLFh0acRs" TargetMode="External"/><Relationship Id="rId7" Type="http://schemas.openxmlformats.org/officeDocument/2006/relationships/hyperlink" Target="../../../AppData/AppData/Roaming/Microsoft/Excel/Archiv/Archiv/videothek/WW%20L1-2%20Pendelfiguren%20Rust26%20ADTV.mp4" TargetMode="External"/><Relationship Id="rId2" Type="http://schemas.openxmlformats.org/officeDocument/2006/relationships/hyperlink" Target="https://www.youtube.com/watch?v=OiMRm3qTPcg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fH__CSFSjKQ" TargetMode="External"/><Relationship Id="rId9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LAT%20ChaCha%20Solo%20(Footwork).mp4" TargetMode="External"/><Relationship Id="rId13" Type="http://schemas.openxmlformats.org/officeDocument/2006/relationships/hyperlink" Target="../../../AppData/AppData/Roaming/Microsoft/Excel/Archiv/Archiv/ArchivA/videothek/LAT%20Dreh&#252;bung%20Nr%201.mp4" TargetMode="External"/><Relationship Id="rId18" Type="http://schemas.openxmlformats.org/officeDocument/2006/relationships/hyperlink" Target="../../../AppData/AppData/Roaming/Microsoft/Excel/Archiv/Archiv/ArchivA/videothek/LAT%20Dreh&#252;bung%20Nr.6%20Eine%20Folge.mp4" TargetMode="External"/><Relationship Id="rId26" Type="http://schemas.openxmlformats.org/officeDocument/2006/relationships/printerSettings" Target="../printerSettings/printerSettings13.bin"/><Relationship Id="rId3" Type="http://schemas.openxmlformats.org/officeDocument/2006/relationships/hyperlink" Target="../../../AppData/AppData/Roaming/Microsoft/Excel/Archiv/Archiv/ArchivA/videothek/LAT%20Armbewegung%201.mp4" TargetMode="External"/><Relationship Id="rId21" Type="http://schemas.openxmlformats.org/officeDocument/2006/relationships/hyperlink" Target="../../../AppData/AppData/Roaming/Microsoft/Excel/Archiv/Archiv/ArchivA/videothek/LAT%20Latein%20Fu&#223;technik.mp4" TargetMode="External"/><Relationship Id="rId7" Type="http://schemas.openxmlformats.org/officeDocument/2006/relationships/hyperlink" Target="../../../AppData/AppData/Roaming/Microsoft/Excel/Archiv/Archiv/ArchivA/videothek/LAT%20Armbewegung_4.mp4" TargetMode="External"/><Relationship Id="rId12" Type="http://schemas.openxmlformats.org/officeDocument/2006/relationships/hyperlink" Target="../../../AppData/AppData/Roaming/Microsoft/Excel/Archiv/Archiv/ArchivA/videothek/LAT%20Drehtechnik%203.mp4" TargetMode="External"/><Relationship Id="rId17" Type="http://schemas.openxmlformats.org/officeDocument/2006/relationships/hyperlink" Target="../../../AppData/AppData/Roaming/Microsoft/Excel/Archiv/Archiv/ArchivA/videothek/LAT%20Dreh&#252;bung%20Nr%205.mp4" TargetMode="External"/><Relationship Id="rId25" Type="http://schemas.openxmlformats.org/officeDocument/2006/relationships/hyperlink" Target="../../../AppData/AppData/Roaming/Microsoft/Excel/Archiv/Archiv/ArchivA/videothek/LAT%201%20Chucharacha%20Fu&#223;technik.mp4" TargetMode="External"/><Relationship Id="rId2" Type="http://schemas.openxmlformats.org/officeDocument/2006/relationships/hyperlink" Target="../../../AppData/AppData/Roaming/Microsoft/Excel/Archiv/Archiv/ArchivA/videothek/LAT%203%20Chucharacha%20H&#252;ftbewegung.mp4" TargetMode="External"/><Relationship Id="rId16" Type="http://schemas.openxmlformats.org/officeDocument/2006/relationships/hyperlink" Target="../../../AppData/AppData/Roaming/Microsoft/Excel/Archiv/Archiv/ArchivA/videothek/LAT%20Dreh&#252;bung%20Nr%204.mp4" TargetMode="External"/><Relationship Id="rId20" Type="http://schemas.openxmlformats.org/officeDocument/2006/relationships/hyperlink" Target="../../../AppData/AppData/Roaming/Microsoft/Excel/Archiv/Archiv/ArchivA/videothek/LAT%20Langsamer%20Walzer%20Swing%20and%20Shape.mp4" TargetMode="External"/><Relationship Id="rId1" Type="http://schemas.openxmlformats.org/officeDocument/2006/relationships/hyperlink" Target="../../../AppData/AppData/Roaming/Microsoft/Excel/Archiv/Archiv/ArchivA/videothek/LAT%202%20Chucharacha%20Timing.mp4" TargetMode="External"/><Relationship Id="rId6" Type="http://schemas.openxmlformats.org/officeDocument/2006/relationships/hyperlink" Target="../../../AppData/AppData/Roaming/Microsoft/Excel/Archiv/Archiv/ArchivA/videothek/LAT%20Armbewegung%204.mp4" TargetMode="External"/><Relationship Id="rId11" Type="http://schemas.openxmlformats.org/officeDocument/2006/relationships/hyperlink" Target="../../../AppData/AppData/Roaming/Microsoft/Excel/Archiv/Archiv/ArchivA/videothek/LAT%20Drehtechnik%202.mp4" TargetMode="External"/><Relationship Id="rId24" Type="http://schemas.openxmlformats.org/officeDocument/2006/relationships/hyperlink" Target="../../../AppData/AppData/Roaming/Microsoft/Excel/Archiv/Archiv/ArchivA/videothek/LAT%20Samba%20Basic%20&amp;%20Bounce.mp4" TargetMode="External"/><Relationship Id="rId5" Type="http://schemas.openxmlformats.org/officeDocument/2006/relationships/hyperlink" Target="../../../AppData/AppData/Roaming/Microsoft/Excel/Archiv/Archiv/ArchivA/videothek/LAT%20Armbewegung%203.mp4" TargetMode="External"/><Relationship Id="rId15" Type="http://schemas.openxmlformats.org/officeDocument/2006/relationships/hyperlink" Target="../../../AppData/AppData/Roaming/Microsoft/Excel/Archiv/Archiv/ArchivA/videothek/LAT%20Dreh&#252;bung%20Nr%203.mp4" TargetMode="External"/><Relationship Id="rId23" Type="http://schemas.openxmlformats.org/officeDocument/2006/relationships/hyperlink" Target="../../../AppData/AppData/Roaming/Microsoft/Excel/Archiv/Archiv/ArchivA/videothek/LAT%20SAM%20Voltas,%20Botafogo.mp4" TargetMode="External"/><Relationship Id="rId10" Type="http://schemas.openxmlformats.org/officeDocument/2006/relationships/hyperlink" Target="../../../AppData/AppData/Roaming/Microsoft/Excel/Archiv/Archiv/ArchivA/videothek/LAT%20Drehtechnik%201.mp4" TargetMode="External"/><Relationship Id="rId19" Type="http://schemas.openxmlformats.org/officeDocument/2006/relationships/hyperlink" Target="../../../AppData/AppData/Roaming/Microsoft/Excel/Archiv/Archiv/ArchivA/videothek/LAT%20Jive%20Grundtechnik.mp4" TargetMode="External"/><Relationship Id="rId4" Type="http://schemas.openxmlformats.org/officeDocument/2006/relationships/hyperlink" Target="../../../AppData/AppData/Roaming/Microsoft/Excel/Archiv/Archiv/ArchivA/videothek/LAT%20Armbewegung%202.mp4" TargetMode="External"/><Relationship Id="rId9" Type="http://schemas.openxmlformats.org/officeDocument/2006/relationships/hyperlink" Target="../../../AppData/AppData/Roaming/Microsoft/Excel/Archiv/Archiv/ArchivA/videothek/LAT%20ChaCha%20Solo%20(H&#252;ftrotation).mp4" TargetMode="External"/><Relationship Id="rId14" Type="http://schemas.openxmlformats.org/officeDocument/2006/relationships/hyperlink" Target="../../../AppData/AppData/Roaming/Microsoft/Excel/Archiv/Archiv/ArchivA/videothek/LAT%20Dreh&#252;bung%20Nr%202.mp4" TargetMode="External"/><Relationship Id="rId22" Type="http://schemas.openxmlformats.org/officeDocument/2006/relationships/hyperlink" Target="../../../AppData/AppData/Roaming/Microsoft/Excel/Archiv/Archiv/ArchivA/videothek/LAT%20Rumba%20H&#252;fte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zoomScaleNormal="100" zoomScaleSheetLayoutView="112" workbookViewId="0">
      <selection activeCell="G3" sqref="G3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2" customFormat="1" ht="20.399999999999999">
      <c r="A1" s="301" t="s">
        <v>744</v>
      </c>
      <c r="D1" s="301" t="s">
        <v>782</v>
      </c>
    </row>
    <row r="2" spans="1:4" s="302" customFormat="1" ht="19.95" customHeight="1">
      <c r="A2" s="303"/>
    </row>
    <row r="3" spans="1:4" s="302" customFormat="1" ht="30" customHeight="1">
      <c r="A3" s="299" t="s">
        <v>708</v>
      </c>
    </row>
    <row r="4" spans="1:4" ht="25.05" customHeight="1">
      <c r="A4" s="267" t="s">
        <v>740</v>
      </c>
      <c r="B4" s="266" t="s">
        <v>68</v>
      </c>
      <c r="C4" s="265" t="s">
        <v>707</v>
      </c>
      <c r="D4" s="266"/>
    </row>
    <row r="5" spans="1:4" ht="25.05" customHeight="1">
      <c r="A5" s="267" t="s">
        <v>740</v>
      </c>
      <c r="B5" s="266"/>
      <c r="C5" s="265" t="s">
        <v>707</v>
      </c>
      <c r="D5" s="266"/>
    </row>
    <row r="6" spans="1:4" ht="25.05" customHeight="1">
      <c r="A6" s="267" t="s">
        <v>740</v>
      </c>
      <c r="B6" s="266" t="s">
        <v>11</v>
      </c>
      <c r="C6" s="265" t="s">
        <v>707</v>
      </c>
      <c r="D6" s="266"/>
    </row>
    <row r="7" spans="1:4" ht="25.05" customHeight="1">
      <c r="A7" s="267" t="s">
        <v>740</v>
      </c>
      <c r="B7" s="266" t="s">
        <v>7</v>
      </c>
      <c r="C7" s="265" t="s">
        <v>707</v>
      </c>
      <c r="D7" s="266"/>
    </row>
    <row r="8" spans="1:4" s="302" customFormat="1" ht="25.05" customHeight="1">
      <c r="A8" s="267" t="s">
        <v>740</v>
      </c>
      <c r="B8" s="266" t="s">
        <v>32</v>
      </c>
      <c r="C8" s="265" t="s">
        <v>707</v>
      </c>
      <c r="D8" s="266" t="s">
        <v>612</v>
      </c>
    </row>
    <row r="9" spans="1:4" s="302" customFormat="1" ht="25.05" customHeight="1">
      <c r="A9" s="292" t="s">
        <v>740</v>
      </c>
      <c r="B9" s="266" t="s">
        <v>91</v>
      </c>
      <c r="C9" s="265" t="s">
        <v>707</v>
      </c>
      <c r="D9" s="266"/>
    </row>
    <row r="10" spans="1:4" ht="25.05" customHeight="1">
      <c r="A10" s="267" t="s">
        <v>740</v>
      </c>
      <c r="B10" s="266" t="s">
        <v>43</v>
      </c>
      <c r="C10" s="265" t="s">
        <v>707</v>
      </c>
      <c r="D10" s="266"/>
    </row>
    <row r="11" spans="1:4" ht="25.05" customHeight="1">
      <c r="A11" s="267" t="s">
        <v>740</v>
      </c>
      <c r="B11" s="266" t="s">
        <v>212</v>
      </c>
      <c r="C11" s="265" t="s">
        <v>707</v>
      </c>
      <c r="D11" s="266" t="s">
        <v>662</v>
      </c>
    </row>
    <row r="12" spans="1:4" ht="25.05" customHeight="1">
      <c r="A12" s="267" t="s">
        <v>740</v>
      </c>
      <c r="B12" s="266" t="s">
        <v>31</v>
      </c>
      <c r="C12" s="265" t="s">
        <v>707</v>
      </c>
      <c r="D12" s="266"/>
    </row>
    <row r="13" spans="1:4" s="302" customFormat="1" ht="25.05" customHeight="1">
      <c r="A13" s="306"/>
      <c r="B13" s="304"/>
      <c r="C13" s="305"/>
      <c r="D13" s="304"/>
    </row>
    <row r="14" spans="1:4" s="302" customFormat="1" ht="30" customHeight="1">
      <c r="A14" s="300" t="s">
        <v>709</v>
      </c>
      <c r="B14" s="304"/>
      <c r="C14" s="305"/>
      <c r="D14" s="304"/>
    </row>
    <row r="15" spans="1:4" ht="25.05" customHeight="1">
      <c r="A15" s="267" t="s">
        <v>737</v>
      </c>
      <c r="B15" s="266" t="s">
        <v>0</v>
      </c>
      <c r="C15" s="265" t="s">
        <v>707</v>
      </c>
      <c r="D15" s="266" t="s">
        <v>30</v>
      </c>
    </row>
    <row r="16" spans="1:4" s="302" customFormat="1" ht="25.05" customHeight="1">
      <c r="A16" s="267" t="s">
        <v>737</v>
      </c>
      <c r="B16" s="266" t="s">
        <v>22</v>
      </c>
      <c r="C16" s="265" t="s">
        <v>707</v>
      </c>
      <c r="D16" s="266" t="s">
        <v>9</v>
      </c>
    </row>
    <row r="17" spans="1:4" s="302" customFormat="1" ht="25.05" customHeight="1">
      <c r="A17" s="292" t="s">
        <v>737</v>
      </c>
      <c r="B17" s="266" t="s">
        <v>8</v>
      </c>
      <c r="C17" s="265" t="s">
        <v>707</v>
      </c>
      <c r="D17" s="266"/>
    </row>
    <row r="18" spans="1:4" ht="25.05" customHeight="1">
      <c r="A18" s="267" t="s">
        <v>737</v>
      </c>
      <c r="B18" s="266" t="s">
        <v>7</v>
      </c>
      <c r="C18" s="265" t="s">
        <v>707</v>
      </c>
      <c r="D18" s="266"/>
    </row>
    <row r="19" spans="1:4" ht="25.05" customHeight="1">
      <c r="A19" s="267" t="s">
        <v>737</v>
      </c>
      <c r="B19" s="266" t="s">
        <v>6</v>
      </c>
      <c r="C19" s="265" t="s">
        <v>707</v>
      </c>
      <c r="D19" s="266"/>
    </row>
    <row r="20" spans="1:4" s="302" customFormat="1" ht="25.05" customHeight="1">
      <c r="A20" s="267" t="s">
        <v>737</v>
      </c>
      <c r="B20" s="266" t="s">
        <v>650</v>
      </c>
      <c r="C20" s="265" t="s">
        <v>707</v>
      </c>
      <c r="D20" s="266" t="s">
        <v>651</v>
      </c>
    </row>
    <row r="21" spans="1:4" s="302" customFormat="1" ht="30" customHeight="1">
      <c r="A21" s="292" t="s">
        <v>737</v>
      </c>
      <c r="B21" s="266"/>
      <c r="C21" s="264" t="s">
        <v>766</v>
      </c>
      <c r="D21" s="266" t="s">
        <v>107</v>
      </c>
    </row>
    <row r="22" spans="1:4" s="302" customFormat="1" ht="25.05" customHeight="1">
      <c r="A22" s="267" t="s">
        <v>737</v>
      </c>
      <c r="B22" s="266" t="s">
        <v>696</v>
      </c>
      <c r="C22" s="265" t="s">
        <v>707</v>
      </c>
      <c r="D22" s="266" t="s">
        <v>16</v>
      </c>
    </row>
    <row r="23" spans="1:4" s="302" customFormat="1" ht="30" customHeight="1">
      <c r="A23" s="292" t="s">
        <v>737</v>
      </c>
      <c r="B23" s="266"/>
      <c r="C23" s="265" t="s">
        <v>707</v>
      </c>
      <c r="D23" s="266" t="s">
        <v>701</v>
      </c>
    </row>
    <row r="24" spans="1:4" ht="25.05" customHeight="1">
      <c r="A24" s="267" t="s">
        <v>737</v>
      </c>
      <c r="B24" s="266"/>
      <c r="C24" s="265" t="s">
        <v>707</v>
      </c>
      <c r="D24" s="266"/>
    </row>
    <row r="25" spans="1:4" ht="25.05" customHeight="1">
      <c r="A25" s="267" t="s">
        <v>737</v>
      </c>
      <c r="B25" s="266" t="s">
        <v>38</v>
      </c>
      <c r="C25" s="265" t="s">
        <v>707</v>
      </c>
      <c r="D25" s="266"/>
    </row>
    <row r="26" spans="1:4" ht="27.6">
      <c r="A26" s="267" t="s">
        <v>737</v>
      </c>
      <c r="B26" s="266"/>
      <c r="C26" s="265" t="s">
        <v>707</v>
      </c>
      <c r="D26" s="266" t="s">
        <v>658</v>
      </c>
    </row>
    <row r="27" spans="1:4" ht="25.05" customHeight="1">
      <c r="A27" s="267" t="s">
        <v>737</v>
      </c>
      <c r="B27" s="266" t="s">
        <v>652</v>
      </c>
      <c r="C27" s="265" t="s">
        <v>707</v>
      </c>
      <c r="D27" s="266"/>
    </row>
    <row r="28" spans="1:4" ht="25.05" customHeight="1">
      <c r="A28" s="267" t="s">
        <v>737</v>
      </c>
      <c r="B28" s="266"/>
      <c r="C28" s="265" t="s">
        <v>707</v>
      </c>
      <c r="D28" s="266" t="s">
        <v>655</v>
      </c>
    </row>
    <row r="29" spans="1:4" s="302" customFormat="1" ht="25.05" customHeight="1">
      <c r="A29" s="306"/>
      <c r="B29" s="304"/>
      <c r="C29" s="305"/>
      <c r="D29" s="304"/>
    </row>
    <row r="30" spans="1:4" s="302" customFormat="1" ht="30" customHeight="1">
      <c r="A30" s="300" t="s">
        <v>710</v>
      </c>
      <c r="B30" s="304"/>
      <c r="C30" s="305"/>
      <c r="D30" s="304"/>
    </row>
    <row r="31" spans="1:4" s="302" customFormat="1" ht="25.05" customHeight="1">
      <c r="A31" s="267" t="s">
        <v>738</v>
      </c>
      <c r="B31" s="266" t="s">
        <v>0</v>
      </c>
      <c r="C31" s="265" t="s">
        <v>707</v>
      </c>
      <c r="D31" s="266"/>
    </row>
    <row r="32" spans="1:4" s="302" customFormat="1" ht="25.05" customHeight="1">
      <c r="A32" s="292" t="s">
        <v>738</v>
      </c>
      <c r="B32" s="266" t="s">
        <v>26</v>
      </c>
      <c r="C32" s="265" t="s">
        <v>707</v>
      </c>
      <c r="D32" s="266"/>
    </row>
    <row r="33" spans="1:4" ht="25.05" customHeight="1">
      <c r="A33" s="267" t="s">
        <v>738</v>
      </c>
      <c r="B33" s="266" t="s">
        <v>5</v>
      </c>
      <c r="C33" s="265" t="s">
        <v>707</v>
      </c>
      <c r="D33" s="266"/>
    </row>
    <row r="34" spans="1:4" ht="25.05" customHeight="1">
      <c r="A34" s="267" t="s">
        <v>738</v>
      </c>
      <c r="B34" s="266"/>
      <c r="C34" s="265" t="s">
        <v>707</v>
      </c>
      <c r="D34" s="266" t="s">
        <v>216</v>
      </c>
    </row>
    <row r="35" spans="1:4" ht="25.05" customHeight="1">
      <c r="A35" s="267" t="s">
        <v>738</v>
      </c>
      <c r="B35" s="266"/>
      <c r="C35" s="265" t="s">
        <v>707</v>
      </c>
      <c r="D35" s="266" t="s">
        <v>217</v>
      </c>
    </row>
    <row r="36" spans="1:4" ht="27.6">
      <c r="A36" s="267" t="s">
        <v>738</v>
      </c>
      <c r="B36" s="266"/>
      <c r="C36" s="265" t="s">
        <v>707</v>
      </c>
      <c r="D36" s="266" t="s">
        <v>219</v>
      </c>
    </row>
    <row r="37" spans="1:4" s="302" customFormat="1" ht="25.05" customHeight="1">
      <c r="A37" s="267" t="s">
        <v>738</v>
      </c>
      <c r="B37" s="266" t="s">
        <v>69</v>
      </c>
      <c r="C37" s="265" t="s">
        <v>707</v>
      </c>
      <c r="D37" s="266"/>
    </row>
    <row r="38" spans="1:4" s="302" customFormat="1" ht="30" customHeight="1">
      <c r="A38" s="314"/>
      <c r="B38" s="304"/>
      <c r="C38" s="305"/>
      <c r="D38" s="304"/>
    </row>
    <row r="39" spans="1:4" s="302" customFormat="1" ht="30" customHeight="1">
      <c r="A39" s="300" t="s">
        <v>711</v>
      </c>
      <c r="B39" s="304"/>
      <c r="C39" s="305"/>
      <c r="D39" s="304"/>
    </row>
    <row r="40" spans="1:4" ht="25.05" customHeight="1">
      <c r="A40" s="267" t="s">
        <v>743</v>
      </c>
      <c r="B40" s="266" t="s">
        <v>0</v>
      </c>
      <c r="C40" s="265" t="s">
        <v>707</v>
      </c>
      <c r="D40" s="266"/>
    </row>
    <row r="41" spans="1:4" ht="25.05" customHeight="1">
      <c r="A41" s="292" t="s">
        <v>743</v>
      </c>
      <c r="B41" s="266" t="s">
        <v>13</v>
      </c>
      <c r="C41" s="265" t="s">
        <v>707</v>
      </c>
      <c r="D41" s="266"/>
    </row>
    <row r="42" spans="1:4" s="302" customFormat="1" ht="25.05" customHeight="1">
      <c r="A42" s="267" t="s">
        <v>743</v>
      </c>
      <c r="B42" s="266" t="s">
        <v>690</v>
      </c>
      <c r="C42" s="265" t="s">
        <v>766</v>
      </c>
      <c r="D42" s="266" t="s">
        <v>691</v>
      </c>
    </row>
    <row r="43" spans="1:4" s="302" customFormat="1" ht="30" customHeight="1">
      <c r="A43" s="314"/>
      <c r="B43" s="304"/>
      <c r="C43" s="305"/>
      <c r="D43" s="304"/>
    </row>
    <row r="44" spans="1:4" s="302" customFormat="1" ht="30" customHeight="1">
      <c r="A44" s="300" t="s">
        <v>712</v>
      </c>
      <c r="B44" s="304"/>
      <c r="C44" s="305"/>
      <c r="D44" s="304"/>
    </row>
    <row r="45" spans="1:4" ht="25.05" customHeight="1">
      <c r="A45" s="267" t="s">
        <v>735</v>
      </c>
      <c r="B45" s="266" t="s">
        <v>0</v>
      </c>
      <c r="C45" s="265" t="s">
        <v>707</v>
      </c>
      <c r="D45" s="266" t="s">
        <v>34</v>
      </c>
    </row>
    <row r="46" spans="1:4" ht="25.05" customHeight="1">
      <c r="A46" s="292" t="s">
        <v>735</v>
      </c>
      <c r="B46" s="266" t="s">
        <v>35</v>
      </c>
      <c r="C46" s="265" t="s">
        <v>707</v>
      </c>
      <c r="D46" s="266"/>
    </row>
    <row r="47" spans="1:4" s="302" customFormat="1" ht="25.05" customHeight="1">
      <c r="A47" s="267" t="s">
        <v>735</v>
      </c>
      <c r="B47" s="266" t="s">
        <v>1</v>
      </c>
      <c r="C47" s="265" t="s">
        <v>707</v>
      </c>
      <c r="D47" s="266"/>
    </row>
    <row r="48" spans="1:4" s="302" customFormat="1" ht="25.05" customHeight="1">
      <c r="A48" s="292" t="s">
        <v>735</v>
      </c>
      <c r="B48" s="266" t="s">
        <v>40</v>
      </c>
      <c r="C48" s="265" t="s">
        <v>707</v>
      </c>
      <c r="D48" s="266"/>
    </row>
    <row r="49" spans="1:4" s="302" customFormat="1" ht="25.05" customHeight="1">
      <c r="A49" s="267" t="s">
        <v>735</v>
      </c>
      <c r="B49" s="266" t="s">
        <v>41</v>
      </c>
      <c r="C49" s="265" t="s">
        <v>707</v>
      </c>
      <c r="D49" s="266"/>
    </row>
    <row r="50" spans="1:4" s="302" customFormat="1" ht="27.6">
      <c r="A50" s="292" t="s">
        <v>735</v>
      </c>
      <c r="B50" s="266" t="s">
        <v>763</v>
      </c>
      <c r="C50" s="265" t="s">
        <v>707</v>
      </c>
      <c r="D50" s="266" t="s">
        <v>630</v>
      </c>
    </row>
    <row r="51" spans="1:4" ht="25.05" customHeight="1">
      <c r="A51" s="292" t="s">
        <v>735</v>
      </c>
      <c r="B51" s="266"/>
      <c r="C51" s="265" t="s">
        <v>707</v>
      </c>
      <c r="D51" s="266" t="s">
        <v>631</v>
      </c>
    </row>
    <row r="52" spans="1:4" ht="25.05" customHeight="1">
      <c r="A52" s="267" t="s">
        <v>735</v>
      </c>
      <c r="B52" s="266"/>
      <c r="C52" s="265" t="s">
        <v>707</v>
      </c>
      <c r="D52" s="266" t="s">
        <v>764</v>
      </c>
    </row>
    <row r="53" spans="1:4" ht="30" customHeight="1">
      <c r="A53" s="292" t="s">
        <v>735</v>
      </c>
      <c r="B53" s="266"/>
      <c r="C53" s="265" t="s">
        <v>707</v>
      </c>
      <c r="D53" s="266" t="s">
        <v>632</v>
      </c>
    </row>
    <row r="54" spans="1:4" ht="25.05" customHeight="1">
      <c r="A54" s="267" t="s">
        <v>735</v>
      </c>
      <c r="B54" s="266"/>
      <c r="C54" s="265" t="s">
        <v>707</v>
      </c>
      <c r="D54" s="266" t="s">
        <v>635</v>
      </c>
    </row>
    <row r="55" spans="1:4" ht="25.05" customHeight="1">
      <c r="A55" s="267" t="s">
        <v>735</v>
      </c>
      <c r="B55" s="266" t="s">
        <v>5</v>
      </c>
      <c r="C55" s="265" t="s">
        <v>707</v>
      </c>
      <c r="D55" s="266" t="s">
        <v>37</v>
      </c>
    </row>
    <row r="56" spans="1:4" ht="25.05" customHeight="1">
      <c r="A56" s="267" t="s">
        <v>735</v>
      </c>
      <c r="B56" s="266" t="s">
        <v>36</v>
      </c>
      <c r="C56" s="265" t="s">
        <v>707</v>
      </c>
      <c r="D56" s="266"/>
    </row>
    <row r="57" spans="1:4" s="302" customFormat="1" ht="25.05" customHeight="1">
      <c r="A57" s="267" t="s">
        <v>735</v>
      </c>
      <c r="B57" s="266" t="s">
        <v>773</v>
      </c>
      <c r="C57" s="264" t="s">
        <v>766</v>
      </c>
      <c r="D57" s="266" t="s">
        <v>771</v>
      </c>
    </row>
    <row r="58" spans="1:4" s="302" customFormat="1" ht="30" customHeight="1">
      <c r="A58" s="313"/>
    </row>
    <row r="59" spans="1:4" s="302" customFormat="1" ht="30" customHeight="1">
      <c r="A59" s="300" t="s">
        <v>713</v>
      </c>
      <c r="B59" s="304"/>
      <c r="C59" s="305"/>
      <c r="D59" s="304"/>
    </row>
    <row r="60" spans="1:4" ht="25.05" customHeight="1">
      <c r="A60" s="267" t="s">
        <v>741</v>
      </c>
      <c r="B60" s="266" t="s">
        <v>39</v>
      </c>
      <c r="C60" s="265" t="s">
        <v>707</v>
      </c>
      <c r="D60" s="266"/>
    </row>
    <row r="61" spans="1:4" ht="25.05" customHeight="1">
      <c r="A61" s="267" t="s">
        <v>741</v>
      </c>
      <c r="B61" s="266" t="s">
        <v>45</v>
      </c>
      <c r="C61" s="265" t="s">
        <v>707</v>
      </c>
      <c r="D61" s="266"/>
    </row>
    <row r="62" spans="1:4" ht="25.05" customHeight="1">
      <c r="A62" s="267" t="s">
        <v>741</v>
      </c>
      <c r="B62" s="266" t="s">
        <v>24</v>
      </c>
      <c r="C62" s="265" t="s">
        <v>707</v>
      </c>
      <c r="D62" s="266"/>
    </row>
    <row r="63" spans="1:4" ht="27.6">
      <c r="A63" s="267" t="s">
        <v>741</v>
      </c>
      <c r="B63" s="266" t="s">
        <v>46</v>
      </c>
      <c r="C63" s="265" t="s">
        <v>707</v>
      </c>
      <c r="D63" s="266"/>
    </row>
    <row r="64" spans="1:4" ht="25.05" customHeight="1">
      <c r="A64" s="267" t="s">
        <v>741</v>
      </c>
      <c r="B64" s="266" t="s">
        <v>4</v>
      </c>
      <c r="C64" s="265" t="s">
        <v>707</v>
      </c>
      <c r="D64" s="266"/>
    </row>
    <row r="65" spans="1:4" ht="27.6">
      <c r="A65" s="267" t="s">
        <v>741</v>
      </c>
      <c r="B65" s="266" t="s">
        <v>33</v>
      </c>
      <c r="C65" s="265" t="s">
        <v>707</v>
      </c>
      <c r="D65" s="266"/>
    </row>
    <row r="66" spans="1:4" ht="25.05" customHeight="1">
      <c r="A66" s="267" t="s">
        <v>741</v>
      </c>
      <c r="B66" s="266" t="s">
        <v>140</v>
      </c>
      <c r="C66" s="265" t="s">
        <v>707</v>
      </c>
      <c r="D66" s="266"/>
    </row>
    <row r="67" spans="1:4" ht="96.6">
      <c r="A67" s="267" t="s">
        <v>741</v>
      </c>
      <c r="B67" s="266" t="s">
        <v>746</v>
      </c>
      <c r="C67" s="264" t="s">
        <v>766</v>
      </c>
      <c r="D67" s="266" t="s">
        <v>48</v>
      </c>
    </row>
    <row r="68" spans="1:4" s="302" customFormat="1" ht="69">
      <c r="A68" s="267" t="s">
        <v>741</v>
      </c>
      <c r="B68" s="266" t="s">
        <v>733</v>
      </c>
      <c r="C68" s="264" t="s">
        <v>766</v>
      </c>
      <c r="D68" s="266" t="s">
        <v>734</v>
      </c>
    </row>
    <row r="69" spans="1:4" s="302" customFormat="1" ht="30" customHeight="1">
      <c r="A69" s="313"/>
    </row>
    <row r="70" spans="1:4" s="302" customFormat="1" ht="30" customHeight="1">
      <c r="A70" s="300" t="s">
        <v>714</v>
      </c>
      <c r="B70" s="304"/>
      <c r="C70" s="305"/>
      <c r="D70" s="304"/>
    </row>
    <row r="71" spans="1:4" ht="25.05" customHeight="1">
      <c r="A71" s="267" t="s">
        <v>736</v>
      </c>
      <c r="B71" s="266" t="s">
        <v>728</v>
      </c>
      <c r="C71" s="265" t="s">
        <v>707</v>
      </c>
      <c r="D71" s="266"/>
    </row>
    <row r="72" spans="1:4" ht="25.05" customHeight="1">
      <c r="A72" s="267" t="s">
        <v>736</v>
      </c>
      <c r="B72" s="266"/>
      <c r="C72" s="265" t="s">
        <v>707</v>
      </c>
      <c r="D72" s="266"/>
    </row>
    <row r="73" spans="1:4" ht="25.05" customHeight="1">
      <c r="A73" s="267" t="s">
        <v>736</v>
      </c>
      <c r="B73" s="266" t="s">
        <v>3</v>
      </c>
      <c r="C73" s="265" t="s">
        <v>707</v>
      </c>
      <c r="D73" s="266"/>
    </row>
    <row r="74" spans="1:4" ht="25.05" customHeight="1">
      <c r="A74" s="267" t="s">
        <v>736</v>
      </c>
      <c r="B74" s="266" t="s">
        <v>2</v>
      </c>
      <c r="C74" s="265" t="s">
        <v>707</v>
      </c>
      <c r="D74" s="266" t="s">
        <v>9</v>
      </c>
    </row>
    <row r="75" spans="1:4" ht="25.05" customHeight="1">
      <c r="A75" s="267" t="s">
        <v>736</v>
      </c>
      <c r="B75" s="266" t="s">
        <v>42</v>
      </c>
      <c r="C75" s="265" t="s">
        <v>707</v>
      </c>
      <c r="D75" s="266"/>
    </row>
    <row r="76" spans="1:4" ht="25.05" customHeight="1">
      <c r="A76" s="267" t="s">
        <v>736</v>
      </c>
      <c r="B76" s="266" t="s">
        <v>21</v>
      </c>
      <c r="C76" s="265" t="s">
        <v>707</v>
      </c>
      <c r="D76" s="266"/>
    </row>
    <row r="77" spans="1:4" ht="25.05" customHeight="1">
      <c r="A77" s="267" t="s">
        <v>736</v>
      </c>
      <c r="B77" s="266"/>
      <c r="C77" s="265" t="s">
        <v>707</v>
      </c>
      <c r="D77" s="266"/>
    </row>
    <row r="78" spans="1:4" ht="25.05" customHeight="1">
      <c r="A78" s="267" t="s">
        <v>736</v>
      </c>
      <c r="B78" s="266" t="s">
        <v>745</v>
      </c>
      <c r="C78" s="265" t="s">
        <v>707</v>
      </c>
      <c r="D78" s="266" t="s">
        <v>214</v>
      </c>
    </row>
    <row r="79" spans="1:4" s="302" customFormat="1" ht="30" customHeight="1">
      <c r="A79" s="267" t="s">
        <v>736</v>
      </c>
      <c r="B79" s="266"/>
      <c r="C79" s="265" t="s">
        <v>707</v>
      </c>
      <c r="D79" s="266"/>
    </row>
    <row r="80" spans="1:4" s="302" customFormat="1" ht="30" customHeight="1">
      <c r="A80" s="313"/>
    </row>
    <row r="81" spans="1:4" s="302" customFormat="1" ht="30" customHeight="1">
      <c r="A81" s="300" t="s">
        <v>715</v>
      </c>
      <c r="B81" s="304"/>
      <c r="C81" s="305"/>
      <c r="D81" s="304"/>
    </row>
    <row r="82" spans="1:4" ht="25.05" customHeight="1">
      <c r="A82" s="267" t="s">
        <v>739</v>
      </c>
      <c r="B82" s="266" t="s">
        <v>10</v>
      </c>
      <c r="C82" s="265" t="s">
        <v>707</v>
      </c>
      <c r="D82" s="266" t="s">
        <v>9</v>
      </c>
    </row>
    <row r="83" spans="1:4" ht="25.05" customHeight="1">
      <c r="A83" s="267" t="s">
        <v>739</v>
      </c>
      <c r="B83" s="266" t="s">
        <v>25</v>
      </c>
      <c r="C83" s="265" t="s">
        <v>707</v>
      </c>
      <c r="D83" s="266" t="s">
        <v>16</v>
      </c>
    </row>
    <row r="84" spans="1:4" ht="25.05" customHeight="1">
      <c r="A84" s="267" t="s">
        <v>739</v>
      </c>
      <c r="B84" s="266" t="s">
        <v>12</v>
      </c>
      <c r="C84" s="265" t="s">
        <v>707</v>
      </c>
      <c r="D84" s="266"/>
    </row>
    <row r="85" spans="1:4" ht="25.05" customHeight="1">
      <c r="A85" s="267" t="s">
        <v>739</v>
      </c>
      <c r="B85" s="266" t="s">
        <v>20</v>
      </c>
      <c r="C85" s="265" t="s">
        <v>707</v>
      </c>
      <c r="D85" s="266"/>
    </row>
    <row r="86" spans="1:4" s="302" customFormat="1" ht="30" customHeight="1">
      <c r="A86" s="267" t="s">
        <v>739</v>
      </c>
      <c r="B86" s="266"/>
      <c r="C86" s="265" t="s">
        <v>707</v>
      </c>
      <c r="D86" s="266"/>
    </row>
    <row r="87" spans="1:4" s="302" customFormat="1" ht="30" customHeight="1">
      <c r="A87" s="313"/>
    </row>
    <row r="88" spans="1:4" s="302" customFormat="1" ht="30" customHeight="1">
      <c r="A88" s="299" t="s">
        <v>716</v>
      </c>
    </row>
    <row r="89" spans="1:4" s="302" customFormat="1" ht="30" customHeight="1">
      <c r="A89" s="313"/>
    </row>
    <row r="90" spans="1:4" s="302" customFormat="1" ht="30" customHeight="1">
      <c r="A90" s="300" t="s">
        <v>717</v>
      </c>
      <c r="B90" s="304"/>
      <c r="C90" s="305"/>
      <c r="D90" s="304"/>
    </row>
    <row r="91" spans="1:4" ht="25.05" customHeight="1">
      <c r="A91" s="267" t="s">
        <v>742</v>
      </c>
      <c r="B91" s="266" t="s">
        <v>19</v>
      </c>
      <c r="C91" s="265" t="s">
        <v>707</v>
      </c>
      <c r="D91" s="266" t="s">
        <v>29</v>
      </c>
    </row>
    <row r="92" spans="1:4" ht="25.05" customHeight="1">
      <c r="A92" s="267" t="s">
        <v>742</v>
      </c>
      <c r="B92" s="266" t="s">
        <v>18</v>
      </c>
      <c r="C92" s="265" t="s">
        <v>707</v>
      </c>
      <c r="D92" s="266"/>
    </row>
    <row r="93" spans="1:4" ht="25.05" customHeight="1">
      <c r="A93" s="267" t="s">
        <v>742</v>
      </c>
      <c r="B93" s="266" t="s">
        <v>17</v>
      </c>
      <c r="C93" s="265" t="s">
        <v>707</v>
      </c>
      <c r="D93" s="266"/>
    </row>
    <row r="94" spans="1:4" ht="30" customHeight="1"/>
    <row r="95" spans="1:4" ht="30" customHeight="1"/>
    <row r="96" spans="1:4" ht="30" customHeight="1"/>
    <row r="97" ht="30" customHeight="1"/>
    <row r="98" ht="38.1" customHeight="1"/>
    <row r="99" ht="25.05" customHeight="1"/>
    <row r="100" ht="25.05" customHeight="1"/>
    <row r="101" ht="25.05" customHeight="1"/>
    <row r="102" ht="20.100000000000001" customHeight="1"/>
    <row r="103" ht="30" customHeight="1"/>
    <row r="104" ht="36.6" customHeight="1"/>
    <row r="105" ht="19.95" customHeight="1"/>
    <row r="106" ht="30" customHeight="1"/>
    <row r="107" ht="36.6" customHeight="1"/>
    <row r="108" ht="19.95" customHeight="1"/>
    <row r="109" ht="30" customHeight="1"/>
    <row r="110" ht="36.6" customHeight="1"/>
    <row r="111" ht="19.95" customHeight="1"/>
    <row r="112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CBAEE11F-6E7A-4423-986A-B9F777506344}"/>
    <hyperlink ref="C5" r:id="rId2" xr:uid="{B854C726-2012-475B-8018-4F7F449F1813}"/>
    <hyperlink ref="C6" r:id="rId3" xr:uid="{796493D0-3DD1-45DC-83A5-B682E1243774}"/>
    <hyperlink ref="C7" r:id="rId4" xr:uid="{3F5CA7B8-3829-48A1-9D61-6AF2E6B3AF5B}"/>
    <hyperlink ref="C8" r:id="rId5" xr:uid="{A6BD57A1-6BA1-4C7E-AE4E-0C88144A571A}"/>
    <hyperlink ref="C9" r:id="rId6" xr:uid="{ACA9CD14-97D3-4454-BE6E-65F1CE1D5E26}"/>
    <hyperlink ref="C10" r:id="rId7" xr:uid="{86019F5F-E9E7-40F1-B4A3-C8A499F7C290}"/>
    <hyperlink ref="C11" r:id="rId8" xr:uid="{9465A59E-5597-4694-B43E-92E5691CD407}"/>
    <hyperlink ref="C12" r:id="rId9" xr:uid="{201976A4-F060-440B-83F1-DAF0C4274AA2}"/>
    <hyperlink ref="C15" r:id="rId10" xr:uid="{9FDCF9B9-A1E5-429F-BE12-976B6DC904AE}"/>
    <hyperlink ref="C16" r:id="rId11" xr:uid="{BABF085A-489E-464B-BFA2-C3E54FD0E6A8}"/>
    <hyperlink ref="C17" r:id="rId12" xr:uid="{F3532FC5-11DA-4D71-BDE0-5A040F807022}"/>
    <hyperlink ref="C18" r:id="rId13" xr:uid="{8ECE99A5-6146-4569-A224-9A8369990F26}"/>
    <hyperlink ref="C19" r:id="rId14" xr:uid="{4EAF0168-D77E-40AC-96BD-6203E6224715}"/>
    <hyperlink ref="C20" r:id="rId15" xr:uid="{9B5B4D9A-6906-40E8-9FE0-CE1D1B94D1C1}"/>
    <hyperlink ref="C22" r:id="rId16" xr:uid="{F0BA1D15-8EE1-467F-9A73-36CD96085466}"/>
    <hyperlink ref="C23" r:id="rId17" xr:uid="{22D64F20-4767-4A16-B870-5705A62DB59E}"/>
    <hyperlink ref="C24" r:id="rId18" xr:uid="{25FAF8DE-E83B-43D7-B54F-1FA66229B59F}"/>
    <hyperlink ref="C25" r:id="rId19" xr:uid="{13AF10F6-C3B1-42F8-9A76-07478AF050E0}"/>
    <hyperlink ref="C26" r:id="rId20" xr:uid="{FFCE114F-4F23-4B10-8984-55F664D1D529}"/>
    <hyperlink ref="C27" r:id="rId21" xr:uid="{86FFD494-4169-470F-B947-8BAB1D19A96F}"/>
    <hyperlink ref="C28" r:id="rId22" xr:uid="{0F83D882-A6E4-4B47-86DD-4C0B3E28AD18}"/>
    <hyperlink ref="C31" r:id="rId23" xr:uid="{86478EB0-FC50-48CB-9AD2-D0FFA22A2312}"/>
    <hyperlink ref="C32" r:id="rId24" xr:uid="{6C1B9E97-FEDA-4E19-9E4F-4CA46C9D36E8}"/>
    <hyperlink ref="C33" r:id="rId25" xr:uid="{789C5885-A192-4E41-9C14-E0F5B732E542}"/>
    <hyperlink ref="C34" r:id="rId26" xr:uid="{268DCE31-64C5-4E4B-9CAF-6D344B579DE9}"/>
    <hyperlink ref="C35" r:id="rId27" xr:uid="{6A226DD5-C6A0-4FDC-9C9A-F280EBF50B12}"/>
    <hyperlink ref="C36" r:id="rId28" xr:uid="{5F0A6BFD-90A9-4882-B00A-6E6770ABC1C8}"/>
    <hyperlink ref="C37" r:id="rId29" xr:uid="{8A2ACBC3-57D7-41CF-BC68-38899A2ED882}"/>
    <hyperlink ref="C40" r:id="rId30" xr:uid="{6955EC2D-925E-4180-8D3D-DB21F32D1953}"/>
    <hyperlink ref="C41" r:id="rId31" xr:uid="{38763C1F-732F-4A33-9C2D-6EDCCDB54D90}"/>
    <hyperlink ref="C45" r:id="rId32" xr:uid="{4245CC84-EBAB-4E6A-A4DE-C140094A3902}"/>
    <hyperlink ref="C46" r:id="rId33" xr:uid="{37B88CD9-0ABD-4B7C-8CCD-9259810965B7}"/>
    <hyperlink ref="C47" r:id="rId34" xr:uid="{717629B7-FED6-4273-97AD-3B00590F7211}"/>
    <hyperlink ref="C48" r:id="rId35" xr:uid="{D9C171BA-7702-418E-B444-BA333EE84173}"/>
    <hyperlink ref="C49" r:id="rId36" xr:uid="{57D6BB36-CA43-4AE9-9496-896524EE3CBE}"/>
    <hyperlink ref="C50" r:id="rId37" xr:uid="{3E727098-B95B-49F2-BFF2-10F414B3679F}"/>
    <hyperlink ref="C51" r:id="rId38" xr:uid="{01500DE0-8B3D-4FD7-8823-B752EE5EBD5D}"/>
    <hyperlink ref="C52" r:id="rId39" xr:uid="{E2DEA4D5-96C9-497A-B524-22F5415A5A53}"/>
    <hyperlink ref="C53" r:id="rId40" xr:uid="{3492CA66-AC1F-4BFA-9B63-A9151EB5A24F}"/>
    <hyperlink ref="C54" r:id="rId41" xr:uid="{E12D2F2D-16CE-48EB-B198-5C1BF81CB2AF}"/>
    <hyperlink ref="C55" r:id="rId42" xr:uid="{BAFAB99B-03C0-4461-A02D-CB300FCADA28}"/>
    <hyperlink ref="C56" r:id="rId43" xr:uid="{C32D2BFC-2D4B-4931-AD1E-F690810DBFF8}"/>
    <hyperlink ref="C60" r:id="rId44" xr:uid="{993C9182-D151-4F08-AC00-7A96F219088B}"/>
    <hyperlink ref="C61" r:id="rId45" xr:uid="{CBD17D48-5C2D-423B-95AB-C19494E76478}"/>
    <hyperlink ref="C62" r:id="rId46" xr:uid="{F69FFAB1-DF0E-4B34-8EA1-65E3355685BF}"/>
    <hyperlink ref="C63" r:id="rId47" xr:uid="{E5E2B296-B91E-4F8B-B07B-A152F5021EED}"/>
    <hyperlink ref="C64" r:id="rId48" xr:uid="{D163D182-247C-49EF-BEA4-543B02EB0B7E}"/>
    <hyperlink ref="C65" r:id="rId49" xr:uid="{8397EEE3-0C14-424A-8D1F-5246C4F2606C}"/>
    <hyperlink ref="C66" r:id="rId50" xr:uid="{6485E3FA-185A-4D39-90D1-33984C4A14CB}"/>
    <hyperlink ref="C71" r:id="rId51" xr:uid="{58CCAF14-8088-4CE0-8B1D-718D253E6374}"/>
    <hyperlink ref="C72" r:id="rId52" xr:uid="{816AA7C2-1569-4207-B77B-BEC3C7C3EBA7}"/>
    <hyperlink ref="C73" r:id="rId53" xr:uid="{53CE30B6-1A14-4FF1-8698-69C868E8AF37}"/>
    <hyperlink ref="C74" r:id="rId54" xr:uid="{DBA59F55-6C25-46CD-AFE6-69FBC70415F2}"/>
    <hyperlink ref="C75" r:id="rId55" xr:uid="{A850CE9F-82ED-48AA-88A9-7C5E4742B007}"/>
    <hyperlink ref="C76" r:id="rId56" xr:uid="{310438DB-1CDB-4EA9-BBC9-9704890042E6}"/>
    <hyperlink ref="C77" r:id="rId57" xr:uid="{37CDEF7E-22BC-41CE-83CC-4603F8786AA6}"/>
    <hyperlink ref="C78" r:id="rId58" xr:uid="{E876CD89-91BE-4C19-99F3-71E569ACE8D6}"/>
    <hyperlink ref="C79" r:id="rId59" xr:uid="{6EA895B1-9248-4E79-93B0-46C7A99AEB84}"/>
    <hyperlink ref="C82" r:id="rId60" xr:uid="{E7FE2636-928F-447B-87F4-C9B50DB89AD1}"/>
    <hyperlink ref="C83" r:id="rId61" xr:uid="{1D2A628A-7E08-4624-B0FC-13E07B0B653B}"/>
    <hyperlink ref="C84" r:id="rId62" xr:uid="{356D1D6C-630A-41F8-99EC-B1A1885D8865}"/>
    <hyperlink ref="C85" r:id="rId63" xr:uid="{345DC02E-F872-4F05-B2AA-E1E1D17F524C}"/>
    <hyperlink ref="C86" r:id="rId64" xr:uid="{6362FE71-DFE1-4856-89EC-2A1A37AFD02D}"/>
    <hyperlink ref="C91" r:id="rId65" xr:uid="{01F7B8FA-6D37-4CC4-870D-1945EB18BE22}"/>
    <hyperlink ref="C92" r:id="rId66" xr:uid="{FDD56777-0020-4378-8589-F8FE4E293E27}"/>
    <hyperlink ref="C93" r:id="rId67" xr:uid="{745FB588-A321-4952-A370-A022DE72EB32}"/>
  </hyperlinks>
  <pageMargins left="0.4724409448818897" right="0.39370078740157477" top="0.4724409448818897" bottom="0.4724409448818897" header="0.3" footer="0.3"/>
  <pageSetup paperSize="9" fitToHeight="0" orientation="portrait" r:id="rId68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80" zoomScaleNormal="100" zoomScaleSheetLayoutView="80" workbookViewId="0">
      <selection activeCell="B17" sqref="B17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1" t="s">
        <v>783</v>
      </c>
    </row>
    <row r="2" spans="1:9" s="302" customFormat="1" ht="20.100000000000001" customHeight="1">
      <c r="A2" s="303"/>
    </row>
    <row r="3" spans="1:9" s="302" customFormat="1" ht="19.95" customHeight="1">
      <c r="A3" s="299" t="s">
        <v>708</v>
      </c>
      <c r="C3" s="299" t="s">
        <v>709</v>
      </c>
      <c r="F3" s="299" t="s">
        <v>714</v>
      </c>
      <c r="H3" s="299" t="s">
        <v>715</v>
      </c>
    </row>
    <row r="4" spans="1:9" ht="25.05" customHeight="1">
      <c r="A4" s="272"/>
      <c r="B4" s="273" t="s">
        <v>68</v>
      </c>
      <c r="C4" s="273"/>
      <c r="D4" s="273" t="s">
        <v>0</v>
      </c>
      <c r="E4" s="273"/>
      <c r="F4" s="273"/>
      <c r="G4" s="273" t="s">
        <v>728</v>
      </c>
      <c r="H4" s="273"/>
      <c r="I4" s="273" t="s">
        <v>10</v>
      </c>
    </row>
    <row r="5" spans="1:9" ht="25.05" customHeight="1">
      <c r="A5" s="272"/>
      <c r="B5" s="273" t="s">
        <v>11</v>
      </c>
      <c r="C5" s="273"/>
      <c r="D5" s="273" t="s">
        <v>22</v>
      </c>
      <c r="E5" s="273"/>
      <c r="F5" s="273"/>
      <c r="G5" s="273" t="s">
        <v>3</v>
      </c>
      <c r="H5" s="273"/>
      <c r="I5" s="273" t="s">
        <v>25</v>
      </c>
    </row>
    <row r="6" spans="1:9" ht="25.05" customHeight="1">
      <c r="A6" s="272"/>
      <c r="B6" s="273" t="s">
        <v>7</v>
      </c>
      <c r="C6" s="273"/>
      <c r="D6" s="273" t="s">
        <v>8</v>
      </c>
      <c r="E6" s="273"/>
      <c r="F6" s="273"/>
      <c r="G6" s="273" t="s">
        <v>2</v>
      </c>
      <c r="H6" s="273"/>
      <c r="I6" s="273" t="s">
        <v>12</v>
      </c>
    </row>
    <row r="7" spans="1:9" ht="25.05" customHeight="1">
      <c r="A7" s="272"/>
      <c r="B7" s="273" t="s">
        <v>32</v>
      </c>
      <c r="C7" s="273"/>
      <c r="D7" s="273" t="s">
        <v>7</v>
      </c>
      <c r="E7" s="273"/>
      <c r="F7" s="273"/>
      <c r="G7" s="273" t="s">
        <v>42</v>
      </c>
      <c r="H7" s="273"/>
      <c r="I7" s="273" t="s">
        <v>20</v>
      </c>
    </row>
    <row r="8" spans="1:9" ht="25.05" customHeight="1">
      <c r="A8" s="272"/>
      <c r="B8" s="273" t="s">
        <v>91</v>
      </c>
      <c r="C8" s="273"/>
      <c r="D8" s="273" t="s">
        <v>6</v>
      </c>
      <c r="E8" s="273"/>
      <c r="F8" s="273"/>
      <c r="G8" s="273" t="s">
        <v>21</v>
      </c>
      <c r="H8" s="273"/>
      <c r="I8" s="273"/>
    </row>
    <row r="9" spans="1:9" ht="25.05" customHeight="1">
      <c r="A9" s="272"/>
      <c r="B9" s="273" t="s">
        <v>43</v>
      </c>
      <c r="C9" s="273"/>
      <c r="D9" s="273" t="s">
        <v>650</v>
      </c>
      <c r="E9" s="273"/>
      <c r="F9" s="273"/>
      <c r="G9" s="273" t="s">
        <v>745</v>
      </c>
      <c r="H9" s="273"/>
      <c r="I9" s="273"/>
    </row>
    <row r="10" spans="1:9" ht="25.05" customHeight="1">
      <c r="A10" s="272"/>
      <c r="B10" s="273" t="s">
        <v>212</v>
      </c>
      <c r="C10" s="273"/>
      <c r="D10" s="273" t="s">
        <v>696</v>
      </c>
      <c r="E10" s="273"/>
      <c r="F10" s="273"/>
      <c r="G10" s="273"/>
      <c r="H10" s="273"/>
      <c r="I10" s="273"/>
    </row>
    <row r="11" spans="1:9" ht="25.05" customHeight="1">
      <c r="A11" s="272"/>
      <c r="B11" s="273" t="s">
        <v>31</v>
      </c>
      <c r="C11" s="273"/>
      <c r="D11" s="273" t="s">
        <v>38</v>
      </c>
      <c r="E11" s="273"/>
      <c r="F11" s="273"/>
      <c r="G11" s="273"/>
      <c r="H11" s="273"/>
      <c r="I11" s="273"/>
    </row>
    <row r="12" spans="1:9" ht="25.05" customHeight="1">
      <c r="A12" s="272"/>
      <c r="B12" s="273"/>
      <c r="C12" s="273"/>
      <c r="D12" s="273" t="s">
        <v>652</v>
      </c>
      <c r="E12" s="273"/>
      <c r="F12" s="273"/>
      <c r="G12" s="273"/>
      <c r="H12" s="273"/>
      <c r="I12" s="273"/>
    </row>
    <row r="13" spans="1:9" ht="20.100000000000001" customHeight="1"/>
    <row r="14" spans="1:9" ht="20.100000000000001" customHeight="1"/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2" customFormat="1" ht="16.95" customHeight="1">
      <c r="A20" s="303"/>
    </row>
    <row r="21" spans="1:9" s="302" customFormat="1" ht="19.95" customHeight="1">
      <c r="A21" s="299" t="s">
        <v>710</v>
      </c>
      <c r="C21" s="299" t="s">
        <v>711</v>
      </c>
      <c r="F21" s="299" t="s">
        <v>713</v>
      </c>
      <c r="H21" s="299" t="s">
        <v>712</v>
      </c>
    </row>
    <row r="22" spans="1:9" ht="25.05" customHeight="1">
      <c r="A22" s="272"/>
      <c r="B22" s="273" t="s">
        <v>0</v>
      </c>
      <c r="C22" s="273"/>
      <c r="D22" s="273" t="s">
        <v>0</v>
      </c>
      <c r="E22" s="273"/>
      <c r="F22" s="273"/>
      <c r="G22" s="273" t="s">
        <v>39</v>
      </c>
      <c r="H22" s="273"/>
      <c r="I22" s="273" t="s">
        <v>0</v>
      </c>
    </row>
    <row r="23" spans="1:9" ht="25.05" customHeight="1">
      <c r="A23" s="272"/>
      <c r="B23" s="273" t="s">
        <v>26</v>
      </c>
      <c r="C23" s="273"/>
      <c r="D23" s="273" t="s">
        <v>13</v>
      </c>
      <c r="E23" s="273"/>
      <c r="F23" s="273"/>
      <c r="G23" s="273" t="s">
        <v>45</v>
      </c>
      <c r="H23" s="273"/>
      <c r="I23" s="273" t="s">
        <v>35</v>
      </c>
    </row>
    <row r="24" spans="1:9" ht="25.05" customHeight="1">
      <c r="A24" s="272"/>
      <c r="B24" s="273" t="s">
        <v>5</v>
      </c>
      <c r="C24" s="273"/>
      <c r="D24" s="273" t="s">
        <v>690</v>
      </c>
      <c r="E24" s="273"/>
      <c r="F24" s="273"/>
      <c r="G24" s="273" t="s">
        <v>24</v>
      </c>
      <c r="H24" s="273"/>
      <c r="I24" s="273" t="s">
        <v>1</v>
      </c>
    </row>
    <row r="25" spans="1:9" ht="25.05" customHeight="1">
      <c r="A25" s="272"/>
      <c r="B25" s="273" t="s">
        <v>69</v>
      </c>
      <c r="C25" s="273"/>
      <c r="D25" s="273"/>
      <c r="E25" s="273"/>
      <c r="F25" s="273"/>
      <c r="G25" s="273" t="s">
        <v>46</v>
      </c>
      <c r="H25" s="273"/>
      <c r="I25" s="273" t="s">
        <v>40</v>
      </c>
    </row>
    <row r="26" spans="1:9" ht="25.05" customHeight="1">
      <c r="A26" s="272"/>
      <c r="B26" s="273"/>
      <c r="C26" s="273"/>
      <c r="D26" s="273"/>
      <c r="E26" s="273"/>
      <c r="F26" s="273"/>
      <c r="G26" s="273" t="s">
        <v>4</v>
      </c>
      <c r="H26" s="273"/>
      <c r="I26" s="273" t="s">
        <v>41</v>
      </c>
    </row>
    <row r="27" spans="1:9" ht="25.05" customHeight="1">
      <c r="A27" s="272"/>
      <c r="B27" s="273"/>
      <c r="C27" s="273"/>
      <c r="D27" s="273"/>
      <c r="E27" s="273"/>
      <c r="F27" s="273"/>
      <c r="G27" s="273" t="s">
        <v>33</v>
      </c>
      <c r="H27" s="273"/>
      <c r="I27" s="273" t="s">
        <v>763</v>
      </c>
    </row>
    <row r="28" spans="1:9" ht="25.05" customHeight="1">
      <c r="A28" s="272"/>
      <c r="B28" s="273"/>
      <c r="C28" s="273"/>
      <c r="D28" s="273"/>
      <c r="E28" s="273"/>
      <c r="F28" s="273"/>
      <c r="G28" s="273" t="s">
        <v>140</v>
      </c>
      <c r="H28" s="273"/>
      <c r="I28" s="273" t="s">
        <v>5</v>
      </c>
    </row>
    <row r="29" spans="1:9" ht="96.6">
      <c r="A29" s="272"/>
      <c r="B29" s="273"/>
      <c r="C29" s="273"/>
      <c r="D29" s="273"/>
      <c r="E29" s="273"/>
      <c r="F29" s="273"/>
      <c r="G29" s="273" t="s">
        <v>746</v>
      </c>
      <c r="H29" s="273"/>
      <c r="I29" s="273" t="s">
        <v>36</v>
      </c>
    </row>
    <row r="30" spans="1:9" ht="69">
      <c r="A30" s="272"/>
      <c r="B30" s="273"/>
      <c r="C30" s="273"/>
      <c r="D30" s="273"/>
      <c r="E30" s="273"/>
      <c r="F30" s="273"/>
      <c r="G30" s="273" t="s">
        <v>733</v>
      </c>
      <c r="H30" s="273"/>
      <c r="I30" s="273" t="s">
        <v>773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2" customFormat="1" ht="17.100000000000001" customHeight="1">
      <c r="A38" s="303"/>
    </row>
    <row r="39" spans="1:9" s="302" customFormat="1" ht="19.95" customHeight="1">
      <c r="A39" s="299" t="s">
        <v>716</v>
      </c>
      <c r="C39" s="299" t="s">
        <v>717</v>
      </c>
    </row>
    <row r="40" spans="1:9" ht="25.05" customHeight="1">
      <c r="A40" s="272"/>
      <c r="B40" s="273"/>
      <c r="C40" s="273"/>
      <c r="D40" s="273" t="s">
        <v>19</v>
      </c>
      <c r="E40" s="273"/>
      <c r="F40" s="273"/>
      <c r="G40" s="273"/>
      <c r="H40" s="273"/>
      <c r="I40" s="273"/>
    </row>
    <row r="41" spans="1:9" ht="25.05" customHeight="1">
      <c r="A41" s="272"/>
      <c r="B41" s="273"/>
      <c r="C41" s="273"/>
      <c r="D41" s="273" t="s">
        <v>18</v>
      </c>
      <c r="E41" s="273"/>
      <c r="F41" s="273"/>
      <c r="G41" s="273"/>
      <c r="H41" s="273"/>
      <c r="I41" s="273"/>
    </row>
    <row r="42" spans="1:9" ht="25.05" customHeight="1">
      <c r="A42" s="272"/>
      <c r="B42" s="273"/>
      <c r="C42" s="273"/>
      <c r="D42" s="273" t="s">
        <v>17</v>
      </c>
      <c r="E42" s="273"/>
      <c r="F42" s="273"/>
      <c r="G42" s="273"/>
      <c r="H42" s="273"/>
      <c r="I42" s="273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39"/>
  <sheetViews>
    <sheetView workbookViewId="0">
      <pane ySplit="1" topLeftCell="A13" activePane="bottomLeft" state="frozen"/>
      <selection activeCell="H12" sqref="H12"/>
      <selection pane="bottomLeft" activeCell="S22" sqref="S22"/>
    </sheetView>
  </sheetViews>
  <sheetFormatPr baseColWidth="10" defaultColWidth="11.44140625" defaultRowHeight="20.100000000000001" customHeight="1"/>
  <cols>
    <col min="1" max="1" width="8.33203125" style="331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7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21" t="s">
        <v>70</v>
      </c>
      <c r="M1" s="22" t="s">
        <v>71</v>
      </c>
      <c r="N1" s="129" t="s">
        <v>14</v>
      </c>
      <c r="O1" s="23" t="s">
        <v>97</v>
      </c>
      <c r="S1" s="16"/>
    </row>
    <row r="2" spans="1:19" s="11" customFormat="1" ht="20.100000000000001" customHeight="1">
      <c r="A2" s="328" t="s">
        <v>103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9" t="s">
        <v>101</v>
      </c>
      <c r="B3" s="8" t="s">
        <v>72</v>
      </c>
      <c r="C3" s="8" t="s">
        <v>72</v>
      </c>
      <c r="D3" s="8" t="s">
        <v>72</v>
      </c>
      <c r="E3" s="8"/>
      <c r="F3" s="8"/>
      <c r="G3" s="8"/>
      <c r="H3" s="8"/>
      <c r="I3" s="8"/>
      <c r="J3" s="8"/>
      <c r="K3" s="161"/>
      <c r="L3" s="9" t="s">
        <v>68</v>
      </c>
      <c r="M3" s="81"/>
      <c r="N3" s="119" t="s">
        <v>77</v>
      </c>
      <c r="P3" s="256" t="s">
        <v>300</v>
      </c>
      <c r="Q3" s="189" t="s">
        <v>571</v>
      </c>
      <c r="S3" s="16"/>
    </row>
    <row r="4" spans="1:19" s="11" customFormat="1" ht="20.100000000000001" customHeight="1">
      <c r="A4" s="329" t="s">
        <v>100</v>
      </c>
      <c r="B4" s="8" t="s">
        <v>72</v>
      </c>
      <c r="C4" s="269" t="s">
        <v>72</v>
      </c>
      <c r="D4" s="269" t="s">
        <v>72</v>
      </c>
      <c r="E4" s="8"/>
      <c r="F4" s="8"/>
      <c r="G4" s="8"/>
      <c r="H4" s="8"/>
      <c r="I4" s="8"/>
      <c r="J4" s="8"/>
      <c r="K4" s="161"/>
      <c r="L4" s="9"/>
      <c r="M4" s="7"/>
      <c r="N4" s="119" t="s">
        <v>106</v>
      </c>
      <c r="O4" s="147"/>
      <c r="P4" s="256" t="s">
        <v>300</v>
      </c>
      <c r="Q4" s="189" t="s">
        <v>572</v>
      </c>
      <c r="S4" s="16"/>
    </row>
    <row r="5" spans="1:19" s="11" customFormat="1" ht="20.100000000000001" customHeight="1">
      <c r="A5" s="329" t="s">
        <v>101</v>
      </c>
      <c r="B5" s="8" t="s">
        <v>72</v>
      </c>
      <c r="C5" s="230" t="s">
        <v>72</v>
      </c>
      <c r="D5" s="230" t="s">
        <v>72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105</v>
      </c>
      <c r="P5" s="256" t="s">
        <v>300</v>
      </c>
      <c r="Q5" s="189" t="s">
        <v>573</v>
      </c>
      <c r="S5" s="16"/>
    </row>
    <row r="6" spans="1:19" s="11" customFormat="1" ht="20.100000000000001" customHeight="1">
      <c r="A6" s="329" t="s">
        <v>101</v>
      </c>
      <c r="B6" s="8" t="s">
        <v>72</v>
      </c>
      <c r="C6" s="230" t="s">
        <v>72</v>
      </c>
      <c r="D6" s="230" t="s">
        <v>72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78</v>
      </c>
      <c r="P6" s="142" t="s">
        <v>300</v>
      </c>
      <c r="Q6" s="206" t="s">
        <v>574</v>
      </c>
      <c r="S6" s="16"/>
    </row>
    <row r="7" spans="1:19" s="11" customFormat="1" ht="20.100000000000001" customHeight="1">
      <c r="A7" s="329" t="s">
        <v>101</v>
      </c>
      <c r="B7" s="8" t="s">
        <v>72</v>
      </c>
      <c r="C7" s="230"/>
      <c r="D7" s="207" t="s">
        <v>72</v>
      </c>
      <c r="E7" s="8"/>
      <c r="F7" s="8"/>
      <c r="G7" s="8"/>
      <c r="H7" s="8"/>
      <c r="I7" s="8"/>
      <c r="J7" s="8"/>
      <c r="K7" s="161"/>
      <c r="L7" s="9" t="s">
        <v>32</v>
      </c>
      <c r="M7" s="204" t="s">
        <v>612</v>
      </c>
      <c r="N7" s="119" t="s">
        <v>79</v>
      </c>
      <c r="P7" s="142" t="s">
        <v>300</v>
      </c>
      <c r="Q7" s="189" t="s">
        <v>575</v>
      </c>
      <c r="S7" s="16"/>
    </row>
    <row r="8" spans="1:19" s="11" customFormat="1" ht="20.100000000000001" customHeight="1">
      <c r="A8" s="329" t="s">
        <v>101</v>
      </c>
      <c r="B8" s="207" t="s">
        <v>72</v>
      </c>
      <c r="C8" s="8"/>
      <c r="D8" s="207" t="s">
        <v>72</v>
      </c>
      <c r="E8" s="8"/>
      <c r="F8" s="8"/>
      <c r="G8" s="8"/>
      <c r="H8" s="8"/>
      <c r="I8" s="8"/>
      <c r="J8" s="8"/>
      <c r="K8" s="161"/>
      <c r="L8" s="205" t="s">
        <v>91</v>
      </c>
      <c r="M8" s="204"/>
      <c r="N8" s="119" t="s">
        <v>613</v>
      </c>
      <c r="O8" s="206" t="s">
        <v>614</v>
      </c>
      <c r="P8" s="142" t="s">
        <v>300</v>
      </c>
      <c r="Q8" s="189" t="s">
        <v>576</v>
      </c>
      <c r="S8" s="16"/>
    </row>
    <row r="9" spans="1:19" s="11" customFormat="1" ht="20.100000000000001" customHeight="1">
      <c r="A9" s="329" t="s">
        <v>101</v>
      </c>
      <c r="B9" s="8" t="s">
        <v>72</v>
      </c>
      <c r="C9" s="8"/>
      <c r="D9" s="230" t="s">
        <v>72</v>
      </c>
      <c r="E9" s="8"/>
      <c r="F9" s="8"/>
      <c r="G9" s="8"/>
      <c r="H9" s="8"/>
      <c r="I9" s="8"/>
      <c r="J9" s="8"/>
      <c r="K9" s="161"/>
      <c r="L9" s="9" t="s">
        <v>43</v>
      </c>
      <c r="M9" s="204"/>
      <c r="N9" s="119" t="s">
        <v>80</v>
      </c>
      <c r="P9" s="142" t="s">
        <v>300</v>
      </c>
      <c r="Q9" s="206" t="s">
        <v>577</v>
      </c>
      <c r="S9" s="16"/>
    </row>
    <row r="10" spans="1:19" s="11" customFormat="1" ht="20.100000000000001" customHeight="1">
      <c r="A10" s="329" t="s">
        <v>101</v>
      </c>
      <c r="B10" s="261" t="s">
        <v>72</v>
      </c>
      <c r="C10" s="8"/>
      <c r="D10" s="261" t="s">
        <v>72</v>
      </c>
      <c r="E10" s="8"/>
      <c r="F10" s="8"/>
      <c r="G10" s="8"/>
      <c r="H10" s="8"/>
      <c r="I10" s="8"/>
      <c r="J10" s="8"/>
      <c r="K10" s="161"/>
      <c r="L10" s="9" t="s">
        <v>212</v>
      </c>
      <c r="M10" s="227" t="s">
        <v>662</v>
      </c>
      <c r="N10" s="119" t="s">
        <v>301</v>
      </c>
      <c r="O10" s="227" t="s">
        <v>663</v>
      </c>
      <c r="P10" s="142" t="s">
        <v>300</v>
      </c>
      <c r="Q10" s="189" t="s">
        <v>578</v>
      </c>
      <c r="S10" s="16"/>
    </row>
    <row r="11" spans="1:19" s="11" customFormat="1" ht="20.100000000000001" customHeight="1">
      <c r="A11" s="330" t="s">
        <v>99</v>
      </c>
      <c r="B11" s="8" t="s">
        <v>72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 t="s">
        <v>579</v>
      </c>
      <c r="S11" s="16"/>
    </row>
    <row r="12" spans="1:19" s="11" customFormat="1" ht="20.100000000000001" customHeight="1">
      <c r="A12" s="329" t="s">
        <v>101</v>
      </c>
      <c r="B12" s="8" t="s">
        <v>72</v>
      </c>
      <c r="C12" s="8"/>
      <c r="D12" s="269" t="s">
        <v>72</v>
      </c>
      <c r="E12" s="8"/>
      <c r="F12" s="8"/>
      <c r="G12" s="8"/>
      <c r="H12" s="8"/>
      <c r="I12" s="8"/>
      <c r="J12" s="8"/>
      <c r="K12" s="161"/>
      <c r="L12" s="9" t="s">
        <v>31</v>
      </c>
      <c r="M12" s="157"/>
      <c r="N12" s="119" t="s">
        <v>81</v>
      </c>
      <c r="P12" s="142" t="s">
        <v>300</v>
      </c>
      <c r="Q12" s="206" t="s">
        <v>580</v>
      </c>
      <c r="S12" s="16"/>
    </row>
    <row r="13" spans="1:19" s="11" customFormat="1" ht="20.100000000000001" customHeight="1">
      <c r="A13" s="329" t="s">
        <v>101</v>
      </c>
      <c r="B13" s="8" t="s">
        <v>72</v>
      </c>
      <c r="C13" s="8"/>
      <c r="D13" s="8"/>
      <c r="E13" s="8"/>
      <c r="F13" s="8"/>
      <c r="G13" s="80" t="s">
        <v>72</v>
      </c>
      <c r="H13" s="80"/>
      <c r="I13" s="120"/>
      <c r="J13" s="80"/>
      <c r="K13" s="161"/>
      <c r="L13" s="9" t="s">
        <v>146</v>
      </c>
      <c r="M13" s="156" t="s">
        <v>364</v>
      </c>
      <c r="N13" s="119" t="s">
        <v>686</v>
      </c>
      <c r="P13" s="142" t="s">
        <v>300</v>
      </c>
      <c r="Q13" s="189" t="s">
        <v>581</v>
      </c>
      <c r="S13" s="16"/>
    </row>
    <row r="14" spans="1:19" s="11" customFormat="1" ht="20.100000000000001" customHeight="1">
      <c r="A14" s="329" t="s">
        <v>101</v>
      </c>
      <c r="B14" s="8" t="s">
        <v>72</v>
      </c>
      <c r="C14" s="8"/>
      <c r="D14" s="8"/>
      <c r="E14" s="8"/>
      <c r="F14" s="8"/>
      <c r="G14" s="80" t="s">
        <v>72</v>
      </c>
      <c r="H14" s="80"/>
      <c r="I14" s="80"/>
      <c r="J14" s="80"/>
      <c r="K14" s="161"/>
      <c r="L14" s="274" t="s">
        <v>747</v>
      </c>
      <c r="M14" s="11" t="s">
        <v>145</v>
      </c>
      <c r="N14" s="119" t="s">
        <v>266</v>
      </c>
      <c r="P14" s="142" t="s">
        <v>300</v>
      </c>
      <c r="Q14" s="189" t="s">
        <v>582</v>
      </c>
      <c r="S14" s="16"/>
    </row>
    <row r="15" spans="1:19" s="11" customFormat="1" ht="20.100000000000001" customHeight="1">
      <c r="A15" s="329" t="s">
        <v>101</v>
      </c>
      <c r="B15" s="8" t="s">
        <v>72</v>
      </c>
      <c r="C15" s="8"/>
      <c r="D15" s="8"/>
      <c r="E15" s="8"/>
      <c r="F15" s="8"/>
      <c r="G15" s="80" t="s">
        <v>72</v>
      </c>
      <c r="H15" s="80"/>
      <c r="I15" s="80"/>
      <c r="J15" s="80"/>
      <c r="K15" s="161"/>
      <c r="L15" s="9" t="s">
        <v>183</v>
      </c>
      <c r="M15" s="11" t="s">
        <v>145</v>
      </c>
      <c r="N15" s="119" t="s">
        <v>687</v>
      </c>
      <c r="P15" s="142" t="s">
        <v>300</v>
      </c>
      <c r="Q15" s="206" t="s">
        <v>583</v>
      </c>
      <c r="S15" s="16"/>
    </row>
    <row r="16" spans="1:19" s="11" customFormat="1" ht="20.100000000000001" customHeight="1">
      <c r="A16" s="329" t="s">
        <v>101</v>
      </c>
      <c r="B16" s="8" t="s">
        <v>72</v>
      </c>
      <c r="C16" s="8"/>
      <c r="D16" s="8"/>
      <c r="E16" s="8"/>
      <c r="F16" s="8"/>
      <c r="G16" s="8" t="s">
        <v>72</v>
      </c>
      <c r="H16" s="8"/>
      <c r="I16" s="8"/>
      <c r="J16" s="8"/>
      <c r="K16" s="161"/>
      <c r="L16" s="9" t="s">
        <v>182</v>
      </c>
      <c r="M16" s="11" t="s">
        <v>145</v>
      </c>
      <c r="N16" s="119" t="s">
        <v>365</v>
      </c>
      <c r="P16" s="142" t="s">
        <v>300</v>
      </c>
      <c r="Q16" s="189" t="s">
        <v>584</v>
      </c>
      <c r="S16" s="16"/>
    </row>
    <row r="17" spans="1:19" s="11" customFormat="1" ht="20.100000000000001" customHeight="1">
      <c r="A17" s="329" t="s">
        <v>101</v>
      </c>
      <c r="B17" s="8" t="s">
        <v>72</v>
      </c>
      <c r="C17" s="8"/>
      <c r="D17" s="8"/>
      <c r="E17" s="8"/>
      <c r="F17" s="8"/>
      <c r="G17" s="8" t="s">
        <v>72</v>
      </c>
      <c r="H17" s="8"/>
      <c r="I17" s="8"/>
      <c r="J17" s="8"/>
      <c r="K17" s="161"/>
      <c r="L17" s="9" t="s">
        <v>184</v>
      </c>
      <c r="M17" s="11" t="s">
        <v>145</v>
      </c>
      <c r="N17" s="119" t="s">
        <v>688</v>
      </c>
      <c r="P17" s="142" t="s">
        <v>300</v>
      </c>
      <c r="Q17" s="189" t="s">
        <v>595</v>
      </c>
      <c r="S17" s="190" t="e">
        <f>MATCH(Q17,CCF!C:C,0)</f>
        <v>#N/A</v>
      </c>
    </row>
    <row r="18" spans="1:19" s="11" customFormat="1" ht="20.100000000000001" customHeight="1">
      <c r="A18" s="329" t="s">
        <v>101</v>
      </c>
      <c r="B18" s="152" t="s">
        <v>72</v>
      </c>
      <c r="C18" s="8"/>
      <c r="D18" s="8"/>
      <c r="E18" s="8"/>
      <c r="F18" s="8"/>
      <c r="G18" s="152" t="s">
        <v>72</v>
      </c>
      <c r="H18" s="8"/>
      <c r="I18" s="8"/>
      <c r="J18" s="8"/>
      <c r="K18" s="161"/>
      <c r="L18" s="159" t="s">
        <v>329</v>
      </c>
      <c r="M18" s="153" t="s">
        <v>330</v>
      </c>
      <c r="N18" s="119" t="s">
        <v>329</v>
      </c>
      <c r="P18" s="142" t="s">
        <v>300</v>
      </c>
      <c r="Q18" s="206" t="s">
        <v>596</v>
      </c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9" t="s">
        <v>101</v>
      </c>
      <c r="B19" s="8" t="s">
        <v>72</v>
      </c>
      <c r="C19" s="19"/>
      <c r="D19" s="19"/>
      <c r="E19" s="19"/>
      <c r="F19" s="19"/>
      <c r="G19" s="19"/>
      <c r="H19" s="80" t="s">
        <v>72</v>
      </c>
      <c r="I19" s="80"/>
      <c r="J19" s="80"/>
      <c r="K19" s="163"/>
      <c r="L19" s="9" t="s">
        <v>194</v>
      </c>
      <c r="M19" s="11">
        <v>2025</v>
      </c>
      <c r="N19" s="119" t="s">
        <v>267</v>
      </c>
      <c r="P19" s="142" t="s">
        <v>300</v>
      </c>
      <c r="Q19" s="189" t="s">
        <v>597</v>
      </c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9" t="s">
        <v>101</v>
      </c>
      <c r="B20" s="8" t="s">
        <v>72</v>
      </c>
      <c r="C20" s="19"/>
      <c r="D20" s="19"/>
      <c r="E20" s="19"/>
      <c r="F20" s="19"/>
      <c r="G20" s="19"/>
      <c r="H20" s="8" t="s">
        <v>72</v>
      </c>
      <c r="I20" s="8"/>
      <c r="J20" s="8"/>
      <c r="K20" s="163"/>
      <c r="L20" s="243" t="s">
        <v>689</v>
      </c>
      <c r="M20" s="206" t="s">
        <v>615</v>
      </c>
      <c r="N20" s="119" t="s">
        <v>268</v>
      </c>
      <c r="O20" s="85"/>
      <c r="P20" s="142" t="s">
        <v>300</v>
      </c>
      <c r="Q20" s="206" t="s">
        <v>598</v>
      </c>
      <c r="R20" s="191" t="str">
        <f t="shared" si="0"/>
        <v>zur Folge</v>
      </c>
      <c r="S20" s="190">
        <f>MATCH(Q20,CCF!C:C,0)</f>
        <v>17</v>
      </c>
    </row>
    <row r="21" spans="1:19" ht="20.100000000000001" customHeight="1">
      <c r="A21" s="329" t="s">
        <v>101</v>
      </c>
      <c r="B21" s="8" t="s">
        <v>72</v>
      </c>
      <c r="C21" s="19"/>
      <c r="D21" s="19"/>
      <c r="E21" s="19"/>
      <c r="F21" s="19"/>
      <c r="G21" s="19"/>
      <c r="H21" s="8" t="s">
        <v>72</v>
      </c>
      <c r="I21" s="8"/>
      <c r="J21" s="8"/>
      <c r="K21" s="163"/>
      <c r="L21" s="9" t="s">
        <v>195</v>
      </c>
      <c r="M21" s="11">
        <v>2025</v>
      </c>
      <c r="N21" s="119" t="s">
        <v>269</v>
      </c>
      <c r="P21" s="142" t="s">
        <v>300</v>
      </c>
      <c r="Q21" s="189" t="s">
        <v>599</v>
      </c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9" t="s">
        <v>101</v>
      </c>
      <c r="B22" s="8" t="s">
        <v>72</v>
      </c>
      <c r="C22" s="19"/>
      <c r="D22" s="19"/>
      <c r="E22" s="19"/>
      <c r="F22" s="19"/>
      <c r="G22" s="19"/>
      <c r="H22" s="19"/>
      <c r="I22" s="19"/>
      <c r="J22" s="19" t="s">
        <v>72</v>
      </c>
      <c r="K22" s="163"/>
      <c r="L22" s="9" t="s">
        <v>226</v>
      </c>
      <c r="M22" s="94" t="s">
        <v>230</v>
      </c>
      <c r="N22" s="119" t="s">
        <v>225</v>
      </c>
      <c r="P22" s="142" t="s">
        <v>300</v>
      </c>
      <c r="Q22" s="189" t="s">
        <v>600</v>
      </c>
      <c r="R22" s="191" t="str">
        <f t="shared" si="0"/>
        <v>zur Folge</v>
      </c>
      <c r="S22" s="190">
        <f>MATCH(Q22,CCF!C:C,0)</f>
        <v>3</v>
      </c>
    </row>
    <row r="23" spans="1:19" ht="20.100000000000001" customHeight="1">
      <c r="A23" s="329" t="s">
        <v>101</v>
      </c>
      <c r="B23" s="8" t="s">
        <v>72</v>
      </c>
      <c r="C23" s="19"/>
      <c r="D23" s="19"/>
      <c r="E23" s="19"/>
      <c r="F23" s="19"/>
      <c r="G23" s="19"/>
      <c r="H23" s="19"/>
      <c r="I23" s="19" t="s">
        <v>72</v>
      </c>
      <c r="J23" s="19"/>
      <c r="K23" s="163"/>
      <c r="L23" s="124" t="s">
        <v>283</v>
      </c>
      <c r="M23" s="11"/>
      <c r="N23" s="119" t="s">
        <v>284</v>
      </c>
      <c r="P23" s="140" t="s">
        <v>300</v>
      </c>
      <c r="Q23" s="206" t="s">
        <v>601</v>
      </c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9" t="s">
        <v>101</v>
      </c>
      <c r="B24" s="8" t="s">
        <v>72</v>
      </c>
      <c r="C24" s="19"/>
      <c r="D24" s="19"/>
      <c r="E24" s="19"/>
      <c r="F24" s="19"/>
      <c r="G24" s="19"/>
      <c r="H24" s="19"/>
      <c r="I24" s="19" t="s">
        <v>72</v>
      </c>
      <c r="J24" s="19"/>
      <c r="K24" s="163"/>
      <c r="L24" s="154" t="s">
        <v>338</v>
      </c>
      <c r="M24" s="11"/>
      <c r="N24" s="119" t="s">
        <v>234</v>
      </c>
      <c r="P24" s="140" t="s">
        <v>300</v>
      </c>
      <c r="Q24" s="189" t="s">
        <v>602</v>
      </c>
      <c r="S24" s="190" t="e">
        <f>MATCH(Q24,CCF!C:C,0)</f>
        <v>#N/A</v>
      </c>
    </row>
    <row r="25" spans="1:19" ht="20.100000000000001" customHeight="1">
      <c r="A25" s="329" t="s">
        <v>101</v>
      </c>
      <c r="B25" s="8" t="s">
        <v>72</v>
      </c>
      <c r="C25" s="19"/>
      <c r="D25" s="19"/>
      <c r="E25" s="19"/>
      <c r="F25" s="19"/>
      <c r="G25" s="19"/>
      <c r="H25" s="19"/>
      <c r="I25" s="19"/>
      <c r="J25" s="19" t="s">
        <v>72</v>
      </c>
      <c r="K25" s="163"/>
      <c r="L25" s="9" t="s">
        <v>333</v>
      </c>
      <c r="M25" s="151" t="s">
        <v>332</v>
      </c>
      <c r="N25" s="119" t="s">
        <v>331</v>
      </c>
      <c r="P25" s="140" t="s">
        <v>300</v>
      </c>
      <c r="Q25" s="189" t="s">
        <v>603</v>
      </c>
      <c r="S25" s="190" t="e">
        <f>MATCH(Q25,CCF!C:C,0)</f>
        <v>#N/A</v>
      </c>
    </row>
    <row r="26" spans="1:19" ht="20.100000000000001" customHeight="1">
      <c r="A26" s="329" t="s">
        <v>101</v>
      </c>
      <c r="B26" s="19" t="s">
        <v>72</v>
      </c>
      <c r="C26" s="19"/>
      <c r="D26" s="19"/>
      <c r="E26" s="19"/>
      <c r="F26" s="19"/>
      <c r="G26" s="19"/>
      <c r="H26" s="19"/>
      <c r="I26" s="19"/>
      <c r="J26" s="19" t="s">
        <v>72</v>
      </c>
      <c r="K26" s="163"/>
      <c r="L26" s="159" t="s">
        <v>369</v>
      </c>
      <c r="M26" s="151" t="s">
        <v>334</v>
      </c>
      <c r="N26" s="119" t="s">
        <v>367</v>
      </c>
      <c r="O26" s="151" t="s">
        <v>371</v>
      </c>
      <c r="P26" s="140" t="s">
        <v>300</v>
      </c>
      <c r="Q26" s="206" t="s">
        <v>604</v>
      </c>
      <c r="S26" s="190" t="e">
        <f>MATCH(Q26,CCF!C:C,0)</f>
        <v>#N/A</v>
      </c>
    </row>
    <row r="27" spans="1:19" ht="20.100000000000001" customHeight="1">
      <c r="A27" s="329" t="s">
        <v>100</v>
      </c>
      <c r="B27" s="19" t="s">
        <v>72</v>
      </c>
      <c r="C27" s="19"/>
      <c r="D27" s="19"/>
      <c r="E27" s="19"/>
      <c r="F27" s="19"/>
      <c r="G27" s="19"/>
      <c r="H27" s="19"/>
      <c r="I27" s="19"/>
      <c r="J27" s="19" t="s">
        <v>72</v>
      </c>
      <c r="K27" s="163"/>
      <c r="L27" s="9"/>
      <c r="M27" s="151"/>
      <c r="N27" s="119" t="s">
        <v>366</v>
      </c>
      <c r="O27" s="151" t="s">
        <v>370</v>
      </c>
      <c r="P27" s="140" t="s">
        <v>300</v>
      </c>
      <c r="Q27" s="189" t="s">
        <v>605</v>
      </c>
      <c r="S27" s="190" t="e">
        <f>MATCH(Q27,CCF!C:C,0)</f>
        <v>#N/A</v>
      </c>
    </row>
    <row r="28" spans="1:19" ht="20.100000000000001" customHeight="1">
      <c r="A28" s="329" t="s">
        <v>101</v>
      </c>
      <c r="B28" s="19" t="s">
        <v>72</v>
      </c>
      <c r="C28" s="19"/>
      <c r="D28" s="19"/>
      <c r="E28" s="19"/>
      <c r="F28" s="19"/>
      <c r="G28" s="19"/>
      <c r="H28" s="19"/>
      <c r="I28" s="19"/>
      <c r="J28" s="19" t="s">
        <v>72</v>
      </c>
      <c r="K28" s="163"/>
      <c r="L28" s="9" t="s">
        <v>335</v>
      </c>
      <c r="M28" s="151" t="s">
        <v>334</v>
      </c>
      <c r="N28" s="119" t="s">
        <v>368</v>
      </c>
      <c r="P28" s="140" t="s">
        <v>300</v>
      </c>
      <c r="Q28" s="189" t="s">
        <v>606</v>
      </c>
      <c r="S28" s="190" t="e">
        <f>MATCH(Q28,CCF!C:C,0)</f>
        <v>#N/A</v>
      </c>
    </row>
    <row r="29" spans="1:19" ht="20.100000000000001" customHeight="1">
      <c r="A29" s="329" t="s">
        <v>100</v>
      </c>
      <c r="B29" s="19" t="s">
        <v>72</v>
      </c>
      <c r="C29" s="19"/>
      <c r="D29" s="19"/>
      <c r="E29" s="19"/>
      <c r="F29" s="19"/>
      <c r="G29" s="19"/>
      <c r="H29" s="19"/>
      <c r="I29" s="19"/>
      <c r="J29" s="19" t="s">
        <v>72</v>
      </c>
      <c r="K29" s="163"/>
      <c r="L29" s="9"/>
      <c r="M29" s="160"/>
      <c r="N29" s="119" t="s">
        <v>372</v>
      </c>
      <c r="O29" s="151" t="s">
        <v>371</v>
      </c>
      <c r="P29" s="140" t="s">
        <v>300</v>
      </c>
      <c r="Q29" s="206" t="s">
        <v>607</v>
      </c>
      <c r="S29" s="190" t="e">
        <f>MATCH(Q29,CCF!C:C,0)</f>
        <v>#N/A</v>
      </c>
    </row>
    <row r="30" spans="1:19" ht="20.100000000000001" customHeight="1">
      <c r="A30" s="329" t="s">
        <v>100</v>
      </c>
      <c r="B30" s="19" t="s">
        <v>72</v>
      </c>
      <c r="C30" s="19"/>
      <c r="D30" s="19"/>
      <c r="E30" s="19"/>
      <c r="F30" s="19"/>
      <c r="G30" s="19"/>
      <c r="H30" s="19"/>
      <c r="I30" s="19"/>
      <c r="J30" s="19" t="s">
        <v>72</v>
      </c>
      <c r="K30" s="163"/>
      <c r="L30" s="9"/>
      <c r="M30" s="160"/>
      <c r="N30" s="119" t="s">
        <v>373</v>
      </c>
      <c r="O30" s="151" t="s">
        <v>370</v>
      </c>
      <c r="P30" s="140" t="s">
        <v>300</v>
      </c>
      <c r="Q30" s="189" t="s">
        <v>608</v>
      </c>
      <c r="S30" s="190" t="e">
        <f>MATCH(Q30,CCF!C:C,0)</f>
        <v>#N/A</v>
      </c>
    </row>
    <row r="31" spans="1:19" ht="20.100000000000001" customHeight="1">
      <c r="A31" s="329" t="s">
        <v>100</v>
      </c>
      <c r="B31" s="19" t="s">
        <v>72</v>
      </c>
      <c r="C31" s="19"/>
      <c r="D31" s="19"/>
      <c r="E31" s="19"/>
      <c r="F31" s="19"/>
      <c r="G31" s="19"/>
      <c r="H31" s="19"/>
      <c r="I31" s="19"/>
      <c r="J31" s="19" t="s">
        <v>72</v>
      </c>
      <c r="K31" s="163"/>
      <c r="L31" s="9"/>
      <c r="M31" s="160"/>
      <c r="N31" s="119" t="s">
        <v>374</v>
      </c>
      <c r="P31" s="140" t="s">
        <v>300</v>
      </c>
      <c r="Q31" s="189" t="s">
        <v>609</v>
      </c>
      <c r="S31" s="190" t="e">
        <f>MATCH(Q31,CCF!C:C,0)</f>
        <v>#N/A</v>
      </c>
    </row>
    <row r="32" spans="1:19" ht="20.100000000000001" customHeight="1">
      <c r="A32" s="329" t="s">
        <v>100</v>
      </c>
      <c r="B32" s="19" t="s">
        <v>72</v>
      </c>
      <c r="C32" s="19"/>
      <c r="D32" s="19"/>
      <c r="E32" s="19"/>
      <c r="F32" s="19"/>
      <c r="G32" s="19"/>
      <c r="H32" s="19"/>
      <c r="I32" s="19"/>
      <c r="J32" s="19" t="s">
        <v>72</v>
      </c>
      <c r="K32" s="163"/>
      <c r="L32" s="9"/>
      <c r="M32" s="151"/>
      <c r="N32" s="119" t="s">
        <v>375</v>
      </c>
      <c r="P32" s="140" t="s">
        <v>300</v>
      </c>
      <c r="Q32" s="206" t="s">
        <v>610</v>
      </c>
      <c r="S32" s="190" t="e">
        <f>MATCH(Q32,CCF!C:C,0)</f>
        <v>#N/A</v>
      </c>
    </row>
    <row r="33" spans="1:19" ht="20.100000000000001" customHeight="1">
      <c r="A33" s="329" t="s">
        <v>101</v>
      </c>
      <c r="B33" s="19" t="s">
        <v>72</v>
      </c>
      <c r="C33" s="19"/>
      <c r="D33" s="19"/>
      <c r="E33" s="19"/>
      <c r="F33" s="19"/>
      <c r="G33" s="19"/>
      <c r="H33" s="19"/>
      <c r="I33" s="19"/>
      <c r="J33" s="19"/>
      <c r="K33" s="19" t="s">
        <v>72</v>
      </c>
      <c r="L33" s="9" t="s">
        <v>337</v>
      </c>
      <c r="M33" s="151"/>
      <c r="N33" s="119" t="s">
        <v>336</v>
      </c>
      <c r="P33" s="140" t="s">
        <v>300</v>
      </c>
      <c r="Q33" s="189" t="s">
        <v>611</v>
      </c>
      <c r="S33" s="190" t="e">
        <f>MATCH(Q33,CCF!C:C,0)</f>
        <v>#N/A</v>
      </c>
    </row>
    <row r="34" spans="1:19" ht="20.100000000000001" customHeight="1">
      <c r="A34" s="329" t="s">
        <v>101</v>
      </c>
      <c r="M34" s="11"/>
      <c r="N34" s="119" t="s">
        <v>723</v>
      </c>
      <c r="P34" s="140" t="s">
        <v>300</v>
      </c>
      <c r="Q34" s="189"/>
    </row>
    <row r="35" spans="1:19" ht="20.100000000000001" customHeight="1">
      <c r="A35" s="329" t="s">
        <v>101</v>
      </c>
      <c r="M35" s="228" t="s">
        <v>724</v>
      </c>
      <c r="N35" s="119" t="s">
        <v>725</v>
      </c>
      <c r="P35" s="140" t="s">
        <v>300</v>
      </c>
      <c r="Q35" s="206"/>
    </row>
    <row r="36" spans="1:19" ht="20.100000000000001" customHeight="1">
      <c r="A36" s="329" t="s">
        <v>101</v>
      </c>
      <c r="N36" s="119" t="s">
        <v>724</v>
      </c>
      <c r="P36" s="140" t="s">
        <v>300</v>
      </c>
      <c r="Q36" s="189"/>
    </row>
    <row r="37" spans="1:19" ht="20.100000000000001" customHeight="1">
      <c r="A37" s="329" t="s">
        <v>101</v>
      </c>
      <c r="N37" s="119"/>
      <c r="P37" s="140" t="s">
        <v>300</v>
      </c>
      <c r="Q37" s="189"/>
    </row>
    <row r="38" spans="1:19" ht="20.100000000000001" customHeight="1">
      <c r="A38" s="331" t="s">
        <v>102</v>
      </c>
      <c r="N38" s="228"/>
      <c r="P38" s="139" t="s">
        <v>300</v>
      </c>
    </row>
    <row r="39" spans="1:19" ht="20.100000000000001" customHeight="1">
      <c r="P39" s="139"/>
    </row>
  </sheetData>
  <dataConsolidate link="1"/>
  <phoneticPr fontId="58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37"/>
  <sheetViews>
    <sheetView workbookViewId="0">
      <pane ySplit="1" topLeftCell="A2" activePane="bottomLeft" state="frozen"/>
      <selection activeCell="H12" sqref="H12"/>
      <selection pane="bottomLeft" activeCell="N4" sqref="N4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20" t="s">
        <v>96</v>
      </c>
      <c r="B1" s="231" t="s">
        <v>108</v>
      </c>
      <c r="C1" s="231" t="s">
        <v>135</v>
      </c>
      <c r="D1" s="231" t="s">
        <v>136</v>
      </c>
      <c r="E1" s="231" t="s">
        <v>222</v>
      </c>
      <c r="F1" s="231" t="s">
        <v>137</v>
      </c>
      <c r="G1" s="231" t="s">
        <v>145</v>
      </c>
      <c r="H1" s="231" t="s">
        <v>193</v>
      </c>
      <c r="I1" s="231" t="s">
        <v>233</v>
      </c>
      <c r="J1" s="231" t="s">
        <v>221</v>
      </c>
      <c r="K1" s="231" t="s">
        <v>385</v>
      </c>
      <c r="L1" s="77" t="s">
        <v>70</v>
      </c>
      <c r="M1" s="24" t="s">
        <v>71</v>
      </c>
      <c r="N1" s="24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22" t="s">
        <v>101</v>
      </c>
      <c r="B3" s="36" t="s">
        <v>72</v>
      </c>
      <c r="C3" s="36" t="s">
        <v>72</v>
      </c>
      <c r="D3" s="225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147</v>
      </c>
      <c r="O3" s="11"/>
      <c r="P3" s="144"/>
    </row>
    <row r="4" spans="1:16" s="2" customFormat="1" ht="25.2" customHeight="1">
      <c r="A4" s="322" t="s">
        <v>100</v>
      </c>
      <c r="B4" s="372" t="s">
        <v>72</v>
      </c>
      <c r="C4" s="372" t="s">
        <v>72</v>
      </c>
      <c r="D4" s="373" t="s">
        <v>72</v>
      </c>
      <c r="E4" s="37"/>
      <c r="F4" s="37"/>
      <c r="G4" s="37"/>
      <c r="H4" s="37"/>
      <c r="I4" s="37"/>
      <c r="J4" s="37"/>
      <c r="L4" s="1"/>
      <c r="M4" s="4"/>
      <c r="N4" s="119" t="s">
        <v>852</v>
      </c>
      <c r="O4" s="11"/>
      <c r="P4" s="144"/>
    </row>
    <row r="5" spans="1:16" s="2" customFormat="1" ht="25.2" customHeight="1">
      <c r="A5" s="322" t="s">
        <v>101</v>
      </c>
      <c r="B5" s="36" t="s">
        <v>72</v>
      </c>
      <c r="C5" s="275" t="s">
        <v>72</v>
      </c>
      <c r="D5" s="225" t="s">
        <v>72</v>
      </c>
      <c r="E5" s="37"/>
      <c r="F5" s="37"/>
      <c r="G5" s="37"/>
      <c r="H5" s="37"/>
      <c r="I5" s="37"/>
      <c r="J5" s="37"/>
      <c r="L5" s="1" t="s">
        <v>26</v>
      </c>
      <c r="M5" s="4"/>
      <c r="N5" s="119" t="s">
        <v>148</v>
      </c>
      <c r="O5" s="11"/>
      <c r="P5" s="144"/>
    </row>
    <row r="6" spans="1:16" s="2" customFormat="1" ht="25.2" customHeight="1">
      <c r="A6" s="322" t="s">
        <v>101</v>
      </c>
      <c r="B6" s="36" t="s">
        <v>72</v>
      </c>
      <c r="C6" s="36"/>
      <c r="D6" s="225" t="s">
        <v>72</v>
      </c>
      <c r="E6" s="37"/>
      <c r="F6" s="37"/>
      <c r="G6" s="37"/>
      <c r="H6" s="37"/>
      <c r="I6" s="37"/>
      <c r="J6" s="37"/>
      <c r="L6" s="1" t="s">
        <v>5</v>
      </c>
      <c r="M6" s="4"/>
      <c r="N6" s="119" t="s">
        <v>149</v>
      </c>
      <c r="O6" s="11"/>
      <c r="P6" s="144"/>
    </row>
    <row r="7" spans="1:16" s="2" customFormat="1" ht="25.2" customHeight="1">
      <c r="A7" s="322" t="s">
        <v>100</v>
      </c>
      <c r="B7" s="36" t="s">
        <v>72</v>
      </c>
      <c r="C7" s="36"/>
      <c r="D7" s="225" t="s">
        <v>72</v>
      </c>
      <c r="E7" s="37"/>
      <c r="F7" s="37"/>
      <c r="G7" s="37"/>
      <c r="H7" s="37"/>
      <c r="I7" s="37"/>
      <c r="J7" s="37"/>
      <c r="L7" s="1"/>
      <c r="M7" s="4"/>
      <c r="N7" s="119" t="s">
        <v>150</v>
      </c>
      <c r="O7" s="88" t="s">
        <v>216</v>
      </c>
      <c r="P7" s="144"/>
    </row>
    <row r="8" spans="1:16" s="2" customFormat="1" ht="25.2" customHeight="1">
      <c r="A8" s="322" t="s">
        <v>100</v>
      </c>
      <c r="B8" s="36" t="s">
        <v>72</v>
      </c>
      <c r="C8" s="36"/>
      <c r="D8" s="225" t="s">
        <v>72</v>
      </c>
      <c r="E8" s="37"/>
      <c r="F8" s="37"/>
      <c r="G8" s="37"/>
      <c r="H8" s="37"/>
      <c r="I8" s="37"/>
      <c r="J8" s="37"/>
      <c r="L8" s="1"/>
      <c r="M8" s="4"/>
      <c r="N8" s="119" t="s">
        <v>215</v>
      </c>
      <c r="O8" s="88" t="s">
        <v>217</v>
      </c>
      <c r="P8" s="144"/>
    </row>
    <row r="9" spans="1:16" s="2" customFormat="1" ht="25.2" customHeight="1">
      <c r="A9" s="322" t="s">
        <v>100</v>
      </c>
      <c r="B9" s="36" t="s">
        <v>72</v>
      </c>
      <c r="C9" s="36"/>
      <c r="D9" s="225" t="s">
        <v>72</v>
      </c>
      <c r="E9" s="37"/>
      <c r="F9" s="37"/>
      <c r="G9" s="37"/>
      <c r="H9" s="37"/>
      <c r="I9" s="37"/>
      <c r="J9" s="37"/>
      <c r="L9" s="1"/>
      <c r="M9" s="4"/>
      <c r="N9" s="119" t="s">
        <v>218</v>
      </c>
      <c r="O9" s="89" t="s">
        <v>219</v>
      </c>
      <c r="P9" s="144"/>
    </row>
    <row r="10" spans="1:16" s="2" customFormat="1" ht="25.2" customHeight="1">
      <c r="A10" s="322" t="s">
        <v>101</v>
      </c>
      <c r="B10" s="36" t="s">
        <v>72</v>
      </c>
      <c r="C10" s="36"/>
      <c r="D10" s="225" t="s">
        <v>72</v>
      </c>
      <c r="E10" s="37"/>
      <c r="F10" s="37"/>
      <c r="G10" s="37"/>
      <c r="H10" s="37"/>
      <c r="I10" s="37"/>
      <c r="J10" s="37"/>
      <c r="L10" s="1" t="s">
        <v>69</v>
      </c>
      <c r="M10" s="374" t="s">
        <v>849</v>
      </c>
      <c r="N10" s="119" t="s">
        <v>151</v>
      </c>
      <c r="O10" s="11"/>
      <c r="P10" s="144"/>
    </row>
    <row r="11" spans="1:16" s="2" customFormat="1" ht="25.2" customHeight="1">
      <c r="A11" s="322" t="s">
        <v>100</v>
      </c>
      <c r="B11" s="372" t="s">
        <v>72</v>
      </c>
      <c r="C11" s="36"/>
      <c r="D11" s="373" t="s">
        <v>72</v>
      </c>
      <c r="E11" s="37"/>
      <c r="F11" s="37"/>
      <c r="G11" s="37"/>
      <c r="H11" s="37"/>
      <c r="I11" s="37"/>
      <c r="J11" s="37"/>
      <c r="L11" s="1"/>
      <c r="M11" s="4"/>
      <c r="N11" s="119" t="s">
        <v>851</v>
      </c>
      <c r="O11" s="375" t="s">
        <v>850</v>
      </c>
      <c r="P11" s="145" t="s">
        <v>300</v>
      </c>
    </row>
    <row r="12" spans="1:16" s="2" customFormat="1" ht="25.2" customHeight="1">
      <c r="A12" s="322" t="s">
        <v>101</v>
      </c>
      <c r="B12" s="36" t="s">
        <v>72</v>
      </c>
      <c r="C12" s="36"/>
      <c r="D12" s="37"/>
      <c r="E12" s="37"/>
      <c r="F12" s="37"/>
      <c r="G12" s="37"/>
      <c r="H12" s="37" t="s">
        <v>72</v>
      </c>
      <c r="I12" s="37"/>
      <c r="J12" s="37"/>
      <c r="L12" s="1" t="s">
        <v>196</v>
      </c>
      <c r="M12" s="4"/>
      <c r="N12" s="119" t="s">
        <v>270</v>
      </c>
      <c r="O12" s="11"/>
      <c r="P12" s="145" t="s">
        <v>300</v>
      </c>
    </row>
    <row r="13" spans="1:16" s="2" customFormat="1" ht="25.2" customHeight="1">
      <c r="A13" s="322" t="s">
        <v>101</v>
      </c>
      <c r="B13" s="36" t="s">
        <v>72</v>
      </c>
      <c r="C13" s="36"/>
      <c r="D13" s="37"/>
      <c r="E13" s="37"/>
      <c r="F13" s="37"/>
      <c r="G13" s="37" t="s">
        <v>72</v>
      </c>
      <c r="H13" s="37"/>
      <c r="I13" s="37"/>
      <c r="J13" s="37"/>
      <c r="L13" s="298" t="s">
        <v>770</v>
      </c>
      <c r="M13" s="4"/>
      <c r="N13" s="119" t="s">
        <v>271</v>
      </c>
      <c r="O13" s="11"/>
      <c r="P13" s="145" t="s">
        <v>300</v>
      </c>
    </row>
    <row r="14" spans="1:16" s="2" customFormat="1" ht="25.2" customHeight="1">
      <c r="A14" s="322" t="s">
        <v>100</v>
      </c>
      <c r="B14" s="36" t="s">
        <v>72</v>
      </c>
      <c r="C14" s="36"/>
      <c r="D14" s="37"/>
      <c r="E14" s="37"/>
      <c r="F14" s="37"/>
      <c r="G14" s="37" t="s">
        <v>72</v>
      </c>
      <c r="H14" s="37"/>
      <c r="I14" s="37"/>
      <c r="J14" s="37"/>
      <c r="L14" s="1"/>
      <c r="M14" s="4"/>
      <c r="N14" s="119" t="s">
        <v>285</v>
      </c>
      <c r="O14" s="11"/>
      <c r="P14" s="145" t="s">
        <v>300</v>
      </c>
    </row>
    <row r="15" spans="1:16" s="2" customFormat="1" ht="25.2" customHeight="1">
      <c r="A15" s="322" t="s">
        <v>101</v>
      </c>
      <c r="B15" s="36" t="s">
        <v>72</v>
      </c>
      <c r="C15" s="36"/>
      <c r="D15" s="37"/>
      <c r="E15" s="37"/>
      <c r="F15" s="37"/>
      <c r="G15" s="37"/>
      <c r="H15" s="37"/>
      <c r="I15" s="37"/>
      <c r="J15" s="91" t="s">
        <v>72</v>
      </c>
      <c r="L15" s="92" t="s">
        <v>229</v>
      </c>
      <c r="M15" s="93" t="s">
        <v>230</v>
      </c>
      <c r="N15" s="119" t="s">
        <v>228</v>
      </c>
      <c r="O15" s="11"/>
      <c r="P15" s="144"/>
    </row>
    <row r="16" spans="1:16" s="2" customFormat="1" ht="25.2" customHeight="1">
      <c r="A16" s="322" t="s">
        <v>100</v>
      </c>
      <c r="B16" s="36" t="s">
        <v>72</v>
      </c>
      <c r="C16" s="36"/>
      <c r="D16" s="37"/>
      <c r="E16" s="37"/>
      <c r="F16" s="37"/>
      <c r="G16" s="37"/>
      <c r="H16" s="37"/>
      <c r="I16" s="37"/>
      <c r="J16" s="37"/>
      <c r="L16" s="1"/>
      <c r="M16" s="4"/>
      <c r="N16" s="119" t="s">
        <v>231</v>
      </c>
      <c r="O16" s="11"/>
      <c r="P16" s="144"/>
    </row>
    <row r="17" spans="1:16" s="2" customFormat="1" ht="25.2" customHeight="1">
      <c r="A17" s="322" t="s">
        <v>101</v>
      </c>
      <c r="B17" s="36" t="s">
        <v>72</v>
      </c>
      <c r="C17" s="36"/>
      <c r="D17" s="37"/>
      <c r="E17" s="122" t="s">
        <v>72</v>
      </c>
      <c r="F17" s="37"/>
      <c r="G17" s="37"/>
      <c r="H17" s="37"/>
      <c r="I17" s="37"/>
      <c r="J17" s="37"/>
      <c r="L17" s="123" t="s">
        <v>265</v>
      </c>
      <c r="M17" s="4"/>
      <c r="N17" s="119" t="s">
        <v>272</v>
      </c>
      <c r="O17" s="11"/>
      <c r="P17" s="145" t="s">
        <v>300</v>
      </c>
    </row>
    <row r="18" spans="1:16" s="2" customFormat="1" ht="25.2" customHeight="1">
      <c r="A18" s="322" t="s">
        <v>101</v>
      </c>
      <c r="B18" s="36" t="s">
        <v>72</v>
      </c>
      <c r="C18" s="36"/>
      <c r="D18" s="37"/>
      <c r="E18" s="37"/>
      <c r="F18" s="37"/>
      <c r="G18" s="37"/>
      <c r="H18" s="37"/>
      <c r="I18" s="37"/>
      <c r="J18" s="37"/>
      <c r="K18" s="36" t="s">
        <v>72</v>
      </c>
      <c r="L18" s="1"/>
      <c r="M18" s="4"/>
      <c r="N18" s="119" t="s">
        <v>392</v>
      </c>
      <c r="O18" s="11"/>
      <c r="P18" s="145" t="s">
        <v>300</v>
      </c>
    </row>
    <row r="19" spans="1:16" s="2" customFormat="1" ht="25.2" customHeight="1">
      <c r="A19" s="322" t="s">
        <v>101</v>
      </c>
      <c r="B19" s="36" t="s">
        <v>72</v>
      </c>
      <c r="C19" s="36"/>
      <c r="D19" s="37"/>
      <c r="E19" s="37"/>
      <c r="F19" s="37"/>
      <c r="G19" s="37"/>
      <c r="H19" s="37"/>
      <c r="I19" s="37"/>
      <c r="J19" s="37"/>
      <c r="K19" s="36" t="s">
        <v>72</v>
      </c>
      <c r="L19" s="1"/>
      <c r="M19" s="4"/>
      <c r="N19" s="119" t="s">
        <v>393</v>
      </c>
      <c r="O19" s="11"/>
      <c r="P19" s="145" t="s">
        <v>300</v>
      </c>
    </row>
    <row r="20" spans="1:16" s="2" customFormat="1" ht="25.2" customHeight="1">
      <c r="A20" s="322" t="s">
        <v>101</v>
      </c>
      <c r="B20" s="36" t="s">
        <v>72</v>
      </c>
      <c r="C20" s="36"/>
      <c r="D20" s="37"/>
      <c r="E20" s="37"/>
      <c r="F20" s="37"/>
      <c r="G20" s="37"/>
      <c r="H20" s="37"/>
      <c r="I20" s="37"/>
      <c r="J20" s="37"/>
      <c r="K20" s="36" t="s">
        <v>72</v>
      </c>
      <c r="L20" s="1"/>
      <c r="M20" s="4"/>
      <c r="N20" s="119" t="s">
        <v>394</v>
      </c>
      <c r="O20" s="11"/>
      <c r="P20" s="145" t="s">
        <v>300</v>
      </c>
    </row>
    <row r="21" spans="1:16" s="2" customFormat="1" ht="25.2" customHeight="1">
      <c r="A21" s="322" t="s">
        <v>102</v>
      </c>
      <c r="B21" s="36" t="s">
        <v>72</v>
      </c>
      <c r="C21" s="36"/>
      <c r="D21" s="37"/>
      <c r="E21" s="37"/>
      <c r="F21" s="37"/>
      <c r="G21" s="37"/>
      <c r="H21" s="37"/>
      <c r="I21" s="37"/>
      <c r="J21" s="37"/>
      <c r="K21" s="36" t="s">
        <v>72</v>
      </c>
      <c r="L21" s="1"/>
      <c r="M21" s="4"/>
      <c r="O21" s="11"/>
      <c r="P21" s="144"/>
    </row>
    <row r="22" spans="1:16" s="2" customFormat="1" ht="25.2" customHeight="1">
      <c r="A22" s="322"/>
      <c r="B22" s="36"/>
      <c r="C22" s="36"/>
      <c r="D22" s="37"/>
      <c r="E22" s="37"/>
      <c r="F22" s="37"/>
      <c r="G22" s="37"/>
      <c r="H22" s="37"/>
      <c r="I22" s="37"/>
      <c r="J22" s="37"/>
      <c r="K22" s="36" t="s">
        <v>72</v>
      </c>
      <c r="L22" s="1"/>
      <c r="M22" s="4"/>
      <c r="N22" s="82"/>
      <c r="O22" s="11"/>
    </row>
    <row r="23" spans="1:16" s="2" customFormat="1" ht="25.2" customHeight="1">
      <c r="A23" s="322"/>
      <c r="B23" s="36"/>
      <c r="C23" s="36"/>
      <c r="D23" s="37"/>
      <c r="E23" s="37"/>
      <c r="F23" s="37"/>
      <c r="G23" s="37"/>
      <c r="H23" s="37"/>
      <c r="I23" s="37"/>
      <c r="J23" s="37"/>
      <c r="K23" s="36" t="s">
        <v>72</v>
      </c>
      <c r="L23" s="1"/>
      <c r="M23" s="4"/>
      <c r="N23" s="82"/>
      <c r="O23" s="11"/>
    </row>
    <row r="24" spans="1:16" s="2" customFormat="1" ht="25.2" customHeight="1">
      <c r="A24" s="322"/>
      <c r="B24" s="36"/>
      <c r="C24" s="36"/>
      <c r="D24" s="37"/>
      <c r="E24" s="37"/>
      <c r="F24" s="37"/>
      <c r="G24" s="37"/>
      <c r="H24" s="37"/>
      <c r="I24" s="37"/>
      <c r="J24" s="37"/>
      <c r="L24" s="1"/>
      <c r="M24" s="4"/>
      <c r="N24" s="82"/>
      <c r="O24" s="11"/>
    </row>
    <row r="25" spans="1:16" s="2" customFormat="1" ht="25.2" customHeight="1">
      <c r="A25" s="322"/>
      <c r="B25" s="36"/>
      <c r="C25" s="36"/>
      <c r="D25" s="37"/>
      <c r="E25" s="37"/>
      <c r="F25" s="37"/>
      <c r="G25" s="37"/>
      <c r="H25" s="37"/>
      <c r="I25" s="37"/>
      <c r="J25" s="37"/>
      <c r="L25" s="1"/>
      <c r="M25" s="4"/>
      <c r="N25" s="82"/>
      <c r="O25" s="11"/>
    </row>
    <row r="26" spans="1:16" s="2" customFormat="1" ht="25.2" customHeight="1">
      <c r="A26" s="322"/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</row>
    <row r="27" spans="1:16" s="2" customFormat="1" ht="25.2" customHeight="1">
      <c r="A27" s="322"/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</row>
    <row r="28" spans="1:16" s="2" customFormat="1" ht="25.2" customHeight="1">
      <c r="A28" s="322"/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</row>
    <row r="29" spans="1:16" s="2" customFormat="1" ht="25.2" customHeight="1">
      <c r="A29" s="322"/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</row>
    <row r="30" spans="1:16" s="2" customFormat="1" ht="25.2" customHeight="1">
      <c r="A30" s="322"/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</row>
    <row r="31" spans="1:16" s="2" customFormat="1" ht="25.2" customHeight="1">
      <c r="A31" s="322"/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163"/>
    </row>
    <row r="37" spans="11:11">
      <c r="K37" s="33"/>
    </row>
  </sheetData>
  <dataConsolidate link="1"/>
  <hyperlinks>
    <hyperlink ref="N3" r:id="rId1" xr:uid="{82FC7E2B-86FA-4887-911A-30E715E90F48}"/>
    <hyperlink ref="N5" r:id="rId2" xr:uid="{2BD1F34C-67BA-446E-BC9D-5461D92F7116}"/>
    <hyperlink ref="N6" r:id="rId3" xr:uid="{88D238DE-60F8-4073-A764-ABEA07294A1B}"/>
    <hyperlink ref="N7" r:id="rId4" xr:uid="{8CA6211D-BC4C-491F-B7C5-712AFECDCA5F}"/>
    <hyperlink ref="N8" r:id="rId5" xr:uid="{2E9A5819-5ACB-465A-9612-DB566B163053}"/>
    <hyperlink ref="N9" r:id="rId6" xr:uid="{D33FEA1A-31FB-4326-BF6F-057B7E9AD2BD}"/>
    <hyperlink ref="N10" r:id="rId7" xr:uid="{164503AF-EC53-4262-95E2-AB2DF6CD8E84}"/>
    <hyperlink ref="N15" r:id="rId8" xr:uid="{E3EA1514-560E-4384-BFF2-A27165147DE1}"/>
    <hyperlink ref="N16" r:id="rId9" xr:uid="{829EAFF1-5D72-4620-9B3B-BC5B3BD465F8}"/>
    <hyperlink ref="N11" r:id="rId10" xr:uid="{64F9340E-CCF1-46F8-BA20-3D95FDA0E730}"/>
    <hyperlink ref="N12" r:id="rId11" xr:uid="{F924B7B3-C9EE-4A10-A928-3585A5B38663}"/>
    <hyperlink ref="N13" r:id="rId12" xr:uid="{63436B92-5D6E-40FB-ABEB-35CC3ECD311B}"/>
    <hyperlink ref="N14" r:id="rId13" xr:uid="{0FDE14CA-13B3-414E-92B3-8173E06363AC}"/>
    <hyperlink ref="N17" r:id="rId14" xr:uid="{A635A0B4-0153-4521-829E-C8E7B4E3B8CB}"/>
    <hyperlink ref="N18" r:id="rId15" xr:uid="{B29CA647-5475-4550-97C6-A99DD9525E38}"/>
    <hyperlink ref="N19" r:id="rId16" xr:uid="{3AA5AE60-A961-49C5-AB75-2540FD57F8AF}"/>
    <hyperlink ref="N20" r:id="rId17" xr:uid="{2BD335ED-42C4-441A-B499-AD303120050E}"/>
  </hyperlinks>
  <pageMargins left="0.7" right="0.7" top="0.78740157499999996" bottom="0.78740157499999996" header="0.3" footer="0.3"/>
  <pageSetup paperSize="9"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1"/>
  <sheetViews>
    <sheetView workbookViewId="0">
      <pane ySplit="1" topLeftCell="A15" activePane="bottomLeft" state="frozen"/>
      <selection activeCell="H12" sqref="H12"/>
      <selection pane="bottomLeft" activeCell="L22" sqref="L2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77" t="s">
        <v>71</v>
      </c>
      <c r="N1" s="126" t="s">
        <v>14</v>
      </c>
      <c r="O1" s="25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22" t="s">
        <v>101</v>
      </c>
      <c r="B3" s="36" t="s">
        <v>72</v>
      </c>
      <c r="C3" s="233" t="s">
        <v>72</v>
      </c>
      <c r="D3" s="234" t="s">
        <v>72</v>
      </c>
      <c r="E3" s="37"/>
      <c r="F3" s="37"/>
      <c r="G3" s="37"/>
      <c r="H3" s="37"/>
      <c r="I3" s="37"/>
      <c r="J3" s="37"/>
      <c r="L3" s="1" t="s">
        <v>0</v>
      </c>
      <c r="M3" s="84" t="s">
        <v>30</v>
      </c>
      <c r="N3" s="119" t="s">
        <v>104</v>
      </c>
      <c r="O3" s="16"/>
      <c r="P3" s="145" t="s">
        <v>300</v>
      </c>
    </row>
    <row r="4" spans="1:16" s="2" customFormat="1" ht="25.2" customHeight="1">
      <c r="A4" s="322" t="s">
        <v>101</v>
      </c>
      <c r="B4" s="36" t="s">
        <v>72</v>
      </c>
      <c r="C4" s="36" t="s">
        <v>72</v>
      </c>
      <c r="D4" s="37" t="s">
        <v>72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152</v>
      </c>
      <c r="O4" s="16"/>
      <c r="P4" s="145" t="s">
        <v>300</v>
      </c>
    </row>
    <row r="5" spans="1:16" s="2" customFormat="1" ht="25.2" customHeight="1">
      <c r="A5" s="322" t="s">
        <v>101</v>
      </c>
      <c r="B5" s="36" t="s">
        <v>72</v>
      </c>
      <c r="C5" s="36" t="s">
        <v>72</v>
      </c>
      <c r="D5" s="37" t="s">
        <v>72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104</v>
      </c>
      <c r="O5" s="16"/>
      <c r="P5" s="145" t="s">
        <v>300</v>
      </c>
    </row>
    <row r="6" spans="1:16" s="2" customFormat="1" ht="25.2" customHeight="1">
      <c r="A6" s="322" t="s">
        <v>101</v>
      </c>
      <c r="B6" s="36" t="s">
        <v>72</v>
      </c>
      <c r="C6" s="36" t="s">
        <v>72</v>
      </c>
      <c r="D6" s="37" t="s">
        <v>72</v>
      </c>
      <c r="E6" s="37"/>
      <c r="F6" s="37"/>
      <c r="G6" s="37"/>
      <c r="H6" s="37"/>
      <c r="I6" s="37"/>
      <c r="J6" s="37"/>
      <c r="L6" s="1" t="s">
        <v>7</v>
      </c>
      <c r="M6" s="84"/>
      <c r="N6" s="119" t="s">
        <v>153</v>
      </c>
      <c r="O6" s="16"/>
      <c r="P6" s="145" t="s">
        <v>300</v>
      </c>
    </row>
    <row r="7" spans="1:16" s="2" customFormat="1" ht="25.2" customHeight="1">
      <c r="A7" s="322" t="s">
        <v>101</v>
      </c>
      <c r="B7" s="36" t="s">
        <v>72</v>
      </c>
      <c r="C7" s="31"/>
      <c r="D7" s="32"/>
      <c r="E7" s="32"/>
      <c r="F7" s="32"/>
      <c r="G7" s="32"/>
      <c r="H7" s="32"/>
      <c r="I7" s="32"/>
      <c r="J7" s="32"/>
      <c r="L7" s="221" t="s">
        <v>660</v>
      </c>
      <c r="M7" s="222" t="s">
        <v>661</v>
      </c>
      <c r="N7" s="119" t="s">
        <v>154</v>
      </c>
      <c r="O7" s="16"/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36" t="s">
        <v>72</v>
      </c>
      <c r="D8" s="37" t="s">
        <v>72</v>
      </c>
      <c r="E8" s="37"/>
      <c r="F8" s="37"/>
      <c r="G8" s="37"/>
      <c r="H8" s="37"/>
      <c r="I8" s="37"/>
      <c r="J8" s="37"/>
      <c r="L8" s="1" t="s">
        <v>6</v>
      </c>
      <c r="M8" s="84"/>
      <c r="N8" s="119" t="s">
        <v>264</v>
      </c>
      <c r="O8" s="16"/>
      <c r="P8" s="145" t="s">
        <v>300</v>
      </c>
    </row>
    <row r="9" spans="1:16" s="2" customFormat="1" ht="25.2" customHeight="1">
      <c r="A9" s="326" t="s">
        <v>101</v>
      </c>
      <c r="B9" s="36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221" t="s">
        <v>650</v>
      </c>
      <c r="M9" s="222" t="s">
        <v>651</v>
      </c>
      <c r="N9" s="119" t="s">
        <v>155</v>
      </c>
      <c r="O9" s="16"/>
      <c r="P9" s="145" t="s">
        <v>300</v>
      </c>
    </row>
    <row r="10" spans="1:16" s="2" customFormat="1" ht="25.2" customHeight="1">
      <c r="A10" s="322" t="s">
        <v>100</v>
      </c>
      <c r="B10" s="36" t="s">
        <v>72</v>
      </c>
      <c r="C10" s="36"/>
      <c r="D10" s="37" t="s">
        <v>72</v>
      </c>
      <c r="E10" s="37"/>
      <c r="F10" s="37"/>
      <c r="G10" s="37"/>
      <c r="H10" s="37"/>
      <c r="I10" s="37"/>
      <c r="J10" s="37"/>
      <c r="M10" s="226" t="s">
        <v>659</v>
      </c>
      <c r="N10" s="119"/>
      <c r="O10" s="1" t="s">
        <v>107</v>
      </c>
      <c r="P10" s="145" t="s">
        <v>300</v>
      </c>
    </row>
    <row r="11" spans="1:16" s="2" customFormat="1" ht="25.2" customHeight="1">
      <c r="A11" s="322" t="s">
        <v>101</v>
      </c>
      <c r="B11" s="244" t="s">
        <v>72</v>
      </c>
      <c r="C11" s="36"/>
      <c r="D11" s="245" t="s">
        <v>72</v>
      </c>
      <c r="E11" s="37"/>
      <c r="F11" s="37"/>
      <c r="G11" s="37"/>
      <c r="H11" s="37"/>
      <c r="I11" s="37"/>
      <c r="J11" s="37"/>
      <c r="L11" s="221" t="s">
        <v>696</v>
      </c>
      <c r="M11" s="246" t="s">
        <v>16</v>
      </c>
      <c r="N11" s="119" t="s">
        <v>697</v>
      </c>
      <c r="O11" s="252" t="s">
        <v>698</v>
      </c>
      <c r="P11" s="145" t="s">
        <v>300</v>
      </c>
    </row>
    <row r="12" spans="1:16" s="2" customFormat="1" ht="25.2" customHeight="1">
      <c r="A12" s="322" t="s">
        <v>100</v>
      </c>
      <c r="B12" s="244" t="s">
        <v>72</v>
      </c>
      <c r="C12" s="36"/>
      <c r="D12" s="245" t="s">
        <v>72</v>
      </c>
      <c r="E12" s="37"/>
      <c r="F12" s="37"/>
      <c r="G12" s="37"/>
      <c r="H12" s="37"/>
      <c r="I12" s="37"/>
      <c r="J12" s="37"/>
      <c r="L12" s="221"/>
      <c r="M12" s="246"/>
      <c r="N12" s="228" t="s">
        <v>700</v>
      </c>
      <c r="O12" s="252" t="s">
        <v>701</v>
      </c>
      <c r="P12" s="145" t="s">
        <v>300</v>
      </c>
    </row>
    <row r="13" spans="1:16" s="2" customFormat="1" ht="25.2" customHeight="1">
      <c r="A13" s="322" t="s">
        <v>100</v>
      </c>
      <c r="B13" s="244" t="s">
        <v>72</v>
      </c>
      <c r="C13" s="36"/>
      <c r="D13" s="245" t="s">
        <v>72</v>
      </c>
      <c r="E13" s="37"/>
      <c r="F13" s="37"/>
      <c r="G13" s="37"/>
      <c r="H13" s="37"/>
      <c r="I13" s="37"/>
      <c r="J13" s="37"/>
      <c r="L13" s="221"/>
      <c r="M13" s="246"/>
      <c r="N13" s="228" t="s">
        <v>699</v>
      </c>
      <c r="O13" s="252"/>
      <c r="P13" s="145" t="s">
        <v>300</v>
      </c>
    </row>
    <row r="14" spans="1:16" s="2" customFormat="1" ht="25.2" customHeight="1">
      <c r="A14" s="322" t="s">
        <v>101</v>
      </c>
      <c r="B14" s="36" t="s">
        <v>72</v>
      </c>
      <c r="C14" s="36"/>
      <c r="D14" s="37"/>
      <c r="E14" s="37"/>
      <c r="F14" s="37"/>
      <c r="G14" s="37"/>
      <c r="H14" s="37"/>
      <c r="I14" s="37"/>
      <c r="J14" s="37"/>
      <c r="L14" s="1" t="s">
        <v>15</v>
      </c>
      <c r="M14" s="224" t="s">
        <v>23</v>
      </c>
      <c r="N14" s="119" t="s">
        <v>156</v>
      </c>
      <c r="O14" s="16"/>
      <c r="P14" s="145" t="s">
        <v>300</v>
      </c>
    </row>
    <row r="15" spans="1:16" s="2" customFormat="1" ht="25.2" customHeight="1">
      <c r="A15" s="322" t="s">
        <v>101</v>
      </c>
      <c r="B15" s="36" t="s">
        <v>72</v>
      </c>
      <c r="C15" s="290" t="s">
        <v>72</v>
      </c>
      <c r="D15" s="37" t="s">
        <v>72</v>
      </c>
      <c r="E15" s="37"/>
      <c r="F15" s="37"/>
      <c r="G15" s="37"/>
      <c r="H15" s="37"/>
      <c r="I15" s="37"/>
      <c r="J15" s="37"/>
      <c r="L15" s="1" t="s">
        <v>38</v>
      </c>
      <c r="M15" s="84"/>
      <c r="N15" s="119" t="s">
        <v>157</v>
      </c>
      <c r="O15" s="1" t="s">
        <v>657</v>
      </c>
      <c r="P15" s="145" t="s">
        <v>300</v>
      </c>
    </row>
    <row r="16" spans="1:16" s="2" customFormat="1" ht="25.2" customHeight="1">
      <c r="A16" s="322" t="s">
        <v>100</v>
      </c>
      <c r="B16" s="2" t="s">
        <v>72</v>
      </c>
      <c r="C16" s="31"/>
      <c r="D16" s="291" t="s">
        <v>72</v>
      </c>
      <c r="E16" s="32"/>
      <c r="F16" s="32"/>
      <c r="G16" s="32"/>
      <c r="H16" s="32"/>
      <c r="I16" s="32"/>
      <c r="J16" s="32"/>
      <c r="L16" s="1"/>
      <c r="M16" s="84"/>
      <c r="N16" s="119" t="s">
        <v>656</v>
      </c>
      <c r="O16" s="268" t="s">
        <v>658</v>
      </c>
      <c r="P16" s="145" t="s">
        <v>300</v>
      </c>
    </row>
    <row r="17" spans="1:18" s="2" customFormat="1" ht="25.2" customHeight="1">
      <c r="A17" s="322" t="s">
        <v>101</v>
      </c>
      <c r="B17" s="223" t="s">
        <v>72</v>
      </c>
      <c r="C17" s="31"/>
      <c r="D17" s="291" t="s">
        <v>72</v>
      </c>
      <c r="E17" s="32"/>
      <c r="F17" s="32"/>
      <c r="G17" s="32"/>
      <c r="H17" s="32"/>
      <c r="I17" s="32"/>
      <c r="J17" s="32"/>
      <c r="L17" s="221" t="s">
        <v>652</v>
      </c>
      <c r="M17" s="84"/>
      <c r="N17" s="119" t="s">
        <v>158</v>
      </c>
      <c r="O17" s="1" t="s">
        <v>654</v>
      </c>
      <c r="P17" s="145" t="s">
        <v>300</v>
      </c>
    </row>
    <row r="18" spans="1:18" s="2" customFormat="1" ht="25.2" customHeight="1">
      <c r="A18" s="322" t="s">
        <v>100</v>
      </c>
      <c r="B18" s="223" t="s">
        <v>72</v>
      </c>
      <c r="C18" s="31"/>
      <c r="D18" s="225" t="s">
        <v>72</v>
      </c>
      <c r="E18" s="32"/>
      <c r="F18" s="32"/>
      <c r="G18" s="32"/>
      <c r="H18" s="32"/>
      <c r="I18" s="32"/>
      <c r="J18" s="32"/>
      <c r="L18" s="221"/>
      <c r="M18" s="84"/>
      <c r="N18" s="119" t="s">
        <v>653</v>
      </c>
      <c r="O18" s="1" t="s">
        <v>655</v>
      </c>
      <c r="P18" s="145" t="s">
        <v>300</v>
      </c>
    </row>
    <row r="19" spans="1:18" s="2" customFormat="1" ht="78">
      <c r="A19" s="323" t="s">
        <v>99</v>
      </c>
      <c r="B19" s="36" t="s">
        <v>72</v>
      </c>
      <c r="C19" s="290" t="s">
        <v>72</v>
      </c>
      <c r="D19" s="37" t="s">
        <v>72</v>
      </c>
      <c r="E19" s="37"/>
      <c r="F19" s="37"/>
      <c r="G19" s="37"/>
      <c r="H19" s="37"/>
      <c r="I19" s="37"/>
      <c r="J19" s="37"/>
      <c r="L19" s="84" t="s">
        <v>49</v>
      </c>
      <c r="M19" s="84" t="s">
        <v>50</v>
      </c>
      <c r="N19" s="125"/>
      <c r="O19" s="18"/>
      <c r="P19" s="144"/>
    </row>
    <row r="20" spans="1:18" s="2" customFormat="1" ht="25.2" customHeight="1">
      <c r="A20" s="322" t="s">
        <v>101</v>
      </c>
      <c r="B20" s="37" t="s">
        <v>72</v>
      </c>
      <c r="C20" s="36"/>
      <c r="D20" s="37"/>
      <c r="E20" s="37"/>
      <c r="F20" s="37"/>
      <c r="G20" s="37" t="s">
        <v>72</v>
      </c>
      <c r="H20" s="37"/>
      <c r="I20" s="37"/>
      <c r="J20" s="37"/>
      <c r="L20" s="1" t="s">
        <v>186</v>
      </c>
      <c r="M20" s="11" t="s">
        <v>145</v>
      </c>
      <c r="N20" s="119" t="s">
        <v>273</v>
      </c>
      <c r="O20" s="1"/>
      <c r="P20" s="145" t="s">
        <v>300</v>
      </c>
    </row>
    <row r="21" spans="1:18" s="2" customFormat="1" ht="25.2" customHeight="1">
      <c r="A21" s="322" t="s">
        <v>101</v>
      </c>
      <c r="B21" s="37" t="s">
        <v>72</v>
      </c>
      <c r="C21" s="36"/>
      <c r="D21" s="37"/>
      <c r="E21" s="37"/>
      <c r="F21" s="37"/>
      <c r="G21" s="37" t="s">
        <v>72</v>
      </c>
      <c r="H21" s="37"/>
      <c r="I21" s="37"/>
      <c r="J21" s="37"/>
      <c r="L21" s="337" t="s">
        <v>787</v>
      </c>
      <c r="M21" s="11" t="s">
        <v>145</v>
      </c>
      <c r="N21" s="119" t="s">
        <v>274</v>
      </c>
      <c r="O21" s="1" t="s">
        <v>187</v>
      </c>
      <c r="P21" s="165" t="s">
        <v>702</v>
      </c>
    </row>
    <row r="22" spans="1:18" s="2" customFormat="1" ht="25.2" customHeight="1">
      <c r="A22" s="322" t="s">
        <v>100</v>
      </c>
      <c r="B22" s="37" t="s">
        <v>72</v>
      </c>
      <c r="C22" s="36"/>
      <c r="D22" s="37"/>
      <c r="E22" s="37"/>
      <c r="F22" s="37"/>
      <c r="G22" s="37" t="s">
        <v>72</v>
      </c>
      <c r="H22" s="37"/>
      <c r="I22" s="37"/>
      <c r="J22" s="37"/>
      <c r="L22" s="1"/>
      <c r="M22" s="11"/>
      <c r="N22" s="119" t="s">
        <v>275</v>
      </c>
      <c r="O22" s="1" t="s">
        <v>188</v>
      </c>
      <c r="P22" s="145" t="s">
        <v>300</v>
      </c>
    </row>
    <row r="23" spans="1:18" s="2" customFormat="1" ht="25.2" customHeight="1">
      <c r="A23" s="322" t="s">
        <v>100</v>
      </c>
      <c r="B23" s="37" t="s">
        <v>72</v>
      </c>
      <c r="C23" s="36"/>
      <c r="D23" s="37"/>
      <c r="E23" s="37"/>
      <c r="F23" s="37"/>
      <c r="G23" s="37" t="s">
        <v>72</v>
      </c>
      <c r="H23" s="37"/>
      <c r="I23" s="37"/>
      <c r="J23" s="37"/>
      <c r="L23" s="1"/>
      <c r="M23" s="11"/>
      <c r="N23" s="119" t="s">
        <v>276</v>
      </c>
      <c r="O23" s="1" t="s">
        <v>189</v>
      </c>
      <c r="P23" s="145" t="s">
        <v>300</v>
      </c>
    </row>
    <row r="24" spans="1:18" s="2" customFormat="1" ht="25.2" customHeight="1">
      <c r="A24" s="322" t="s">
        <v>101</v>
      </c>
      <c r="B24" s="37" t="s">
        <v>72</v>
      </c>
      <c r="C24" s="36"/>
      <c r="D24" s="37"/>
      <c r="E24" s="37"/>
      <c r="F24" s="37"/>
      <c r="G24" s="37" t="s">
        <v>72</v>
      </c>
      <c r="H24" s="37"/>
      <c r="I24" s="37"/>
      <c r="J24" s="37"/>
      <c r="L24" s="1" t="s">
        <v>190</v>
      </c>
      <c r="M24" s="11" t="s">
        <v>145</v>
      </c>
      <c r="N24" s="119" t="s">
        <v>277</v>
      </c>
      <c r="O24" s="1"/>
      <c r="P24" s="145" t="s">
        <v>300</v>
      </c>
    </row>
    <row r="25" spans="1:18" s="2" customFormat="1" ht="25.2" customHeight="1">
      <c r="A25" s="322" t="s">
        <v>101</v>
      </c>
      <c r="B25" s="37" t="s">
        <v>72</v>
      </c>
      <c r="C25" s="36"/>
      <c r="D25" s="37"/>
      <c r="E25" s="37"/>
      <c r="F25" s="37"/>
      <c r="G25" s="37" t="s">
        <v>72</v>
      </c>
      <c r="H25" s="37"/>
      <c r="I25" s="37"/>
      <c r="J25" s="37"/>
      <c r="L25" s="1" t="s">
        <v>191</v>
      </c>
      <c r="M25" s="11" t="s">
        <v>145</v>
      </c>
      <c r="N25" s="119" t="s">
        <v>278</v>
      </c>
      <c r="O25" s="1"/>
      <c r="P25" s="165" t="s">
        <v>703</v>
      </c>
    </row>
    <row r="26" spans="1:18" s="2" customFormat="1" ht="25.2" customHeight="1">
      <c r="A26" s="322" t="s">
        <v>101</v>
      </c>
      <c r="B26" s="37" t="s">
        <v>72</v>
      </c>
      <c r="C26" s="36"/>
      <c r="D26" s="37"/>
      <c r="E26" s="37"/>
      <c r="F26" s="37"/>
      <c r="G26" s="37" t="s">
        <v>72</v>
      </c>
      <c r="H26" s="37"/>
      <c r="I26" s="37"/>
      <c r="J26" s="37"/>
      <c r="L26" s="1" t="s">
        <v>192</v>
      </c>
      <c r="M26" s="11" t="s">
        <v>145</v>
      </c>
      <c r="N26" s="119" t="s">
        <v>279</v>
      </c>
      <c r="O26" s="1"/>
      <c r="P26" s="145" t="s">
        <v>300</v>
      </c>
    </row>
    <row r="27" spans="1:18" s="2" customFormat="1" ht="25.2" customHeight="1">
      <c r="A27" s="322" t="s">
        <v>101</v>
      </c>
      <c r="B27" s="37" t="s">
        <v>72</v>
      </c>
      <c r="C27" s="36"/>
      <c r="D27" s="37"/>
      <c r="E27" s="37"/>
      <c r="F27" s="37"/>
      <c r="G27" s="37" t="s">
        <v>72</v>
      </c>
      <c r="H27" s="37"/>
      <c r="I27" s="37"/>
      <c r="J27" s="37"/>
      <c r="L27" s="1" t="s">
        <v>185</v>
      </c>
      <c r="M27" s="11" t="s">
        <v>145</v>
      </c>
      <c r="N27" s="119" t="s">
        <v>280</v>
      </c>
      <c r="O27" s="1"/>
      <c r="P27" s="145" t="s">
        <v>300</v>
      </c>
    </row>
    <row r="28" spans="1:18" s="2" customFormat="1" ht="25.2" customHeight="1">
      <c r="A28" s="322" t="s">
        <v>101</v>
      </c>
      <c r="B28" s="37" t="s">
        <v>72</v>
      </c>
      <c r="C28" s="36"/>
      <c r="D28" s="37"/>
      <c r="E28" s="37"/>
      <c r="F28" s="37"/>
      <c r="G28" s="37"/>
      <c r="H28" s="37" t="s">
        <v>72</v>
      </c>
      <c r="I28" s="37"/>
      <c r="J28" s="37"/>
      <c r="L28" s="1" t="s">
        <v>197</v>
      </c>
      <c r="M28" s="11"/>
      <c r="N28" s="119" t="s">
        <v>281</v>
      </c>
      <c r="O28" s="1"/>
      <c r="P28" s="145" t="s">
        <v>300</v>
      </c>
    </row>
    <row r="29" spans="1:18" s="2" customFormat="1" ht="25.2" customHeight="1">
      <c r="A29" s="322" t="s">
        <v>101</v>
      </c>
      <c r="B29" s="37" t="s">
        <v>72</v>
      </c>
      <c r="C29" s="36"/>
      <c r="D29" s="37"/>
      <c r="E29" s="37"/>
      <c r="F29" s="37"/>
      <c r="G29" s="37"/>
      <c r="H29" s="37" t="s">
        <v>72</v>
      </c>
      <c r="I29" s="37"/>
      <c r="J29" s="37"/>
      <c r="L29" s="1" t="s">
        <v>198</v>
      </c>
      <c r="M29" s="11"/>
      <c r="N29" s="119" t="s">
        <v>282</v>
      </c>
      <c r="P29" s="145" t="s">
        <v>300</v>
      </c>
    </row>
    <row r="30" spans="1:18" s="2" customFormat="1" ht="25.2" customHeight="1">
      <c r="A30" s="322" t="s">
        <v>101</v>
      </c>
      <c r="B30" s="37" t="s">
        <v>72</v>
      </c>
      <c r="C30" s="36"/>
      <c r="D30" s="37"/>
      <c r="E30" s="37"/>
      <c r="F30" s="37"/>
      <c r="G30" s="37"/>
      <c r="H30" s="37" t="s">
        <v>72</v>
      </c>
      <c r="I30" s="37"/>
      <c r="J30" s="37"/>
      <c r="L30" s="96" t="s">
        <v>259</v>
      </c>
      <c r="M30" s="11"/>
      <c r="N30" s="119" t="s">
        <v>286</v>
      </c>
      <c r="P30" s="145" t="s">
        <v>300</v>
      </c>
    </row>
    <row r="31" spans="1:18" s="2" customFormat="1" ht="25.2" customHeight="1">
      <c r="A31" s="322" t="s">
        <v>101</v>
      </c>
      <c r="B31" s="37" t="s">
        <v>72</v>
      </c>
      <c r="C31" s="36"/>
      <c r="D31" s="37"/>
      <c r="E31" s="37"/>
      <c r="F31" s="37"/>
      <c r="G31" s="37"/>
      <c r="H31" s="37"/>
      <c r="I31" s="37" t="s">
        <v>72</v>
      </c>
      <c r="J31" s="37"/>
      <c r="L31" s="96" t="s">
        <v>260</v>
      </c>
      <c r="M31" s="11"/>
      <c r="N31" s="119" t="s">
        <v>288</v>
      </c>
      <c r="P31" s="145" t="s">
        <v>300</v>
      </c>
    </row>
    <row r="32" spans="1:18" s="2" customFormat="1" ht="25.2" customHeight="1">
      <c r="A32" s="322" t="s">
        <v>101</v>
      </c>
      <c r="B32" s="37" t="s">
        <v>72</v>
      </c>
      <c r="C32" s="36"/>
      <c r="D32" s="37"/>
      <c r="E32" s="37"/>
      <c r="F32" s="37"/>
      <c r="G32" s="37"/>
      <c r="H32" s="37"/>
      <c r="I32" s="37" t="s">
        <v>72</v>
      </c>
      <c r="J32" s="37"/>
      <c r="L32" s="96" t="s">
        <v>261</v>
      </c>
      <c r="M32" s="11"/>
      <c r="N32" s="119" t="s">
        <v>287</v>
      </c>
      <c r="P32" s="145" t="s">
        <v>300</v>
      </c>
      <c r="R32" s="82"/>
    </row>
    <row r="33" spans="1:16" s="2" customFormat="1" ht="25.2" customHeight="1">
      <c r="A33" s="322" t="s">
        <v>101</v>
      </c>
      <c r="B33" s="146" t="s">
        <v>72</v>
      </c>
      <c r="C33" s="36"/>
      <c r="D33" s="37"/>
      <c r="E33" s="37"/>
      <c r="F33" s="37"/>
      <c r="G33" s="37"/>
      <c r="H33" s="37"/>
      <c r="I33" s="37"/>
      <c r="K33" s="143" t="s">
        <v>72</v>
      </c>
      <c r="L33" s="337" t="s">
        <v>787</v>
      </c>
      <c r="M33" s="11"/>
      <c r="N33" s="119" t="s">
        <v>516</v>
      </c>
      <c r="O33" s="1"/>
      <c r="P33" s="145" t="s">
        <v>300</v>
      </c>
    </row>
    <row r="34" spans="1:16" s="2" customFormat="1" ht="25.2" customHeight="1">
      <c r="A34" s="322" t="s">
        <v>100</v>
      </c>
      <c r="B34" s="146" t="s">
        <v>72</v>
      </c>
      <c r="C34" s="36"/>
      <c r="D34" s="37"/>
      <c r="E34" s="37"/>
      <c r="F34" s="37"/>
      <c r="G34" s="37"/>
      <c r="H34" s="37"/>
      <c r="I34" s="37"/>
      <c r="K34" s="146" t="s">
        <v>72</v>
      </c>
      <c r="L34" s="167"/>
      <c r="M34" s="1"/>
      <c r="N34" s="119" t="s">
        <v>515</v>
      </c>
      <c r="O34" s="1"/>
      <c r="P34" s="145" t="s">
        <v>300</v>
      </c>
    </row>
    <row r="35" spans="1:16" s="2" customFormat="1" ht="25.2" customHeight="1">
      <c r="A35" s="322" t="s">
        <v>100</v>
      </c>
      <c r="B35" s="146" t="s">
        <v>72</v>
      </c>
      <c r="C35" s="36"/>
      <c r="D35" s="37"/>
      <c r="E35" s="37"/>
      <c r="F35" s="37"/>
      <c r="G35" s="37"/>
      <c r="H35" s="37"/>
      <c r="I35" s="37"/>
      <c r="J35" s="37"/>
      <c r="K35" s="146" t="s">
        <v>72</v>
      </c>
      <c r="L35" s="1"/>
      <c r="M35" s="11"/>
      <c r="N35" s="119" t="s">
        <v>509</v>
      </c>
      <c r="O35" s="177" t="s">
        <v>187</v>
      </c>
      <c r="P35" s="145" t="s">
        <v>300</v>
      </c>
    </row>
    <row r="36" spans="1:16" s="2" customFormat="1" ht="25.2" customHeight="1">
      <c r="A36" s="322" t="s">
        <v>100</v>
      </c>
      <c r="B36" s="146" t="s">
        <v>72</v>
      </c>
      <c r="C36" s="36"/>
      <c r="D36" s="37"/>
      <c r="E36" s="37"/>
      <c r="F36" s="37"/>
      <c r="G36" s="37"/>
      <c r="H36" s="37"/>
      <c r="I36" s="37"/>
      <c r="J36" s="37"/>
      <c r="K36" s="146" t="s">
        <v>72</v>
      </c>
      <c r="L36" s="1"/>
      <c r="M36" s="11"/>
      <c r="N36" s="119" t="s">
        <v>510</v>
      </c>
      <c r="O36" s="177" t="s">
        <v>189</v>
      </c>
      <c r="P36" s="145" t="s">
        <v>300</v>
      </c>
    </row>
    <row r="37" spans="1:16" s="2" customFormat="1" ht="25.2" customHeight="1">
      <c r="A37" s="322" t="s">
        <v>100</v>
      </c>
      <c r="B37" s="146" t="s">
        <v>72</v>
      </c>
      <c r="C37" s="36"/>
      <c r="D37" s="37"/>
      <c r="E37" s="37"/>
      <c r="F37" s="37"/>
      <c r="G37" s="37"/>
      <c r="H37" s="37"/>
      <c r="I37" s="37"/>
      <c r="K37" s="146" t="s">
        <v>72</v>
      </c>
      <c r="L37" s="1"/>
      <c r="M37" s="11"/>
      <c r="N37" s="119" t="s">
        <v>511</v>
      </c>
      <c r="O37" s="177" t="s">
        <v>188</v>
      </c>
      <c r="P37" s="145" t="s">
        <v>300</v>
      </c>
    </row>
    <row r="38" spans="1:16" s="2" customFormat="1" ht="25.2" customHeight="1">
      <c r="A38" s="322" t="s">
        <v>100</v>
      </c>
      <c r="B38" s="146" t="s">
        <v>72</v>
      </c>
      <c r="C38" s="36"/>
      <c r="D38" s="37"/>
      <c r="E38" s="37"/>
      <c r="F38" s="37"/>
      <c r="G38" s="37"/>
      <c r="H38" s="37"/>
      <c r="I38" s="37"/>
      <c r="J38" s="37"/>
      <c r="K38" s="167" t="s">
        <v>72</v>
      </c>
      <c r="L38" s="1"/>
      <c r="M38" s="1"/>
      <c r="N38" s="119" t="s">
        <v>513</v>
      </c>
      <c r="O38" s="177" t="s">
        <v>517</v>
      </c>
      <c r="P38" s="145" t="s">
        <v>300</v>
      </c>
    </row>
    <row r="39" spans="1:16" s="2" customFormat="1" ht="25.2" customHeight="1">
      <c r="A39" s="322" t="s">
        <v>101</v>
      </c>
      <c r="B39" s="146" t="s">
        <v>72</v>
      </c>
      <c r="C39" s="36"/>
      <c r="D39" s="37"/>
      <c r="E39" s="37"/>
      <c r="F39" s="37"/>
      <c r="G39" s="176" t="s">
        <v>72</v>
      </c>
      <c r="H39" s="37"/>
      <c r="I39" s="37"/>
      <c r="J39" s="37"/>
      <c r="L39" s="178" t="s">
        <v>514</v>
      </c>
      <c r="M39" s="178"/>
      <c r="N39" s="119" t="s">
        <v>512</v>
      </c>
      <c r="P39" s="165" t="s">
        <v>704</v>
      </c>
    </row>
    <row r="40" spans="1:16" s="2" customFormat="1" ht="25.2" customHeight="1">
      <c r="A40" s="322" t="s">
        <v>101</v>
      </c>
      <c r="B40" s="146" t="s">
        <v>72</v>
      </c>
      <c r="C40" s="36"/>
      <c r="D40" s="37"/>
      <c r="E40" s="37"/>
      <c r="F40" s="37"/>
      <c r="G40" s="176" t="s">
        <v>72</v>
      </c>
      <c r="H40" s="37"/>
      <c r="I40" s="37"/>
      <c r="J40" s="37"/>
      <c r="L40" s="178" t="s">
        <v>522</v>
      </c>
      <c r="M40" s="178" t="s">
        <v>531</v>
      </c>
      <c r="N40" s="119" t="s">
        <v>518</v>
      </c>
      <c r="P40" s="145" t="s">
        <v>300</v>
      </c>
    </row>
    <row r="41" spans="1:16" s="2" customFormat="1" ht="25.2" customHeight="1">
      <c r="A41" s="322" t="s">
        <v>101</v>
      </c>
      <c r="B41" s="146" t="s">
        <v>72</v>
      </c>
      <c r="C41" s="36"/>
      <c r="D41" s="37"/>
      <c r="E41" s="37"/>
      <c r="F41" s="37"/>
      <c r="G41" s="176" t="s">
        <v>72</v>
      </c>
      <c r="H41" s="37"/>
      <c r="I41" s="37"/>
      <c r="J41" s="37"/>
      <c r="L41" s="178" t="s">
        <v>526</v>
      </c>
      <c r="M41" s="178" t="s">
        <v>530</v>
      </c>
      <c r="N41" s="119" t="s">
        <v>519</v>
      </c>
      <c r="P41" s="145" t="s">
        <v>300</v>
      </c>
    </row>
    <row r="42" spans="1:16" s="2" customFormat="1" ht="25.2" customHeight="1">
      <c r="A42" s="322" t="s">
        <v>101</v>
      </c>
      <c r="B42" s="146" t="s">
        <v>72</v>
      </c>
      <c r="C42" s="36"/>
      <c r="D42" s="37"/>
      <c r="E42" s="37"/>
      <c r="F42" s="37"/>
      <c r="G42" s="176" t="s">
        <v>72</v>
      </c>
      <c r="H42" s="37"/>
      <c r="I42" s="37"/>
      <c r="J42" s="37"/>
      <c r="L42" s="178" t="s">
        <v>524</v>
      </c>
      <c r="M42" s="254" t="s">
        <v>718</v>
      </c>
      <c r="N42" s="119" t="s">
        <v>520</v>
      </c>
      <c r="P42" s="145" t="s">
        <v>300</v>
      </c>
    </row>
    <row r="43" spans="1:16" s="2" customFormat="1" ht="25.2" customHeight="1">
      <c r="A43" s="322" t="s">
        <v>101</v>
      </c>
      <c r="B43" s="146" t="s">
        <v>72</v>
      </c>
      <c r="C43" s="36"/>
      <c r="D43" s="37"/>
      <c r="E43" s="37"/>
      <c r="F43" s="37"/>
      <c r="G43" s="176" t="s">
        <v>72</v>
      </c>
      <c r="H43" s="37"/>
      <c r="I43" s="37"/>
      <c r="J43" s="37"/>
      <c r="L43" s="178" t="s">
        <v>525</v>
      </c>
      <c r="M43" s="178" t="s">
        <v>529</v>
      </c>
      <c r="N43" s="119" t="s">
        <v>521</v>
      </c>
      <c r="P43" s="145" t="s">
        <v>300</v>
      </c>
    </row>
    <row r="44" spans="1:16" s="2" customFormat="1" ht="25.2" customHeight="1">
      <c r="A44" s="322" t="s">
        <v>101</v>
      </c>
      <c r="B44" s="146" t="s">
        <v>72</v>
      </c>
      <c r="C44" s="36"/>
      <c r="D44" s="37"/>
      <c r="E44" s="37"/>
      <c r="F44" s="37"/>
      <c r="G44" s="176" t="s">
        <v>72</v>
      </c>
      <c r="H44" s="37"/>
      <c r="I44" s="37"/>
      <c r="J44" s="37"/>
      <c r="L44" s="178" t="s">
        <v>523</v>
      </c>
      <c r="M44" s="178" t="s">
        <v>528</v>
      </c>
      <c r="N44" s="119" t="s">
        <v>527</v>
      </c>
      <c r="P44" s="145" t="s">
        <v>300</v>
      </c>
    </row>
    <row r="45" spans="1:16" s="2" customFormat="1" ht="25.2" customHeight="1">
      <c r="A45" s="322" t="s">
        <v>101</v>
      </c>
      <c r="B45" s="146" t="s">
        <v>72</v>
      </c>
      <c r="C45" s="36"/>
      <c r="D45" s="37"/>
      <c r="E45" s="37"/>
      <c r="F45" s="37"/>
      <c r="G45" s="176" t="s">
        <v>72</v>
      </c>
      <c r="H45" s="37"/>
      <c r="I45" s="37"/>
      <c r="J45" s="37"/>
      <c r="L45" s="178"/>
      <c r="M45" s="178"/>
      <c r="N45" s="119" t="s">
        <v>533</v>
      </c>
      <c r="P45" s="165" t="s">
        <v>705</v>
      </c>
    </row>
    <row r="46" spans="1:16" s="2" customFormat="1" ht="25.2" customHeight="1">
      <c r="A46" s="322" t="s">
        <v>101</v>
      </c>
      <c r="B46" s="146" t="s">
        <v>72</v>
      </c>
      <c r="C46" s="36"/>
      <c r="D46" s="37"/>
      <c r="E46" s="37"/>
      <c r="F46" s="37"/>
      <c r="G46" s="176"/>
      <c r="H46" s="37"/>
      <c r="I46" s="37"/>
      <c r="J46" s="180" t="s">
        <v>72</v>
      </c>
      <c r="L46" s="178" t="s">
        <v>534</v>
      </c>
      <c r="M46" s="178" t="s">
        <v>535</v>
      </c>
      <c r="N46" s="119" t="s">
        <v>532</v>
      </c>
      <c r="P46" s="145" t="s">
        <v>300</v>
      </c>
    </row>
    <row r="47" spans="1:16" s="2" customFormat="1" ht="25.2" customHeight="1">
      <c r="A47" s="322" t="s">
        <v>101</v>
      </c>
      <c r="B47" s="146" t="s">
        <v>72</v>
      </c>
      <c r="C47" s="36"/>
      <c r="D47" s="37"/>
      <c r="E47" s="37"/>
      <c r="F47" s="37"/>
      <c r="G47" s="176"/>
      <c r="H47" s="37"/>
      <c r="I47" s="37"/>
      <c r="J47" s="37"/>
      <c r="L47" s="178" t="s">
        <v>540</v>
      </c>
      <c r="M47" s="178" t="s">
        <v>539</v>
      </c>
      <c r="N47" s="119" t="s">
        <v>536</v>
      </c>
      <c r="P47" s="145" t="s">
        <v>300</v>
      </c>
    </row>
    <row r="48" spans="1:16" s="2" customFormat="1" ht="25.2" customHeight="1">
      <c r="A48" s="322" t="s">
        <v>101</v>
      </c>
      <c r="B48" s="146" t="s">
        <v>72</v>
      </c>
      <c r="C48" s="36"/>
      <c r="D48" s="37"/>
      <c r="E48" s="37"/>
      <c r="F48" s="37"/>
      <c r="G48" s="176"/>
      <c r="H48" s="37"/>
      <c r="I48" s="37"/>
      <c r="J48" s="37"/>
      <c r="L48" s="178" t="s">
        <v>523</v>
      </c>
      <c r="M48" s="178" t="s">
        <v>538</v>
      </c>
      <c r="N48" s="119" t="s">
        <v>537</v>
      </c>
      <c r="P48" s="145" t="s">
        <v>300</v>
      </c>
    </row>
    <row r="49" spans="1:16" s="2" customFormat="1" ht="25.2" customHeight="1">
      <c r="A49" s="322" t="s">
        <v>101</v>
      </c>
      <c r="B49" s="146" t="s">
        <v>72</v>
      </c>
      <c r="C49" s="36"/>
      <c r="D49" s="37"/>
      <c r="E49" s="180" t="s">
        <v>72</v>
      </c>
      <c r="F49" s="37"/>
      <c r="G49" s="176"/>
      <c r="H49" s="37"/>
      <c r="I49" s="37"/>
      <c r="J49" s="37"/>
      <c r="L49" s="178" t="s">
        <v>542</v>
      </c>
      <c r="M49" s="179" t="s">
        <v>543</v>
      </c>
      <c r="N49" s="119" t="s">
        <v>541</v>
      </c>
      <c r="P49" s="145" t="s">
        <v>300</v>
      </c>
    </row>
    <row r="50" spans="1:16" s="2" customFormat="1" ht="25.2" customHeight="1">
      <c r="A50" s="322" t="s">
        <v>101</v>
      </c>
      <c r="B50" s="146"/>
      <c r="C50" s="36"/>
      <c r="D50" s="37"/>
      <c r="E50" s="37"/>
      <c r="F50" s="37"/>
      <c r="G50" s="176"/>
      <c r="H50" s="37"/>
      <c r="I50" s="37"/>
      <c r="J50" s="37"/>
      <c r="L50" s="178"/>
      <c r="M50" s="11"/>
      <c r="N50" s="119" t="s">
        <v>382</v>
      </c>
      <c r="P50" s="145" t="s">
        <v>300</v>
      </c>
    </row>
    <row r="51" spans="1:16" s="2" customFormat="1" ht="25.2" customHeight="1">
      <c r="A51" s="322" t="s">
        <v>102</v>
      </c>
      <c r="B51" s="146"/>
      <c r="C51" s="36"/>
      <c r="D51" s="37"/>
      <c r="E51" s="37"/>
      <c r="F51" s="37"/>
      <c r="G51" s="176"/>
      <c r="H51" s="37"/>
      <c r="I51" s="37"/>
      <c r="J51" s="37"/>
      <c r="L51" s="178"/>
      <c r="M51" s="11"/>
      <c r="N51" s="119"/>
      <c r="P51" s="144"/>
    </row>
    <row r="52" spans="1:16" s="2" customFormat="1" ht="25.2" customHeight="1">
      <c r="A52" s="322" t="s">
        <v>102</v>
      </c>
      <c r="B52" s="146"/>
      <c r="C52" s="36"/>
      <c r="D52" s="37"/>
      <c r="E52" s="37"/>
      <c r="F52" s="37"/>
      <c r="G52" s="176"/>
      <c r="H52" s="37"/>
      <c r="I52" s="37"/>
      <c r="J52" s="37"/>
      <c r="L52" s="178"/>
      <c r="M52" s="11"/>
      <c r="N52" s="119"/>
      <c r="P52" s="144"/>
    </row>
    <row r="53" spans="1:16" s="2" customFormat="1" ht="25.2" customHeight="1">
      <c r="A53" s="322" t="s">
        <v>102</v>
      </c>
      <c r="B53" s="146"/>
      <c r="C53" s="36"/>
      <c r="D53" s="37"/>
      <c r="E53" s="37"/>
      <c r="F53" s="37"/>
      <c r="G53" s="176"/>
      <c r="H53" s="37"/>
      <c r="I53" s="37"/>
      <c r="J53" s="37"/>
      <c r="L53" s="178"/>
      <c r="M53" s="11"/>
      <c r="N53" s="119"/>
      <c r="P53" s="144"/>
    </row>
    <row r="54" spans="1:16" s="2" customFormat="1" ht="25.2" customHeight="1">
      <c r="A54" s="322" t="s">
        <v>102</v>
      </c>
      <c r="B54" s="146"/>
      <c r="C54" s="36"/>
      <c r="D54" s="37"/>
      <c r="E54" s="37"/>
      <c r="F54" s="37"/>
      <c r="G54" s="176"/>
      <c r="H54" s="37"/>
      <c r="I54" s="37"/>
      <c r="J54" s="37"/>
      <c r="L54" s="178"/>
      <c r="M54" s="11"/>
      <c r="N54" s="119"/>
      <c r="P54" s="144"/>
    </row>
    <row r="55" spans="1:16" s="2" customFormat="1" ht="25.2" customHeight="1">
      <c r="A55" s="322" t="s">
        <v>102</v>
      </c>
      <c r="B55" s="146"/>
      <c r="C55" s="36"/>
      <c r="D55" s="37"/>
      <c r="E55" s="37"/>
      <c r="F55" s="37"/>
      <c r="G55" s="176"/>
      <c r="H55" s="37"/>
      <c r="I55" s="37"/>
      <c r="J55" s="37"/>
      <c r="L55" s="178"/>
      <c r="M55" s="11"/>
      <c r="N55" s="119"/>
      <c r="P55" s="144"/>
    </row>
    <row r="56" spans="1:16" s="2" customFormat="1" ht="25.2" customHeight="1">
      <c r="A56" s="322" t="s">
        <v>102</v>
      </c>
      <c r="B56" s="146"/>
      <c r="C56" s="36"/>
      <c r="D56" s="37"/>
      <c r="E56" s="37"/>
      <c r="F56" s="37"/>
      <c r="G56" s="176"/>
      <c r="H56" s="37"/>
      <c r="I56" s="37"/>
      <c r="J56" s="37"/>
      <c r="L56" s="178"/>
      <c r="M56" s="11"/>
      <c r="N56" s="119"/>
      <c r="P56" s="144"/>
    </row>
    <row r="57" spans="1:16" s="2" customFormat="1" ht="25.2" customHeight="1">
      <c r="A57" s="322" t="s">
        <v>102</v>
      </c>
      <c r="B57" s="146"/>
      <c r="C57" s="36"/>
      <c r="D57" s="37"/>
      <c r="E57" s="37"/>
      <c r="F57" s="37"/>
      <c r="G57" s="176"/>
      <c r="H57" s="37"/>
      <c r="I57" s="37"/>
      <c r="J57" s="37"/>
      <c r="L57" s="178"/>
      <c r="M57" s="11"/>
      <c r="N57" s="119"/>
      <c r="P57" s="144"/>
    </row>
    <row r="58" spans="1:16" s="2" customFormat="1" ht="25.2" customHeight="1">
      <c r="A58" s="322" t="s">
        <v>102</v>
      </c>
      <c r="B58" s="146"/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22" t="s">
        <v>102</v>
      </c>
      <c r="B59" s="146"/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22" t="s">
        <v>102</v>
      </c>
      <c r="B60" s="146"/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22" t="s">
        <v>102</v>
      </c>
      <c r="B61" s="146"/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22" t="s">
        <v>102</v>
      </c>
      <c r="B62" s="146"/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22" t="s">
        <v>102</v>
      </c>
      <c r="B63" s="146"/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22" t="s">
        <v>102</v>
      </c>
      <c r="B64" s="146"/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22" t="s">
        <v>102</v>
      </c>
      <c r="B65" s="146"/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22" t="s">
        <v>102</v>
      </c>
      <c r="B66" s="146"/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22" t="s">
        <v>102</v>
      </c>
      <c r="B67" s="146"/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22" t="s">
        <v>102</v>
      </c>
      <c r="B68" s="146"/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22" t="s">
        <v>102</v>
      </c>
      <c r="B69" s="146"/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22" t="s">
        <v>102</v>
      </c>
      <c r="B70" s="146"/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22" t="s">
        <v>102</v>
      </c>
      <c r="B71" s="146"/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</sheetData>
  <phoneticPr fontId="58" type="noConversion"/>
  <hyperlinks>
    <hyperlink ref="N21" r:id="rId1" xr:uid="{3EE1CDE2-D251-4806-B502-0233030A6ED2}"/>
    <hyperlink ref="N25" r:id="rId2" xr:uid="{F56499DE-097E-4E81-8DD1-091A1CB5DE39}"/>
    <hyperlink ref="N39" r:id="rId3" xr:uid="{C3751625-9BE0-45CB-81FE-2D71BBEC8154}"/>
    <hyperlink ref="N45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6" r:id="rId8" xr:uid="{9975FDBE-D000-4D55-AF90-FE794F9DE4AF}"/>
    <hyperlink ref="N7" r:id="rId9" xr:uid="{B980522A-C06E-44B8-9605-3F30E58F5323}"/>
    <hyperlink ref="N8" r:id="rId10" xr:uid="{5305E64E-3BB2-474B-9736-7A9552F6F378}"/>
    <hyperlink ref="N9" r:id="rId11" xr:uid="{33230593-4F8C-4E08-8C82-76CA3485C7A4}"/>
    <hyperlink ref="N11" r:id="rId12" xr:uid="{DBFA1242-D703-4534-A1A6-E91EF6DBD6A6}"/>
    <hyperlink ref="N12" r:id="rId13" xr:uid="{648FC46F-EC64-4183-96FF-66B8ED26AA94}"/>
    <hyperlink ref="N13" r:id="rId14" xr:uid="{821815FE-7CE0-41B4-963D-4C9471B7E3F1}"/>
    <hyperlink ref="N14" r:id="rId15" xr:uid="{3294A8D2-3E7A-4A78-A628-B13211376C9B}"/>
    <hyperlink ref="N15" r:id="rId16" xr:uid="{A3A8D1E3-A658-4309-8F71-10FFE828EBEE}"/>
    <hyperlink ref="N16" r:id="rId17" xr:uid="{61ECFA1E-9070-471F-B694-00FA852397BF}"/>
    <hyperlink ref="N17" r:id="rId18" xr:uid="{EABB47BA-63FC-4A03-883A-227E28373E5F}"/>
    <hyperlink ref="N18" r:id="rId19" xr:uid="{C5F0C5BE-D446-4016-8DD7-548EF4936676}"/>
    <hyperlink ref="N20" r:id="rId20" xr:uid="{954E1E93-420F-4669-B053-D329FC775B8C}"/>
    <hyperlink ref="N22" r:id="rId21" xr:uid="{2A851073-A55F-4C62-9B55-7C84ED2BB54C}"/>
    <hyperlink ref="N23" r:id="rId22" xr:uid="{01EB9E8A-ACA4-4522-9D73-FC0AA440A7E4}"/>
    <hyperlink ref="N24" r:id="rId23" xr:uid="{A28479D9-6E79-43F0-B12B-FF0141FD0853}"/>
    <hyperlink ref="N26" r:id="rId24" xr:uid="{D7157779-0281-4DFC-BD42-4A9C9BDD2CBC}"/>
    <hyperlink ref="N27" r:id="rId25" xr:uid="{7BAB5C04-3B41-4772-9F1F-88BF199E11BB}"/>
    <hyperlink ref="N28" r:id="rId26" xr:uid="{8CBC10C5-DF8A-4D2B-82FE-E8863BD82EE3}"/>
    <hyperlink ref="N29" r:id="rId27" xr:uid="{4507D2B3-BF7F-4D61-B59C-70282D8673E4}"/>
    <hyperlink ref="N30" r:id="rId28" xr:uid="{91F4B6AB-76D4-4CD1-810C-F19AE5BE30A1}"/>
    <hyperlink ref="N31" r:id="rId29" xr:uid="{1E736BE8-7F45-4FB6-8F62-3F004408E3D4}"/>
    <hyperlink ref="N32" r:id="rId30" xr:uid="{904F1319-EDB8-4467-8980-4C3FE5B0CF7B}"/>
    <hyperlink ref="N33" r:id="rId31" xr:uid="{32461A19-F9EC-4E2B-9FFB-86DB349CF9FB}"/>
    <hyperlink ref="N34" r:id="rId32" xr:uid="{045BE488-D2D7-4A01-8FDD-BFCC4D47EFBF}"/>
    <hyperlink ref="N35" r:id="rId33" xr:uid="{3A3D73FE-5554-4158-86BF-9BF54B7B68A3}"/>
    <hyperlink ref="N36" r:id="rId34" xr:uid="{9FDB0408-F74C-4927-BEF0-09F93C651A06}"/>
    <hyperlink ref="N37" r:id="rId35" xr:uid="{775DF703-AF01-4F05-BCBA-778B85A2B1A1}"/>
    <hyperlink ref="N38" r:id="rId36" xr:uid="{3881D8B1-63F0-48DF-ACB3-238BA4BFA891}"/>
    <hyperlink ref="N40" r:id="rId37" xr:uid="{135199DF-38BD-45AD-BD7E-A93304E8A1A0}"/>
    <hyperlink ref="N41" r:id="rId38" xr:uid="{93354617-31EB-4F8D-A299-519160075AED}"/>
    <hyperlink ref="N42" r:id="rId39" xr:uid="{C8EF201A-D1E1-4A51-93BD-8DD5BA328885}"/>
    <hyperlink ref="N43" r:id="rId40" xr:uid="{FD3E1534-826D-418F-9E5B-DE276DD4E980}"/>
    <hyperlink ref="N44" r:id="rId41" xr:uid="{3686965F-1B2C-45D6-8574-1D4900FDC710}"/>
    <hyperlink ref="N46" r:id="rId42" xr:uid="{2713BCE1-25BE-43F1-909B-15EBE6764D0D}"/>
    <hyperlink ref="N47" r:id="rId43" xr:uid="{15A55FBF-7A75-47E7-980A-1DF122BC0AF2}"/>
    <hyperlink ref="N48" r:id="rId44" xr:uid="{901C6742-BB86-4A07-9701-45D5D4836B09}"/>
    <hyperlink ref="N49" r:id="rId45" xr:uid="{AB3B9119-BF7E-4D66-81ED-6AFD67B38BEE}"/>
    <hyperlink ref="N50" r:id="rId46" xr:uid="{2D4A33BA-56CE-4F6C-9067-6BFAC95225A6}"/>
  </hyperlinks>
  <pageMargins left="0.7" right="0.7" top="0.78740157499999996" bottom="0.78740157499999996" header="0.3" footer="0.3"/>
  <pageSetup paperSize="9" orientation="portrait" r:id="rId4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6.44140625" style="325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2" t="s">
        <v>101</v>
      </c>
      <c r="B3" s="36" t="s">
        <v>72</v>
      </c>
      <c r="C3" s="36"/>
      <c r="D3" s="37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159</v>
      </c>
      <c r="O3" s="16"/>
      <c r="P3" s="144" t="s">
        <v>300</v>
      </c>
    </row>
    <row r="4" spans="1:16" s="2" customFormat="1" ht="25.2" customHeight="1">
      <c r="A4" s="322" t="s">
        <v>101</v>
      </c>
      <c r="B4" s="36" t="s">
        <v>72</v>
      </c>
      <c r="C4" s="36"/>
      <c r="D4" s="37" t="s">
        <v>72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160</v>
      </c>
      <c r="O4" s="16"/>
      <c r="P4" s="144" t="s">
        <v>300</v>
      </c>
    </row>
    <row r="5" spans="1:16" s="2" customFormat="1" ht="25.2" customHeight="1">
      <c r="A5" s="322" t="s">
        <v>101</v>
      </c>
      <c r="B5" s="244" t="s">
        <v>72</v>
      </c>
      <c r="C5" s="36"/>
      <c r="D5" s="245" t="s">
        <v>72</v>
      </c>
      <c r="E5" s="37"/>
      <c r="F5" s="37"/>
      <c r="G5" s="37"/>
      <c r="H5" s="37"/>
      <c r="I5" s="37"/>
      <c r="J5" s="37"/>
      <c r="L5" s="246" t="s">
        <v>690</v>
      </c>
      <c r="M5" s="247" t="s">
        <v>691</v>
      </c>
      <c r="N5" s="119"/>
      <c r="O5" s="16"/>
      <c r="P5" s="144"/>
    </row>
    <row r="6" spans="1:16" s="2" customFormat="1" ht="25.2" customHeight="1">
      <c r="A6" s="322" t="s">
        <v>101</v>
      </c>
      <c r="B6" s="36" t="s">
        <v>72</v>
      </c>
      <c r="C6" s="36"/>
      <c r="D6" s="37"/>
      <c r="E6" s="37"/>
      <c r="F6" s="37"/>
      <c r="G6" s="37"/>
      <c r="H6" s="37" t="s">
        <v>72</v>
      </c>
      <c r="I6" s="37"/>
      <c r="J6" s="37"/>
      <c r="L6" s="1" t="s">
        <v>199</v>
      </c>
      <c r="M6" s="4"/>
      <c r="N6" s="119" t="s">
        <v>289</v>
      </c>
      <c r="O6" s="16"/>
      <c r="P6" s="145" t="s">
        <v>300</v>
      </c>
    </row>
    <row r="7" spans="1:16" s="2" customFormat="1" ht="25.2" customHeight="1">
      <c r="A7" s="322" t="s">
        <v>100</v>
      </c>
      <c r="B7" s="36" t="s">
        <v>72</v>
      </c>
      <c r="C7" s="36"/>
      <c r="D7" s="37"/>
      <c r="E7" s="37"/>
      <c r="F7" s="37"/>
      <c r="G7" s="37"/>
      <c r="H7" s="37" t="s">
        <v>72</v>
      </c>
      <c r="I7" s="37"/>
      <c r="J7" s="37"/>
      <c r="M7" s="4"/>
      <c r="N7" s="119" t="s">
        <v>290</v>
      </c>
      <c r="O7" s="1" t="s">
        <v>200</v>
      </c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36"/>
      <c r="D8" s="37"/>
      <c r="E8" s="37"/>
      <c r="F8" s="37"/>
      <c r="G8" s="37"/>
      <c r="H8" s="37" t="s">
        <v>72</v>
      </c>
      <c r="I8" s="37"/>
      <c r="J8" s="37"/>
      <c r="L8" s="1" t="s">
        <v>201</v>
      </c>
      <c r="M8" s="4"/>
      <c r="N8" s="119" t="s">
        <v>291</v>
      </c>
      <c r="O8" s="16"/>
      <c r="P8" s="145" t="s">
        <v>300</v>
      </c>
    </row>
    <row r="9" spans="1:16" s="2" customFormat="1" ht="25.2" customHeight="1">
      <c r="A9" s="322" t="s">
        <v>101</v>
      </c>
      <c r="B9" s="90" t="s">
        <v>72</v>
      </c>
      <c r="C9" s="36"/>
      <c r="D9" s="37"/>
      <c r="E9" s="37"/>
      <c r="F9" s="37"/>
      <c r="G9" s="37"/>
      <c r="H9" s="37"/>
      <c r="I9" s="37"/>
      <c r="J9" s="91" t="s">
        <v>72</v>
      </c>
      <c r="L9" s="92" t="s">
        <v>232</v>
      </c>
      <c r="M9" s="93" t="s">
        <v>230</v>
      </c>
      <c r="N9" s="119" t="s">
        <v>292</v>
      </c>
      <c r="O9" s="16"/>
      <c r="P9" s="145" t="s">
        <v>300</v>
      </c>
    </row>
    <row r="10" spans="1:16" s="2" customFormat="1" ht="25.2" customHeight="1">
      <c r="A10" s="322" t="s">
        <v>100</v>
      </c>
      <c r="B10" s="90" t="s">
        <v>72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227</v>
      </c>
      <c r="O10" s="16"/>
      <c r="P10" s="144" t="s">
        <v>300</v>
      </c>
    </row>
    <row r="11" spans="1:16" s="2" customFormat="1" ht="25.2" customHeight="1">
      <c r="A11" s="322" t="s">
        <v>101</v>
      </c>
      <c r="B11" s="90" t="s">
        <v>72</v>
      </c>
      <c r="C11" s="36"/>
      <c r="D11" s="37"/>
      <c r="E11" s="91" t="s">
        <v>72</v>
      </c>
      <c r="F11" s="37"/>
      <c r="G11" s="37"/>
      <c r="H11" s="37"/>
      <c r="I11" s="37"/>
      <c r="J11" s="37"/>
      <c r="L11" s="92" t="s">
        <v>224</v>
      </c>
      <c r="M11" s="4"/>
      <c r="N11" s="119" t="s">
        <v>293</v>
      </c>
      <c r="O11" s="16"/>
      <c r="P11" s="145" t="s">
        <v>300</v>
      </c>
    </row>
    <row r="12" spans="1:16" s="2" customFormat="1" ht="25.2" customHeight="1">
      <c r="A12" s="322" t="s">
        <v>101</v>
      </c>
      <c r="B12" s="90" t="s">
        <v>72</v>
      </c>
      <c r="C12" s="36"/>
      <c r="D12" s="37"/>
      <c r="E12" s="37"/>
      <c r="F12" s="37"/>
      <c r="G12" s="37"/>
      <c r="H12" s="37"/>
      <c r="I12" s="90" t="s">
        <v>72</v>
      </c>
      <c r="J12" s="91"/>
      <c r="L12" s="96" t="s">
        <v>238</v>
      </c>
      <c r="M12" s="4"/>
      <c r="N12" s="119" t="s">
        <v>294</v>
      </c>
      <c r="O12" s="18"/>
      <c r="P12" s="145" t="s">
        <v>300</v>
      </c>
    </row>
    <row r="13" spans="1:16" s="2" customFormat="1" ht="25.2" customHeight="1">
      <c r="A13" s="322" t="s">
        <v>100</v>
      </c>
      <c r="B13" s="90" t="s">
        <v>72</v>
      </c>
      <c r="C13" s="36"/>
      <c r="D13" s="37"/>
      <c r="E13" s="37"/>
      <c r="F13" s="37"/>
      <c r="G13" s="37"/>
      <c r="H13" s="37"/>
      <c r="I13" s="90" t="s">
        <v>72</v>
      </c>
      <c r="J13" s="37"/>
      <c r="L13" s="1"/>
      <c r="M13" s="4"/>
      <c r="N13" s="119" t="s">
        <v>295</v>
      </c>
      <c r="O13" s="1" t="s">
        <v>239</v>
      </c>
      <c r="P13" s="145" t="s">
        <v>300</v>
      </c>
    </row>
    <row r="14" spans="1:16" s="2" customFormat="1" ht="25.2" customHeight="1">
      <c r="A14" s="322" t="s">
        <v>101</v>
      </c>
      <c r="B14" s="90" t="s">
        <v>72</v>
      </c>
      <c r="C14" s="36"/>
      <c r="D14" s="37"/>
      <c r="E14" s="37"/>
      <c r="F14" s="37"/>
      <c r="G14" s="37"/>
      <c r="H14" s="37"/>
      <c r="I14" s="90" t="s">
        <v>72</v>
      </c>
      <c r="J14" s="37"/>
      <c r="L14" s="96" t="s">
        <v>240</v>
      </c>
      <c r="M14" s="4"/>
      <c r="N14" s="119" t="s">
        <v>297</v>
      </c>
      <c r="O14" s="18"/>
      <c r="P14" s="145" t="s">
        <v>300</v>
      </c>
    </row>
    <row r="15" spans="1:16" s="2" customFormat="1" ht="25.2" customHeight="1">
      <c r="A15" s="322" t="s">
        <v>101</v>
      </c>
      <c r="B15" s="90" t="s">
        <v>72</v>
      </c>
      <c r="C15" s="36"/>
      <c r="D15" s="37"/>
      <c r="E15" s="37"/>
      <c r="F15" s="37"/>
      <c r="G15" s="37"/>
      <c r="H15" s="37"/>
      <c r="I15" s="90" t="s">
        <v>72</v>
      </c>
      <c r="J15" s="37"/>
      <c r="L15" s="96" t="s">
        <v>241</v>
      </c>
      <c r="M15" s="4"/>
      <c r="N15" s="119" t="s">
        <v>296</v>
      </c>
      <c r="O15" s="18"/>
      <c r="P15" s="145" t="s">
        <v>300</v>
      </c>
    </row>
    <row r="16" spans="1:16" s="2" customFormat="1" ht="25.2" customHeight="1">
      <c r="A16" s="322" t="s">
        <v>101</v>
      </c>
      <c r="B16" s="90" t="s">
        <v>72</v>
      </c>
      <c r="C16" s="36"/>
      <c r="D16" s="37"/>
      <c r="E16" s="37"/>
      <c r="F16" s="37"/>
      <c r="G16" s="90" t="s">
        <v>72</v>
      </c>
      <c r="H16" s="37"/>
      <c r="J16" s="37"/>
      <c r="L16" s="96" t="s">
        <v>670</v>
      </c>
      <c r="M16" s="4"/>
      <c r="N16" s="119" t="s">
        <v>670</v>
      </c>
      <c r="O16" s="18"/>
      <c r="P16" s="145" t="s">
        <v>300</v>
      </c>
    </row>
    <row r="17" spans="1:16" s="2" customFormat="1" ht="25.2" customHeight="1">
      <c r="A17" s="322" t="s">
        <v>101</v>
      </c>
      <c r="B17" s="90" t="s">
        <v>72</v>
      </c>
      <c r="C17" s="36"/>
      <c r="D17" s="37"/>
      <c r="E17" s="37"/>
      <c r="F17" s="37"/>
      <c r="G17" s="90" t="s">
        <v>72</v>
      </c>
      <c r="H17" s="37"/>
      <c r="J17" s="37"/>
      <c r="L17" s="96" t="s">
        <v>671</v>
      </c>
      <c r="M17" s="4"/>
      <c r="N17" s="119" t="s">
        <v>671</v>
      </c>
      <c r="O17" s="18"/>
      <c r="P17" s="145" t="s">
        <v>300</v>
      </c>
    </row>
    <row r="18" spans="1:16" s="2" customFormat="1" ht="25.2" customHeight="1">
      <c r="A18" s="322" t="s">
        <v>101</v>
      </c>
      <c r="B18" s="90" t="s">
        <v>72</v>
      </c>
      <c r="C18" s="36"/>
      <c r="D18" s="37"/>
      <c r="E18" s="37"/>
      <c r="F18" s="239"/>
      <c r="G18" s="90" t="s">
        <v>72</v>
      </c>
      <c r="H18" s="37"/>
      <c r="J18" s="37"/>
      <c r="L18" s="96" t="s">
        <v>672</v>
      </c>
      <c r="M18" s="4"/>
      <c r="N18" s="119" t="s">
        <v>672</v>
      </c>
      <c r="O18" s="18"/>
      <c r="P18" s="145" t="s">
        <v>300</v>
      </c>
    </row>
    <row r="19" spans="1:16" s="2" customFormat="1" ht="25.2" customHeight="1">
      <c r="A19" s="322" t="s">
        <v>101</v>
      </c>
      <c r="B19" s="90" t="s">
        <v>72</v>
      </c>
      <c r="C19" s="36"/>
      <c r="D19" s="37"/>
      <c r="E19" s="37"/>
      <c r="F19" s="37"/>
      <c r="G19" s="37"/>
      <c r="H19" s="37"/>
      <c r="I19" s="37"/>
      <c r="J19" s="90" t="s">
        <v>72</v>
      </c>
      <c r="L19" s="241" t="s">
        <v>675</v>
      </c>
      <c r="M19" s="240" t="s">
        <v>334</v>
      </c>
      <c r="N19" s="119" t="s">
        <v>675</v>
      </c>
      <c r="O19" s="241" t="s">
        <v>679</v>
      </c>
      <c r="P19" s="145" t="s">
        <v>300</v>
      </c>
    </row>
    <row r="20" spans="1:16" s="2" customFormat="1" ht="25.2" customHeight="1">
      <c r="A20" s="322" t="s">
        <v>100</v>
      </c>
      <c r="B20" s="90" t="s">
        <v>72</v>
      </c>
      <c r="C20" s="36"/>
      <c r="D20" s="37"/>
      <c r="E20" s="37"/>
      <c r="F20" s="37"/>
      <c r="G20" s="37"/>
      <c r="H20" s="37"/>
      <c r="I20" s="37"/>
      <c r="J20" s="90" t="s">
        <v>72</v>
      </c>
      <c r="L20" s="96"/>
      <c r="M20" s="240" t="s">
        <v>334</v>
      </c>
      <c r="N20" s="119" t="s">
        <v>674</v>
      </c>
      <c r="O20" s="241" t="s">
        <v>680</v>
      </c>
      <c r="P20" s="145" t="s">
        <v>300</v>
      </c>
    </row>
    <row r="21" spans="1:16" s="2" customFormat="1" ht="25.2" customHeight="1">
      <c r="A21" s="322" t="s">
        <v>100</v>
      </c>
      <c r="B21" s="90" t="s">
        <v>72</v>
      </c>
      <c r="C21" s="36"/>
      <c r="D21" s="37"/>
      <c r="E21" s="37"/>
      <c r="F21" s="37"/>
      <c r="G21" s="37"/>
      <c r="H21" s="37"/>
      <c r="I21" s="37"/>
      <c r="J21" s="90" t="s">
        <v>72</v>
      </c>
      <c r="L21" s="96"/>
      <c r="M21" s="240" t="s">
        <v>334</v>
      </c>
      <c r="N21" s="119" t="s">
        <v>673</v>
      </c>
      <c r="O21" s="241" t="s">
        <v>681</v>
      </c>
      <c r="P21" s="145" t="s">
        <v>300</v>
      </c>
    </row>
    <row r="22" spans="1:16" s="2" customFormat="1" ht="25.2" customHeight="1">
      <c r="A22" s="322" t="s">
        <v>100</v>
      </c>
      <c r="B22" s="90" t="s">
        <v>72</v>
      </c>
      <c r="C22" s="36"/>
      <c r="D22" s="37"/>
      <c r="E22" s="37"/>
      <c r="F22" s="37"/>
      <c r="G22" s="37"/>
      <c r="H22" s="37"/>
      <c r="I22" s="37"/>
      <c r="J22" s="90" t="s">
        <v>72</v>
      </c>
      <c r="L22" s="96"/>
      <c r="M22" s="240" t="s">
        <v>334</v>
      </c>
      <c r="N22" s="119" t="s">
        <v>676</v>
      </c>
      <c r="O22" s="241" t="s">
        <v>682</v>
      </c>
      <c r="P22" s="145" t="s">
        <v>300</v>
      </c>
    </row>
    <row r="23" spans="1:16" s="2" customFormat="1" ht="25.2" customHeight="1">
      <c r="A23" s="322" t="s">
        <v>101</v>
      </c>
      <c r="B23" s="90" t="s">
        <v>72</v>
      </c>
      <c r="C23" s="36"/>
      <c r="D23" s="37"/>
      <c r="E23" s="37"/>
      <c r="F23" s="37"/>
      <c r="G23" s="37"/>
      <c r="H23" s="37"/>
      <c r="I23" s="37"/>
      <c r="J23" s="239" t="s">
        <v>72</v>
      </c>
      <c r="L23" s="241" t="s">
        <v>685</v>
      </c>
      <c r="M23" s="240" t="s">
        <v>334</v>
      </c>
      <c r="N23" s="119" t="s">
        <v>677</v>
      </c>
      <c r="O23" s="241" t="s">
        <v>678</v>
      </c>
      <c r="P23" s="145" t="s">
        <v>300</v>
      </c>
    </row>
    <row r="24" spans="1:16" s="2" customFormat="1" ht="25.2" customHeight="1">
      <c r="A24" s="322" t="s">
        <v>101</v>
      </c>
      <c r="B24" s="36"/>
      <c r="C24" s="36"/>
      <c r="D24" s="37"/>
      <c r="E24" s="37"/>
      <c r="F24" s="37"/>
      <c r="G24" s="37"/>
      <c r="H24" s="37"/>
      <c r="I24" s="37"/>
      <c r="J24" s="239" t="s">
        <v>72</v>
      </c>
      <c r="L24" s="96" t="s">
        <v>684</v>
      </c>
      <c r="M24" s="240" t="s">
        <v>395</v>
      </c>
      <c r="N24" s="119" t="s">
        <v>683</v>
      </c>
      <c r="O24" s="18"/>
      <c r="P24" s="145" t="s">
        <v>300</v>
      </c>
    </row>
    <row r="25" spans="1:16" s="2" customFormat="1" ht="25.2" customHeight="1">
      <c r="A25" s="322" t="s">
        <v>102</v>
      </c>
      <c r="B25" s="36"/>
      <c r="C25" s="36"/>
      <c r="D25" s="37"/>
      <c r="E25" s="37"/>
      <c r="F25" s="37"/>
      <c r="G25" s="37"/>
      <c r="H25" s="37"/>
      <c r="I25" s="37"/>
      <c r="J25" s="37"/>
      <c r="L25" s="1"/>
      <c r="M25" s="4"/>
      <c r="N25" s="17"/>
      <c r="O25" s="18"/>
      <c r="P25" s="144"/>
    </row>
    <row r="26" spans="1:16" s="2" customFormat="1" ht="25.2" customHeight="1">
      <c r="A26" s="322"/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</row>
    <row r="27" spans="1:16" s="2" customFormat="1" ht="25.2" customHeight="1">
      <c r="A27" s="322"/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</row>
    <row r="28" spans="1:16" s="2" customFormat="1" ht="25.2" customHeight="1">
      <c r="A28" s="322"/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</row>
    <row r="29" spans="1:16" s="2" customFormat="1" ht="25.2" customHeight="1">
      <c r="A29" s="322"/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</row>
    <row r="30" spans="1:16" s="2" customFormat="1" ht="25.2" customHeight="1">
      <c r="A30" s="322"/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</row>
    <row r="31" spans="1:16" s="2" customFormat="1" ht="25.2" customHeight="1">
      <c r="A31" s="322"/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</row>
    <row r="32" spans="1:16" s="2" customFormat="1" ht="25.2" customHeight="1">
      <c r="A32" s="322"/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</row>
    <row r="33" spans="1:15" s="2" customFormat="1" ht="25.2" customHeight="1">
      <c r="A33" s="322"/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</row>
    <row r="34" spans="1:15" s="2" customFormat="1" ht="25.2" customHeight="1">
      <c r="A34" s="322"/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</row>
    <row r="35" spans="1:15" s="2" customFormat="1" ht="25.2" customHeight="1">
      <c r="A35" s="322"/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</row>
    <row r="36" spans="1:15" s="2" customFormat="1" ht="25.2" customHeight="1">
      <c r="A36" s="322"/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</row>
    <row r="37" spans="1:15" s="2" customFormat="1" ht="25.2" customHeight="1">
      <c r="A37" s="322"/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</row>
    <row r="38" spans="1:15" s="2" customFormat="1" ht="25.2" customHeight="1">
      <c r="A38" s="322"/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</row>
    <row r="39" spans="1:15" s="2" customFormat="1" ht="25.2" customHeight="1">
      <c r="A39" s="322"/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</row>
    <row r="40" spans="1:15" s="2" customFormat="1" ht="25.2" customHeight="1">
      <c r="A40" s="322"/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</row>
    <row r="41" spans="1:15" s="2" customFormat="1" ht="25.2" customHeight="1">
      <c r="A41" s="322"/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</row>
    <row r="42" spans="1:15" s="2" customFormat="1" ht="25.2" customHeight="1">
      <c r="A42" s="322"/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</row>
    <row r="43" spans="1:15" s="2" customFormat="1" ht="25.2" customHeight="1">
      <c r="A43" s="322"/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</row>
    <row r="44" spans="1:15" s="2" customFormat="1" ht="25.2" customHeight="1">
      <c r="A44" s="322"/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</row>
    <row r="45" spans="1:15" s="2" customFormat="1" ht="25.2" customHeight="1">
      <c r="A45" s="322"/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</row>
    <row r="46" spans="1:15" s="2" customFormat="1" ht="25.2" customHeight="1">
      <c r="A46" s="322"/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</row>
    <row r="47" spans="1:15" s="2" customFormat="1" ht="25.2" customHeight="1">
      <c r="A47" s="322"/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</row>
    <row r="48" spans="1:15" s="2" customFormat="1" ht="25.2" customHeight="1">
      <c r="A48" s="322"/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</row>
    <row r="49" spans="1:15" s="2" customFormat="1" ht="25.2" customHeight="1">
      <c r="A49" s="322"/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</row>
    <row r="50" spans="1:15" s="2" customFormat="1" ht="25.2" customHeight="1">
      <c r="A50" s="322"/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</row>
    <row r="51" spans="1:15" s="2" customFormat="1" ht="25.2" customHeight="1">
      <c r="A51" s="322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5" s="2" customFormat="1" ht="25.2" customHeight="1">
      <c r="A52" s="322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FBCE2040-0DDD-4459-947B-566125371146}"/>
    <hyperlink ref="N7" r:id="rId5" xr:uid="{032EC12E-9743-43E1-810E-EE5CC0BBD582}"/>
    <hyperlink ref="N8" r:id="rId6" xr:uid="{A04BC292-6D1D-4C59-A2E0-C8B0DE93A28B}"/>
    <hyperlink ref="N9" r:id="rId7" xr:uid="{0CFF5A8D-7BD0-47AF-BEAA-6F45EF152412}"/>
    <hyperlink ref="N11" r:id="rId8" xr:uid="{D2AF82EF-B05C-4A51-B7A0-F26FD351DA1A}"/>
    <hyperlink ref="N12" r:id="rId9" xr:uid="{4BBCFB9C-2A90-43DB-854D-A1E5F57EBCDA}"/>
    <hyperlink ref="N13" r:id="rId10" xr:uid="{453C9E25-A028-4FB8-8E8F-6890FCA8AD9D}"/>
    <hyperlink ref="N14" r:id="rId11" xr:uid="{4FCB74CA-EC11-4885-A07E-4AFF44C758D2}"/>
    <hyperlink ref="N15" r:id="rId12" xr:uid="{07EC0F60-E518-4506-8AB7-063D8AA0EAA1}"/>
    <hyperlink ref="N16" r:id="rId13" xr:uid="{8AEF771F-098B-4196-A8ED-6FC0339611CA}"/>
    <hyperlink ref="N17" r:id="rId14" xr:uid="{8DEA117A-0AD4-45CE-BEB2-CC546E42BC47}"/>
    <hyperlink ref="N18" r:id="rId15" xr:uid="{E985767D-AAAE-474E-8871-793B10A00013}"/>
    <hyperlink ref="N19" r:id="rId16" xr:uid="{71277732-97E4-4F0D-A90F-6A10B6E7B23F}"/>
    <hyperlink ref="N20" r:id="rId17" xr:uid="{28D954FB-39EC-47B1-8EE8-216002BCA573}"/>
    <hyperlink ref="N21" r:id="rId18" xr:uid="{DC2822CE-3EF3-494C-8528-BFDE163D8584}"/>
    <hyperlink ref="N22" r:id="rId19" xr:uid="{0CC3649A-1A48-4419-87C4-89C66B81C7F9}"/>
    <hyperlink ref="N23" r:id="rId20" xr:uid="{B6C63A82-21DE-4A90-83C0-D72FAD60194D}"/>
    <hyperlink ref="N24" r:id="rId21" xr:uid="{BEE00C56-A8CE-4564-87D7-EF8C5F6FCF88}"/>
  </hyperlinks>
  <pageMargins left="0.7" right="0.7" top="0.78740157499999996" bottom="0.78740157499999996" header="0.3" footer="0.3"/>
  <pageSetup paperSize="9" orientation="portrait" r:id="rId2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14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5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22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2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2" t="s">
        <v>101</v>
      </c>
      <c r="B3" s="36" t="s">
        <v>72</v>
      </c>
      <c r="C3" s="36" t="s">
        <v>72</v>
      </c>
      <c r="D3" s="37" t="s">
        <v>72</v>
      </c>
      <c r="E3" s="30"/>
      <c r="F3" s="30"/>
      <c r="G3" s="30"/>
      <c r="H3" s="30"/>
      <c r="I3" s="30"/>
      <c r="J3" s="30"/>
      <c r="L3" s="1" t="s">
        <v>0</v>
      </c>
      <c r="M3" s="84" t="s">
        <v>34</v>
      </c>
      <c r="N3" s="119" t="s">
        <v>220</v>
      </c>
      <c r="O3" s="158"/>
      <c r="P3" s="145" t="s">
        <v>300</v>
      </c>
    </row>
    <row r="4" spans="1:16" s="2" customFormat="1" ht="25.2" customHeight="1">
      <c r="A4" s="322" t="s">
        <v>101</v>
      </c>
      <c r="B4" s="36" t="s">
        <v>72</v>
      </c>
      <c r="C4" s="36" t="s">
        <v>72</v>
      </c>
      <c r="D4" s="37" t="s">
        <v>72</v>
      </c>
      <c r="E4" s="30"/>
      <c r="F4" s="30"/>
      <c r="G4" s="30"/>
      <c r="H4" s="30"/>
      <c r="I4" s="30"/>
      <c r="J4" s="30"/>
      <c r="L4" s="1" t="s">
        <v>35</v>
      </c>
      <c r="M4" s="84"/>
      <c r="N4" s="119" t="s">
        <v>161</v>
      </c>
      <c r="O4" s="158"/>
      <c r="P4" s="145" t="s">
        <v>300</v>
      </c>
    </row>
    <row r="5" spans="1:16" s="2" customFormat="1" ht="25.2" customHeight="1">
      <c r="A5" s="322" t="s">
        <v>101</v>
      </c>
      <c r="B5" s="36" t="s">
        <v>72</v>
      </c>
      <c r="C5" s="29"/>
      <c r="D5" s="37" t="s">
        <v>72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162</v>
      </c>
      <c r="O5" s="158"/>
      <c r="P5" s="145" t="s">
        <v>300</v>
      </c>
    </row>
    <row r="6" spans="1:16" s="2" customFormat="1" ht="25.2" customHeight="1">
      <c r="A6" s="322" t="s">
        <v>101</v>
      </c>
      <c r="B6" s="36" t="s">
        <v>72</v>
      </c>
      <c r="C6" s="29"/>
      <c r="D6" s="37" t="s">
        <v>72</v>
      </c>
      <c r="E6" s="30"/>
      <c r="F6" s="30"/>
      <c r="G6" s="30"/>
      <c r="H6" s="30"/>
      <c r="I6" s="30"/>
      <c r="J6" s="30"/>
      <c r="L6" s="1" t="s">
        <v>40</v>
      </c>
      <c r="M6" s="84"/>
      <c r="N6" s="119" t="s">
        <v>163</v>
      </c>
      <c r="O6" s="158"/>
      <c r="P6" s="145" t="s">
        <v>300</v>
      </c>
    </row>
    <row r="7" spans="1:16" s="2" customFormat="1" ht="25.2" customHeight="1">
      <c r="A7" s="322" t="s">
        <v>101</v>
      </c>
      <c r="B7" s="36" t="s">
        <v>72</v>
      </c>
      <c r="C7" s="29"/>
      <c r="D7" s="37" t="s">
        <v>72</v>
      </c>
      <c r="E7" s="30"/>
      <c r="F7" s="30"/>
      <c r="G7" s="30"/>
      <c r="H7" s="30"/>
      <c r="I7" s="30"/>
      <c r="J7" s="30"/>
      <c r="L7" s="1" t="s">
        <v>41</v>
      </c>
      <c r="M7" s="84"/>
      <c r="N7" s="119" t="s">
        <v>164</v>
      </c>
      <c r="O7" s="158"/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217" t="s">
        <v>646</v>
      </c>
      <c r="D8" s="217" t="s">
        <v>646</v>
      </c>
      <c r="E8" s="30"/>
      <c r="F8" s="30"/>
      <c r="G8" s="30"/>
      <c r="H8" s="30"/>
      <c r="I8" s="30"/>
      <c r="J8" s="212" t="s">
        <v>72</v>
      </c>
      <c r="L8" s="283" t="s">
        <v>763</v>
      </c>
      <c r="M8" s="84" t="s">
        <v>630</v>
      </c>
      <c r="N8" s="119" t="s">
        <v>637</v>
      </c>
      <c r="O8" s="283" t="s">
        <v>763</v>
      </c>
      <c r="P8" s="145" t="s">
        <v>300</v>
      </c>
    </row>
    <row r="9" spans="1:16" s="2" customFormat="1" ht="25.2" customHeight="1">
      <c r="A9" s="322" t="s">
        <v>100</v>
      </c>
      <c r="B9" s="36" t="s">
        <v>72</v>
      </c>
      <c r="C9" s="215" t="s">
        <v>72</v>
      </c>
      <c r="D9" s="216" t="s">
        <v>72</v>
      </c>
      <c r="E9" s="30"/>
      <c r="F9" s="30"/>
      <c r="G9" s="30"/>
      <c r="H9" s="30"/>
      <c r="I9" s="30"/>
      <c r="J9" s="212" t="s">
        <v>72</v>
      </c>
      <c r="L9" s="208"/>
      <c r="M9" s="84"/>
      <c r="N9" s="119" t="s">
        <v>633</v>
      </c>
      <c r="O9" s="158" t="s">
        <v>631</v>
      </c>
      <c r="P9" s="145" t="s">
        <v>300</v>
      </c>
    </row>
    <row r="10" spans="1:16" s="2" customFormat="1" ht="25.2" customHeight="1">
      <c r="A10" s="322" t="s">
        <v>100</v>
      </c>
      <c r="B10" s="284" t="s">
        <v>72</v>
      </c>
      <c r="C10" s="285" t="s">
        <v>72</v>
      </c>
      <c r="D10" s="286" t="s">
        <v>72</v>
      </c>
      <c r="E10" s="30"/>
      <c r="F10" s="30"/>
      <c r="G10" s="30"/>
      <c r="H10" s="30"/>
      <c r="I10" s="30"/>
      <c r="J10" s="287" t="s">
        <v>72</v>
      </c>
      <c r="L10" s="208"/>
      <c r="M10" s="84"/>
      <c r="N10" s="119" t="s">
        <v>161</v>
      </c>
      <c r="O10" s="158" t="s">
        <v>764</v>
      </c>
      <c r="P10" s="145"/>
    </row>
    <row r="11" spans="1:16" s="2" customFormat="1" ht="25.2" customHeight="1">
      <c r="A11" s="322" t="s">
        <v>100</v>
      </c>
      <c r="B11" s="36" t="s">
        <v>72</v>
      </c>
      <c r="C11" s="215" t="s">
        <v>72</v>
      </c>
      <c r="D11" s="216" t="s">
        <v>72</v>
      </c>
      <c r="E11" s="30"/>
      <c r="F11" s="30"/>
      <c r="G11" s="30"/>
      <c r="H11" s="30"/>
      <c r="I11" s="30"/>
      <c r="J11" s="212" t="s">
        <v>72</v>
      </c>
      <c r="L11" s="208"/>
      <c r="M11" s="84"/>
      <c r="N11" s="119" t="s">
        <v>634</v>
      </c>
      <c r="O11" s="158" t="s">
        <v>632</v>
      </c>
      <c r="P11" s="145" t="s">
        <v>300</v>
      </c>
    </row>
    <row r="12" spans="1:16" s="2" customFormat="1" ht="25.2" customHeight="1">
      <c r="A12" s="322" t="s">
        <v>100</v>
      </c>
      <c r="B12" s="36" t="s">
        <v>72</v>
      </c>
      <c r="C12" s="215" t="s">
        <v>72</v>
      </c>
      <c r="D12" s="216" t="s">
        <v>72</v>
      </c>
      <c r="E12" s="30"/>
      <c r="F12" s="30"/>
      <c r="G12" s="30"/>
      <c r="H12" s="30"/>
      <c r="I12" s="30"/>
      <c r="J12" s="212" t="s">
        <v>72</v>
      </c>
      <c r="L12" s="208"/>
      <c r="M12" s="84"/>
      <c r="N12" s="119" t="s">
        <v>636</v>
      </c>
      <c r="O12" s="158" t="s">
        <v>635</v>
      </c>
      <c r="P12" s="145" t="s">
        <v>300</v>
      </c>
    </row>
    <row r="13" spans="1:16" s="2" customFormat="1" ht="25.2" customHeight="1">
      <c r="A13" s="322" t="s">
        <v>101</v>
      </c>
      <c r="B13" s="36" t="s">
        <v>72</v>
      </c>
      <c r="C13" s="29"/>
      <c r="D13" s="37" t="s">
        <v>72</v>
      </c>
      <c r="E13" s="30"/>
      <c r="F13" s="30"/>
      <c r="G13" s="30"/>
      <c r="H13" s="30"/>
      <c r="I13" s="30"/>
      <c r="J13" s="30"/>
      <c r="L13" s="1" t="s">
        <v>5</v>
      </c>
      <c r="M13" s="84" t="s">
        <v>37</v>
      </c>
      <c r="N13" s="119" t="s">
        <v>164</v>
      </c>
      <c r="O13" s="158"/>
      <c r="P13" s="145" t="s">
        <v>300</v>
      </c>
    </row>
    <row r="14" spans="1:16" s="2" customFormat="1" ht="25.2" customHeight="1">
      <c r="A14" s="322" t="s">
        <v>101</v>
      </c>
      <c r="B14" s="36" t="s">
        <v>72</v>
      </c>
      <c r="C14" s="29"/>
      <c r="D14" s="37" t="s">
        <v>72</v>
      </c>
      <c r="E14" s="30"/>
      <c r="F14" s="30"/>
      <c r="G14" s="30"/>
      <c r="H14" s="30"/>
      <c r="I14" s="30"/>
      <c r="J14" s="30"/>
      <c r="L14" s="1" t="s">
        <v>36</v>
      </c>
      <c r="M14" s="84"/>
      <c r="N14" s="119" t="s">
        <v>165</v>
      </c>
      <c r="O14" s="158"/>
      <c r="P14" s="145" t="s">
        <v>300</v>
      </c>
    </row>
    <row r="15" spans="1:16" s="2" customFormat="1" ht="25.2" customHeight="1">
      <c r="A15" s="322" t="s">
        <v>101</v>
      </c>
      <c r="B15" s="307" t="s">
        <v>72</v>
      </c>
      <c r="C15" s="29"/>
      <c r="D15" s="308" t="s">
        <v>72</v>
      </c>
      <c r="E15" s="30"/>
      <c r="F15" s="30"/>
      <c r="G15" s="30"/>
      <c r="H15" s="30"/>
      <c r="I15" s="30"/>
      <c r="J15" s="30"/>
      <c r="L15" s="310" t="s">
        <v>773</v>
      </c>
      <c r="M15" s="309" t="s">
        <v>771</v>
      </c>
      <c r="N15" s="119" t="s">
        <v>772</v>
      </c>
      <c r="O15" s="158"/>
      <c r="P15" s="145"/>
    </row>
    <row r="16" spans="1:16" s="2" customFormat="1" ht="25.2" customHeight="1">
      <c r="A16" s="322" t="s">
        <v>101</v>
      </c>
      <c r="B16" s="36" t="s">
        <v>72</v>
      </c>
      <c r="C16" s="29"/>
      <c r="D16" s="37"/>
      <c r="E16" s="30"/>
      <c r="F16" s="30"/>
      <c r="G16" s="30"/>
      <c r="H16" s="30" t="s">
        <v>72</v>
      </c>
      <c r="I16" s="30"/>
      <c r="J16" s="30"/>
      <c r="L16" s="1" t="s">
        <v>202</v>
      </c>
      <c r="M16" s="84"/>
      <c r="N16" s="119" t="s">
        <v>298</v>
      </c>
      <c r="O16" s="158"/>
      <c r="P16" s="145" t="s">
        <v>300</v>
      </c>
    </row>
    <row r="17" spans="1:16" s="2" customFormat="1" ht="25.2" customHeight="1">
      <c r="A17" s="322" t="s">
        <v>101</v>
      </c>
      <c r="B17" s="36" t="s">
        <v>72</v>
      </c>
      <c r="C17" s="29"/>
      <c r="D17" s="37"/>
      <c r="E17" s="30"/>
      <c r="F17" s="30"/>
      <c r="G17" s="30"/>
      <c r="H17" s="30"/>
      <c r="I17" s="95" t="s">
        <v>72</v>
      </c>
      <c r="J17" s="30"/>
      <c r="L17" s="1" t="s">
        <v>235</v>
      </c>
      <c r="M17" s="84"/>
      <c r="N17" s="119" t="s">
        <v>299</v>
      </c>
      <c r="O17" s="158"/>
      <c r="P17" s="145" t="s">
        <v>300</v>
      </c>
    </row>
    <row r="18" spans="1:16" s="2" customFormat="1" ht="25.2" customHeight="1">
      <c r="A18" s="322" t="s">
        <v>101</v>
      </c>
      <c r="B18" s="36" t="s">
        <v>72</v>
      </c>
      <c r="C18" s="29"/>
      <c r="D18" s="37"/>
      <c r="E18" s="30"/>
      <c r="F18" s="30"/>
      <c r="G18" s="30"/>
      <c r="H18" s="30"/>
      <c r="I18" s="95" t="s">
        <v>72</v>
      </c>
      <c r="J18" s="30"/>
      <c r="L18" s="312" t="s">
        <v>781</v>
      </c>
      <c r="M18" s="311" t="s">
        <v>780</v>
      </c>
      <c r="N18" s="119" t="s">
        <v>386</v>
      </c>
      <c r="O18" s="158"/>
      <c r="P18" s="145" t="s">
        <v>300</v>
      </c>
    </row>
    <row r="19" spans="1:16" s="2" customFormat="1" ht="25.2" customHeight="1">
      <c r="A19" s="322" t="s">
        <v>101</v>
      </c>
      <c r="B19" s="36" t="s">
        <v>72</v>
      </c>
      <c r="C19" s="29"/>
      <c r="D19" s="37"/>
      <c r="E19" s="30"/>
      <c r="F19" s="30"/>
      <c r="G19" s="30"/>
      <c r="H19" s="30"/>
      <c r="I19" s="95"/>
      <c r="J19" s="36" t="s">
        <v>72</v>
      </c>
      <c r="L19" s="164" t="s">
        <v>381</v>
      </c>
      <c r="M19" s="84"/>
      <c r="N19" s="119" t="s">
        <v>376</v>
      </c>
      <c r="O19" s="158" t="s">
        <v>49</v>
      </c>
      <c r="P19" s="145" t="s">
        <v>300</v>
      </c>
    </row>
    <row r="20" spans="1:16" s="2" customFormat="1" ht="25.2" customHeight="1">
      <c r="A20" s="322" t="s">
        <v>100</v>
      </c>
      <c r="B20" s="36" t="s">
        <v>72</v>
      </c>
      <c r="C20" s="29"/>
      <c r="D20" s="37"/>
      <c r="E20" s="30"/>
      <c r="F20" s="30"/>
      <c r="G20" s="30"/>
      <c r="H20" s="30"/>
      <c r="I20" s="30"/>
      <c r="J20" s="36" t="s">
        <v>72</v>
      </c>
      <c r="L20" s="1"/>
      <c r="M20" s="84"/>
      <c r="N20" s="119" t="s">
        <v>377</v>
      </c>
      <c r="O20" s="158" t="s">
        <v>777</v>
      </c>
      <c r="P20" s="145" t="s">
        <v>300</v>
      </c>
    </row>
    <row r="21" spans="1:16" s="2" customFormat="1" ht="25.2" customHeight="1">
      <c r="A21" s="322" t="s">
        <v>100</v>
      </c>
      <c r="B21" s="36" t="s">
        <v>72</v>
      </c>
      <c r="C21" s="29"/>
      <c r="D21" s="37"/>
      <c r="E21" s="30"/>
      <c r="F21" s="30"/>
      <c r="G21" s="30"/>
      <c r="H21" s="30"/>
      <c r="I21" s="30"/>
      <c r="J21" s="36" t="s">
        <v>72</v>
      </c>
      <c r="L21" s="1"/>
      <c r="M21" s="84"/>
      <c r="N21" s="119" t="s">
        <v>378</v>
      </c>
      <c r="O21" s="158" t="s">
        <v>774</v>
      </c>
      <c r="P21" s="145" t="s">
        <v>300</v>
      </c>
    </row>
    <row r="22" spans="1:16" s="2" customFormat="1" ht="25.2" customHeight="1">
      <c r="A22" s="322" t="s">
        <v>100</v>
      </c>
      <c r="B22" s="36" t="s">
        <v>72</v>
      </c>
      <c r="C22" s="29"/>
      <c r="D22" s="37"/>
      <c r="E22" s="30"/>
      <c r="F22" s="30"/>
      <c r="G22" s="30"/>
      <c r="H22" s="30"/>
      <c r="I22" s="30"/>
      <c r="J22" s="36" t="s">
        <v>72</v>
      </c>
      <c r="L22" s="1"/>
      <c r="M22" s="84"/>
      <c r="N22" s="119" t="s">
        <v>379</v>
      </c>
      <c r="O22" s="158" t="s">
        <v>778</v>
      </c>
      <c r="P22" s="145" t="s">
        <v>300</v>
      </c>
    </row>
    <row r="23" spans="1:16" s="2" customFormat="1" ht="25.2" customHeight="1">
      <c r="A23" s="322" t="s">
        <v>100</v>
      </c>
      <c r="B23" s="36" t="s">
        <v>72</v>
      </c>
      <c r="C23" s="29"/>
      <c r="D23" s="37"/>
      <c r="E23" s="30"/>
      <c r="F23" s="30"/>
      <c r="G23" s="30"/>
      <c r="H23" s="30"/>
      <c r="I23" s="30"/>
      <c r="J23" s="36" t="s">
        <v>72</v>
      </c>
      <c r="L23" s="1"/>
      <c r="M23" s="4"/>
      <c r="N23" s="119" t="s">
        <v>383</v>
      </c>
      <c r="O23" s="158" t="s">
        <v>775</v>
      </c>
      <c r="P23" s="145" t="s">
        <v>300</v>
      </c>
    </row>
    <row r="24" spans="1:16" s="2" customFormat="1" ht="25.2" customHeight="1">
      <c r="A24" s="322" t="s">
        <v>100</v>
      </c>
      <c r="B24" s="36" t="s">
        <v>72</v>
      </c>
      <c r="C24" s="29"/>
      <c r="D24" s="37"/>
      <c r="E24" s="30"/>
      <c r="F24" s="30"/>
      <c r="G24" s="30"/>
      <c r="H24" s="30"/>
      <c r="I24" s="30"/>
      <c r="J24" s="36" t="s">
        <v>72</v>
      </c>
      <c r="L24" s="1"/>
      <c r="M24" s="4"/>
      <c r="N24" s="119" t="s">
        <v>384</v>
      </c>
      <c r="O24" s="158" t="s">
        <v>779</v>
      </c>
      <c r="P24" s="145" t="s">
        <v>300</v>
      </c>
    </row>
    <row r="25" spans="1:16" s="2" customFormat="1" ht="25.2" customHeight="1">
      <c r="A25" s="322" t="s">
        <v>100</v>
      </c>
      <c r="B25" s="36" t="s">
        <v>72</v>
      </c>
      <c r="C25" s="29"/>
      <c r="D25" s="37"/>
      <c r="E25" s="30"/>
      <c r="F25" s="30"/>
      <c r="G25" s="30"/>
      <c r="H25" s="30"/>
      <c r="I25" s="30"/>
      <c r="J25" s="36" t="s">
        <v>72</v>
      </c>
      <c r="L25" s="1"/>
      <c r="M25" s="4"/>
      <c r="N25" s="119" t="s">
        <v>380</v>
      </c>
      <c r="O25" s="158" t="s">
        <v>776</v>
      </c>
      <c r="P25" s="145" t="s">
        <v>300</v>
      </c>
    </row>
    <row r="26" spans="1:16" s="2" customFormat="1" ht="25.2" customHeight="1">
      <c r="A26" s="322" t="s">
        <v>101</v>
      </c>
      <c r="B26" s="36" t="s">
        <v>72</v>
      </c>
      <c r="C26" s="29"/>
      <c r="D26" s="37"/>
      <c r="E26" s="30"/>
      <c r="F26" s="30"/>
      <c r="G26" s="30"/>
      <c r="H26" s="30"/>
      <c r="I26" s="30"/>
      <c r="J26" s="36" t="s">
        <v>72</v>
      </c>
      <c r="L26" s="164" t="s">
        <v>387</v>
      </c>
      <c r="M26" s="4"/>
      <c r="N26" s="119" t="s">
        <v>391</v>
      </c>
      <c r="O26" s="16"/>
      <c r="P26" s="145" t="s">
        <v>300</v>
      </c>
    </row>
    <row r="27" spans="1:16" s="2" customFormat="1" ht="25.2" customHeight="1">
      <c r="A27" s="322" t="s">
        <v>101</v>
      </c>
      <c r="B27" s="36" t="s">
        <v>72</v>
      </c>
      <c r="C27" s="29"/>
      <c r="D27" s="37"/>
      <c r="E27" s="30"/>
      <c r="F27" s="30"/>
      <c r="G27" s="30"/>
      <c r="H27" s="30"/>
      <c r="I27" s="30"/>
      <c r="J27" s="166" t="s">
        <v>72</v>
      </c>
      <c r="L27" s="164" t="s">
        <v>389</v>
      </c>
      <c r="M27" s="4"/>
      <c r="N27" s="119" t="s">
        <v>388</v>
      </c>
      <c r="O27" s="16"/>
      <c r="P27" s="145" t="s">
        <v>300</v>
      </c>
    </row>
    <row r="28" spans="1:16" s="2" customFormat="1" ht="25.2" customHeight="1">
      <c r="A28" s="322" t="s">
        <v>101</v>
      </c>
      <c r="B28" s="36" t="s">
        <v>72</v>
      </c>
      <c r="C28" s="29"/>
      <c r="D28" s="37"/>
      <c r="E28" s="30"/>
      <c r="F28" s="30"/>
      <c r="G28" s="30"/>
      <c r="H28" s="30"/>
      <c r="I28" s="30"/>
      <c r="J28" s="166" t="s">
        <v>72</v>
      </c>
      <c r="K28" s="167" t="s">
        <v>72</v>
      </c>
      <c r="L28" s="1"/>
      <c r="M28" s="4"/>
      <c r="N28" s="119" t="s">
        <v>390</v>
      </c>
      <c r="O28" s="16"/>
      <c r="P28" s="145" t="s">
        <v>300</v>
      </c>
    </row>
    <row r="29" spans="1:16" s="2" customFormat="1" ht="25.2" customHeight="1">
      <c r="A29" s="322" t="s">
        <v>102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22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22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22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22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22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22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22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22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22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22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22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22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22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22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22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22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22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22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22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22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22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22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22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22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22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22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22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58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P102"/>
  <sheetViews>
    <sheetView workbookViewId="0">
      <pane ySplit="1" topLeftCell="A3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133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22" t="s">
        <v>101</v>
      </c>
      <c r="B3" s="29" t="s">
        <v>72</v>
      </c>
      <c r="C3" s="29" t="s">
        <v>72</v>
      </c>
      <c r="D3" s="30" t="s">
        <v>72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166</v>
      </c>
      <c r="O3" s="87" t="s">
        <v>64</v>
      </c>
      <c r="P3" s="144" t="s">
        <v>300</v>
      </c>
    </row>
    <row r="4" spans="1:16" s="2" customFormat="1" ht="25.2" customHeight="1">
      <c r="A4" s="322" t="s">
        <v>101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167</v>
      </c>
      <c r="O4" s="250" t="s">
        <v>119</v>
      </c>
      <c r="P4" s="144" t="s">
        <v>300</v>
      </c>
    </row>
    <row r="5" spans="1:16" s="2" customFormat="1" ht="25.2" customHeight="1">
      <c r="A5" s="322" t="s">
        <v>101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168</v>
      </c>
      <c r="O5" s="250" t="s">
        <v>119</v>
      </c>
      <c r="P5" s="144" t="s">
        <v>300</v>
      </c>
    </row>
    <row r="6" spans="1:16" s="2" customFormat="1" ht="25.2" customHeight="1">
      <c r="A6" s="322" t="s">
        <v>101</v>
      </c>
      <c r="B6" s="29" t="s">
        <v>72</v>
      </c>
      <c r="C6" s="29"/>
      <c r="D6" s="30" t="s">
        <v>72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731</v>
      </c>
      <c r="O6" s="250" t="s">
        <v>119</v>
      </c>
      <c r="P6" s="144" t="s">
        <v>300</v>
      </c>
    </row>
    <row r="7" spans="1:16" s="2" customFormat="1" ht="25.2" customHeight="1">
      <c r="A7" s="322" t="s">
        <v>100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/>
      <c r="M7" s="246"/>
      <c r="N7" s="119" t="s">
        <v>732</v>
      </c>
      <c r="O7" s="253"/>
      <c r="P7" s="144" t="s">
        <v>300</v>
      </c>
    </row>
    <row r="8" spans="1:16" ht="20.100000000000001" customHeight="1">
      <c r="A8" s="322" t="s">
        <v>101</v>
      </c>
      <c r="B8" s="29" t="s">
        <v>72</v>
      </c>
      <c r="C8" s="29"/>
      <c r="D8" s="30"/>
      <c r="E8" s="95" t="s">
        <v>72</v>
      </c>
      <c r="F8" s="30"/>
      <c r="G8" s="30"/>
      <c r="H8" s="30"/>
      <c r="I8" s="30"/>
      <c r="J8" s="30"/>
      <c r="L8" s="96" t="s">
        <v>236</v>
      </c>
      <c r="M8" s="175" t="s">
        <v>223</v>
      </c>
      <c r="N8" s="119" t="s">
        <v>302</v>
      </c>
      <c r="O8" s="250" t="s">
        <v>119</v>
      </c>
      <c r="P8" s="150" t="s">
        <v>300</v>
      </c>
    </row>
    <row r="9" spans="1:16" ht="20.100000000000001" customHeight="1">
      <c r="A9" s="322" t="s">
        <v>101</v>
      </c>
      <c r="B9" s="29" t="s">
        <v>72</v>
      </c>
      <c r="C9" s="29"/>
      <c r="D9" s="30"/>
      <c r="E9" s="121"/>
      <c r="F9" s="30"/>
      <c r="G9" s="30"/>
      <c r="H9" s="30"/>
      <c r="I9" s="95" t="s">
        <v>72</v>
      </c>
      <c r="J9" s="30"/>
      <c r="L9" s="96" t="s">
        <v>237</v>
      </c>
      <c r="M9" s="246"/>
      <c r="N9" s="119" t="s">
        <v>303</v>
      </c>
      <c r="O9" s="11"/>
      <c r="P9" s="150" t="s">
        <v>300</v>
      </c>
    </row>
    <row r="10" spans="1:16" ht="20.100000000000001" customHeight="1">
      <c r="A10" s="322" t="s">
        <v>101</v>
      </c>
      <c r="B10" s="29" t="s">
        <v>72</v>
      </c>
      <c r="C10" s="29"/>
      <c r="D10" s="30"/>
      <c r="E10" s="30"/>
      <c r="F10" s="30"/>
      <c r="G10" s="30"/>
      <c r="H10" s="30"/>
      <c r="I10" s="30"/>
      <c r="J10" s="30"/>
      <c r="K10" s="174" t="s">
        <v>72</v>
      </c>
      <c r="L10" s="164" t="s">
        <v>484</v>
      </c>
      <c r="M10" s="246"/>
      <c r="N10" s="119" t="s">
        <v>477</v>
      </c>
      <c r="O10" s="11"/>
      <c r="P10" s="150" t="s">
        <v>300</v>
      </c>
    </row>
    <row r="11" spans="1:16" ht="20.100000000000001" customHeight="1">
      <c r="A11" s="322" t="s">
        <v>100</v>
      </c>
      <c r="B11" s="29" t="s">
        <v>72</v>
      </c>
      <c r="C11" s="29"/>
      <c r="D11" s="30"/>
      <c r="E11" s="30"/>
      <c r="F11" s="30"/>
      <c r="G11" s="30"/>
      <c r="H11" s="30"/>
      <c r="I11" s="30"/>
      <c r="J11" s="30"/>
      <c r="K11" s="174" t="s">
        <v>72</v>
      </c>
      <c r="L11" s="164" t="s">
        <v>485</v>
      </c>
      <c r="M11" s="246"/>
      <c r="N11" s="119" t="s">
        <v>478</v>
      </c>
      <c r="O11" s="11"/>
      <c r="P11" s="150" t="s">
        <v>300</v>
      </c>
    </row>
    <row r="12" spans="1:16" ht="20.100000000000001" customHeight="1">
      <c r="A12" s="322" t="s">
        <v>101</v>
      </c>
      <c r="B12" s="29" t="s">
        <v>72</v>
      </c>
      <c r="C12" s="29"/>
      <c r="D12" s="30"/>
      <c r="E12" s="30"/>
      <c r="F12" s="30"/>
      <c r="G12" s="166" t="s">
        <v>72</v>
      </c>
      <c r="H12" s="30"/>
      <c r="I12" s="30"/>
      <c r="J12" s="30"/>
      <c r="L12" s="164" t="s">
        <v>486</v>
      </c>
      <c r="M12" s="246" t="s">
        <v>145</v>
      </c>
      <c r="N12" s="119" t="s">
        <v>480</v>
      </c>
      <c r="O12" s="11"/>
      <c r="P12" s="150" t="s">
        <v>300</v>
      </c>
    </row>
    <row r="13" spans="1:16" ht="20.100000000000001" customHeight="1">
      <c r="A13" s="322" t="s">
        <v>101</v>
      </c>
      <c r="B13" s="29" t="s">
        <v>72</v>
      </c>
      <c r="C13" s="29"/>
      <c r="D13" s="30"/>
      <c r="E13" s="30"/>
      <c r="F13" s="30"/>
      <c r="G13" s="166" t="s">
        <v>72</v>
      </c>
      <c r="H13" s="30"/>
      <c r="I13" s="30"/>
      <c r="J13" s="30"/>
      <c r="L13" s="164" t="s">
        <v>487</v>
      </c>
      <c r="M13" s="246" t="s">
        <v>145</v>
      </c>
      <c r="N13" s="119" t="s">
        <v>479</v>
      </c>
      <c r="O13" s="11"/>
      <c r="P13" s="150" t="s">
        <v>300</v>
      </c>
    </row>
    <row r="14" spans="1:16" ht="20.100000000000001" customHeight="1">
      <c r="A14" s="322" t="s">
        <v>101</v>
      </c>
      <c r="B14" s="29" t="s">
        <v>72</v>
      </c>
      <c r="C14" s="29"/>
      <c r="D14" s="30"/>
      <c r="E14" s="30"/>
      <c r="F14" s="30"/>
      <c r="G14" s="166" t="s">
        <v>72</v>
      </c>
      <c r="H14" s="30"/>
      <c r="I14" s="30"/>
      <c r="J14" s="30"/>
      <c r="L14" s="164" t="s">
        <v>486</v>
      </c>
      <c r="M14" s="246" t="s">
        <v>145</v>
      </c>
      <c r="N14" s="119" t="s">
        <v>480</v>
      </c>
      <c r="O14" s="11"/>
      <c r="P14" s="150" t="s">
        <v>300</v>
      </c>
    </row>
    <row r="15" spans="1:16" ht="20.100000000000001" customHeight="1">
      <c r="A15" s="322" t="s">
        <v>101</v>
      </c>
      <c r="B15" s="29" t="s">
        <v>72</v>
      </c>
      <c r="C15" s="29"/>
      <c r="D15" s="30"/>
      <c r="E15" s="30"/>
      <c r="F15" s="30"/>
      <c r="G15" s="166" t="s">
        <v>72</v>
      </c>
      <c r="H15" s="30"/>
      <c r="I15" s="30"/>
      <c r="J15" s="30"/>
      <c r="L15" s="164" t="s">
        <v>488</v>
      </c>
      <c r="M15" s="246" t="s">
        <v>145</v>
      </c>
      <c r="N15" s="119" t="s">
        <v>481</v>
      </c>
      <c r="O15" s="11"/>
      <c r="P15" s="150" t="s">
        <v>300</v>
      </c>
    </row>
    <row r="16" spans="1:16" ht="20.100000000000001" customHeight="1">
      <c r="A16" s="322" t="s">
        <v>101</v>
      </c>
      <c r="B16" s="29" t="s">
        <v>72</v>
      </c>
      <c r="C16" s="29"/>
      <c r="D16" s="30"/>
      <c r="E16" s="30"/>
      <c r="F16" s="30"/>
      <c r="G16" s="166" t="s">
        <v>72</v>
      </c>
      <c r="H16" s="30"/>
      <c r="I16" s="30"/>
      <c r="J16" s="30"/>
      <c r="L16" s="164" t="s">
        <v>489</v>
      </c>
      <c r="M16" s="246" t="s">
        <v>145</v>
      </c>
      <c r="N16" s="119" t="s">
        <v>482</v>
      </c>
      <c r="O16" s="11"/>
      <c r="P16" s="150" t="s">
        <v>300</v>
      </c>
    </row>
    <row r="17" spans="1:16" ht="20.100000000000001" customHeight="1">
      <c r="A17" s="322" t="s">
        <v>101</v>
      </c>
      <c r="B17" s="29" t="s">
        <v>72</v>
      </c>
      <c r="C17" s="29"/>
      <c r="D17" s="30"/>
      <c r="E17" s="30"/>
      <c r="F17" s="30"/>
      <c r="G17" s="166" t="s">
        <v>72</v>
      </c>
      <c r="H17" s="30"/>
      <c r="I17" s="30"/>
      <c r="J17" s="30"/>
      <c r="L17" s="164" t="s">
        <v>490</v>
      </c>
      <c r="M17" s="246" t="s">
        <v>145</v>
      </c>
      <c r="N17" s="119" t="s">
        <v>483</v>
      </c>
      <c r="O17" s="11"/>
      <c r="P17" s="150" t="s">
        <v>300</v>
      </c>
    </row>
    <row r="18" spans="1:16" ht="20.100000000000001" customHeight="1">
      <c r="A18" s="322" t="s">
        <v>101</v>
      </c>
      <c r="B18" s="29" t="s">
        <v>72</v>
      </c>
      <c r="C18" s="29"/>
      <c r="D18" s="30"/>
      <c r="E18" s="30"/>
      <c r="F18" s="30"/>
      <c r="G18" s="30"/>
      <c r="H18" s="30"/>
      <c r="J18" s="166" t="s">
        <v>72</v>
      </c>
      <c r="L18" s="164" t="s">
        <v>497</v>
      </c>
      <c r="M18" s="246" t="s">
        <v>334</v>
      </c>
      <c r="N18" s="119" t="s">
        <v>494</v>
      </c>
      <c r="O18" s="251" t="s">
        <v>342</v>
      </c>
      <c r="P18" s="150" t="s">
        <v>300</v>
      </c>
    </row>
    <row r="19" spans="1:16" ht="20.100000000000001" customHeight="1">
      <c r="A19" s="322" t="s">
        <v>100</v>
      </c>
      <c r="B19" s="29" t="s">
        <v>72</v>
      </c>
      <c r="C19" s="29"/>
      <c r="D19" s="30"/>
      <c r="E19" s="30"/>
      <c r="F19" s="30"/>
      <c r="G19" s="30"/>
      <c r="H19" s="30"/>
      <c r="J19" s="166" t="s">
        <v>72</v>
      </c>
      <c r="L19" s="1"/>
      <c r="M19" s="246" t="s">
        <v>334</v>
      </c>
      <c r="N19" s="119" t="s">
        <v>491</v>
      </c>
      <c r="O19" s="251" t="s">
        <v>342</v>
      </c>
      <c r="P19" s="150" t="s">
        <v>300</v>
      </c>
    </row>
    <row r="20" spans="1:16" ht="20.100000000000001" customHeight="1">
      <c r="A20" s="322" t="s">
        <v>100</v>
      </c>
      <c r="B20" s="29" t="s">
        <v>72</v>
      </c>
      <c r="C20" s="29"/>
      <c r="D20" s="30"/>
      <c r="E20" s="30"/>
      <c r="F20" s="30"/>
      <c r="G20" s="30"/>
      <c r="H20" s="30"/>
      <c r="J20" s="166" t="s">
        <v>72</v>
      </c>
      <c r="L20" s="1"/>
      <c r="M20" s="246" t="s">
        <v>334</v>
      </c>
      <c r="N20" s="119" t="s">
        <v>492</v>
      </c>
      <c r="O20" s="251" t="s">
        <v>498</v>
      </c>
      <c r="P20" s="150" t="s">
        <v>300</v>
      </c>
    </row>
    <row r="21" spans="1:16" ht="20.100000000000001" customHeight="1">
      <c r="A21" s="322" t="s">
        <v>100</v>
      </c>
      <c r="B21" s="29" t="s">
        <v>72</v>
      </c>
      <c r="C21" s="29"/>
      <c r="D21" s="30"/>
      <c r="E21" s="30"/>
      <c r="F21" s="30"/>
      <c r="G21" s="30"/>
      <c r="H21" s="30"/>
      <c r="J21" s="166" t="s">
        <v>72</v>
      </c>
      <c r="L21" s="1"/>
      <c r="M21" s="246" t="s">
        <v>334</v>
      </c>
      <c r="N21" s="119" t="s">
        <v>495</v>
      </c>
      <c r="O21" s="251" t="s">
        <v>341</v>
      </c>
      <c r="P21" s="150" t="s">
        <v>300</v>
      </c>
    </row>
    <row r="22" spans="1:16" ht="20.100000000000001" customHeight="1">
      <c r="A22" s="322" t="s">
        <v>100</v>
      </c>
      <c r="B22" s="29" t="s">
        <v>72</v>
      </c>
      <c r="C22" s="29"/>
      <c r="D22" s="30"/>
      <c r="E22" s="30"/>
      <c r="F22" s="30"/>
      <c r="G22" s="30"/>
      <c r="H22" s="30"/>
      <c r="J22" s="166" t="s">
        <v>72</v>
      </c>
      <c r="L22" s="1"/>
      <c r="M22" s="246" t="s">
        <v>334</v>
      </c>
      <c r="N22" s="119" t="s">
        <v>496</v>
      </c>
      <c r="O22" s="251" t="s">
        <v>341</v>
      </c>
      <c r="P22" s="150" t="s">
        <v>300</v>
      </c>
    </row>
    <row r="23" spans="1:16" ht="20.100000000000001" customHeight="1">
      <c r="A23" s="322" t="s">
        <v>100</v>
      </c>
      <c r="B23" s="29" t="s">
        <v>72</v>
      </c>
      <c r="C23" s="29"/>
      <c r="D23" s="30"/>
      <c r="E23" s="30"/>
      <c r="F23" s="30"/>
      <c r="G23" s="30"/>
      <c r="H23" s="30"/>
      <c r="J23" s="166" t="s">
        <v>72</v>
      </c>
      <c r="L23" s="1"/>
      <c r="M23" s="246" t="s">
        <v>334</v>
      </c>
      <c r="N23" s="119" t="s">
        <v>500</v>
      </c>
      <c r="O23" s="251" t="s">
        <v>499</v>
      </c>
      <c r="P23" s="150" t="s">
        <v>300</v>
      </c>
    </row>
    <row r="24" spans="1:16" ht="20.100000000000001" customHeight="1">
      <c r="A24" s="322" t="s">
        <v>100</v>
      </c>
      <c r="B24" s="29" t="s">
        <v>72</v>
      </c>
      <c r="C24" s="29"/>
      <c r="D24" s="30"/>
      <c r="E24" s="30"/>
      <c r="F24" s="30"/>
      <c r="G24" s="30"/>
      <c r="H24" s="30"/>
      <c r="J24" s="166" t="s">
        <v>72</v>
      </c>
      <c r="L24" s="1"/>
      <c r="M24" s="246" t="s">
        <v>334</v>
      </c>
      <c r="N24" s="119" t="s">
        <v>493</v>
      </c>
      <c r="O24" s="251" t="s">
        <v>497</v>
      </c>
      <c r="P24" s="150" t="s">
        <v>300</v>
      </c>
    </row>
    <row r="25" spans="1:16" ht="20.100000000000001" customHeight="1">
      <c r="A25" s="322" t="s">
        <v>101</v>
      </c>
      <c r="B25" s="29" t="s">
        <v>72</v>
      </c>
      <c r="C25" s="29"/>
      <c r="D25" s="30"/>
      <c r="E25" s="30"/>
      <c r="F25" s="30"/>
      <c r="G25" s="30"/>
      <c r="H25" s="30"/>
      <c r="J25" s="166" t="s">
        <v>72</v>
      </c>
      <c r="L25" s="1" t="s">
        <v>503</v>
      </c>
      <c r="M25" s="246" t="s">
        <v>334</v>
      </c>
      <c r="N25" s="119" t="s">
        <v>501</v>
      </c>
      <c r="O25" s="251" t="s">
        <v>342</v>
      </c>
      <c r="P25" s="150" t="s">
        <v>300</v>
      </c>
    </row>
    <row r="26" spans="1:16" ht="20.100000000000001" customHeight="1">
      <c r="A26" s="322" t="s">
        <v>100</v>
      </c>
      <c r="B26" s="29" t="s">
        <v>72</v>
      </c>
      <c r="C26" s="29"/>
      <c r="D26" s="30"/>
      <c r="E26" s="30"/>
      <c r="F26" s="30"/>
      <c r="G26" s="30"/>
      <c r="H26" s="30"/>
      <c r="J26" s="166" t="s">
        <v>72</v>
      </c>
      <c r="L26" s="1"/>
      <c r="M26" s="246" t="s">
        <v>334</v>
      </c>
      <c r="N26" s="119" t="s">
        <v>502</v>
      </c>
      <c r="O26" s="251" t="s">
        <v>341</v>
      </c>
      <c r="P26" s="150" t="s">
        <v>300</v>
      </c>
    </row>
    <row r="27" spans="1:16" ht="20.100000000000001" customHeight="1">
      <c r="A27" s="322" t="s">
        <v>101</v>
      </c>
      <c r="B27" s="29" t="s">
        <v>72</v>
      </c>
      <c r="C27" s="29"/>
      <c r="D27" s="30"/>
      <c r="E27" s="30"/>
      <c r="F27" s="30"/>
      <c r="G27" s="30"/>
      <c r="H27" s="30"/>
      <c r="J27" s="166" t="s">
        <v>72</v>
      </c>
      <c r="L27" s="278" t="s">
        <v>759</v>
      </c>
      <c r="M27" s="278" t="s">
        <v>334</v>
      </c>
      <c r="N27" s="119" t="s">
        <v>762</v>
      </c>
      <c r="O27" s="251"/>
      <c r="P27" s="150" t="s">
        <v>300</v>
      </c>
    </row>
    <row r="28" spans="1:16" ht="20.100000000000001" customHeight="1">
      <c r="A28" s="322" t="s">
        <v>100</v>
      </c>
      <c r="B28" s="29" t="s">
        <v>72</v>
      </c>
      <c r="C28" s="29"/>
      <c r="D28" s="30"/>
      <c r="E28" s="30"/>
      <c r="F28" s="30"/>
      <c r="G28" s="30"/>
      <c r="H28" s="30"/>
      <c r="J28" s="166" t="s">
        <v>72</v>
      </c>
      <c r="L28" s="1"/>
      <c r="M28" s="246"/>
      <c r="N28" s="119" t="s">
        <v>758</v>
      </c>
      <c r="O28" s="279" t="s">
        <v>9</v>
      </c>
      <c r="P28" s="149"/>
    </row>
    <row r="29" spans="1:16" ht="20.100000000000001" customHeight="1">
      <c r="A29" s="322" t="s">
        <v>101</v>
      </c>
      <c r="B29" s="29" t="s">
        <v>72</v>
      </c>
      <c r="C29" s="29"/>
      <c r="D29" s="30"/>
      <c r="E29" s="30"/>
      <c r="F29" s="30"/>
      <c r="G29" s="30"/>
      <c r="H29" s="30"/>
      <c r="J29" s="166" t="s">
        <v>72</v>
      </c>
      <c r="L29" s="278" t="s">
        <v>760</v>
      </c>
      <c r="M29" s="278" t="s">
        <v>761</v>
      </c>
      <c r="N29" s="119" t="s">
        <v>758</v>
      </c>
      <c r="O29" s="251"/>
      <c r="P29" s="149"/>
    </row>
    <row r="30" spans="1:16" ht="20.100000000000001" customHeight="1">
      <c r="A30" s="322" t="s">
        <v>101</v>
      </c>
      <c r="B30" s="29" t="s">
        <v>72</v>
      </c>
      <c r="C30" s="29"/>
      <c r="D30" s="30"/>
      <c r="E30" s="30"/>
      <c r="F30" s="30"/>
      <c r="G30" s="30"/>
      <c r="H30" s="30"/>
      <c r="J30" s="166"/>
      <c r="K30" s="166" t="s">
        <v>72</v>
      </c>
      <c r="L30" s="1" t="s">
        <v>507</v>
      </c>
      <c r="M30" s="246" t="s">
        <v>508</v>
      </c>
      <c r="N30" s="119" t="s">
        <v>504</v>
      </c>
      <c r="O30" s="251"/>
      <c r="P30" s="150" t="s">
        <v>300</v>
      </c>
    </row>
    <row r="31" spans="1:16" ht="20.100000000000001" customHeight="1">
      <c r="A31" s="322" t="s">
        <v>100</v>
      </c>
      <c r="B31" s="29" t="s">
        <v>72</v>
      </c>
      <c r="C31" s="29"/>
      <c r="D31" s="30"/>
      <c r="E31" s="30"/>
      <c r="F31" s="30"/>
      <c r="G31" s="30"/>
      <c r="H31" s="30"/>
      <c r="J31" s="166"/>
      <c r="K31" s="166" t="s">
        <v>72</v>
      </c>
      <c r="L31" s="1"/>
      <c r="M31" s="246"/>
      <c r="N31" s="119" t="s">
        <v>505</v>
      </c>
      <c r="O31" s="251"/>
      <c r="P31" s="150" t="s">
        <v>300</v>
      </c>
    </row>
    <row r="32" spans="1:16" ht="20.100000000000001" customHeight="1">
      <c r="A32" s="322" t="s">
        <v>100</v>
      </c>
      <c r="B32" s="29" t="s">
        <v>72</v>
      </c>
      <c r="C32" s="29"/>
      <c r="D32" s="30"/>
      <c r="E32" s="30"/>
      <c r="F32" s="30"/>
      <c r="G32" s="30"/>
      <c r="H32" s="30"/>
      <c r="J32" s="166"/>
      <c r="K32" s="174" t="s">
        <v>72</v>
      </c>
      <c r="L32" s="1"/>
      <c r="M32" s="246"/>
      <c r="N32" s="119" t="s">
        <v>506</v>
      </c>
      <c r="O32" s="251"/>
      <c r="P32" s="150" t="s">
        <v>300</v>
      </c>
    </row>
    <row r="33" spans="1:16" ht="20.100000000000001" customHeight="1">
      <c r="A33" s="322" t="s">
        <v>101</v>
      </c>
      <c r="B33" s="29" t="s">
        <v>72</v>
      </c>
      <c r="C33" s="29"/>
      <c r="D33" s="30"/>
      <c r="E33" s="30"/>
      <c r="F33" s="30"/>
      <c r="G33" s="30"/>
      <c r="H33" s="30"/>
      <c r="J33" s="214" t="s">
        <v>72</v>
      </c>
      <c r="K33" s="166" t="s">
        <v>72</v>
      </c>
      <c r="L33" s="213" t="s">
        <v>644</v>
      </c>
      <c r="M33" s="246" t="s">
        <v>642</v>
      </c>
      <c r="N33" s="119" t="s">
        <v>640</v>
      </c>
      <c r="O33" s="251"/>
      <c r="P33" s="150" t="s">
        <v>300</v>
      </c>
    </row>
    <row r="34" spans="1:16" ht="20.100000000000001" customHeight="1">
      <c r="A34" s="322" t="s">
        <v>101</v>
      </c>
      <c r="B34" s="29" t="s">
        <v>72</v>
      </c>
      <c r="C34" s="29"/>
      <c r="D34" s="30"/>
      <c r="E34" s="30"/>
      <c r="F34" s="30"/>
      <c r="G34" s="30"/>
      <c r="H34" s="30"/>
      <c r="J34" s="214" t="s">
        <v>72</v>
      </c>
      <c r="K34" s="166" t="s">
        <v>72</v>
      </c>
      <c r="L34" s="213" t="s">
        <v>645</v>
      </c>
      <c r="M34" s="246" t="s">
        <v>643</v>
      </c>
      <c r="N34" s="119" t="s">
        <v>641</v>
      </c>
      <c r="O34" s="251"/>
      <c r="P34" s="150" t="s">
        <v>300</v>
      </c>
    </row>
    <row r="35" spans="1:16" ht="20.100000000000001" customHeight="1">
      <c r="A35" s="322" t="s">
        <v>101</v>
      </c>
      <c r="B35" s="248" t="s">
        <v>72</v>
      </c>
      <c r="C35" s="29"/>
      <c r="D35" s="30"/>
      <c r="E35" s="30"/>
      <c r="F35" s="30"/>
      <c r="G35" s="30"/>
      <c r="H35" s="30"/>
      <c r="J35" s="249" t="s">
        <v>72</v>
      </c>
      <c r="L35" s="246" t="s">
        <v>695</v>
      </c>
      <c r="M35" s="246" t="s">
        <v>395</v>
      </c>
      <c r="N35" s="119" t="s">
        <v>692</v>
      </c>
      <c r="O35" s="252" t="s">
        <v>694</v>
      </c>
      <c r="P35" s="150" t="s">
        <v>300</v>
      </c>
    </row>
    <row r="36" spans="1:16" ht="20.100000000000001" customHeight="1">
      <c r="A36" s="322" t="s">
        <v>100</v>
      </c>
      <c r="B36" s="248" t="s">
        <v>72</v>
      </c>
      <c r="C36" s="29"/>
      <c r="D36" s="30"/>
      <c r="E36" s="30"/>
      <c r="F36" s="30"/>
      <c r="G36" s="30"/>
      <c r="H36" s="30"/>
      <c r="J36" s="249" t="s">
        <v>72</v>
      </c>
      <c r="L36" s="1"/>
      <c r="N36" s="119" t="s">
        <v>693</v>
      </c>
      <c r="O36" s="251"/>
      <c r="P36" s="150" t="s">
        <v>300</v>
      </c>
    </row>
    <row r="37" spans="1:16" ht="20.100000000000001" customHeight="1">
      <c r="A37" s="322" t="s">
        <v>102</v>
      </c>
      <c r="B37" s="248" t="s">
        <v>72</v>
      </c>
      <c r="C37" s="29"/>
      <c r="D37" s="30"/>
      <c r="E37" s="30"/>
      <c r="F37" s="30"/>
      <c r="G37" s="30"/>
      <c r="H37" s="30"/>
      <c r="J37" s="166"/>
      <c r="L37" s="1"/>
      <c r="N37" s="119" t="s">
        <v>726</v>
      </c>
      <c r="O37" s="251"/>
      <c r="P37" s="149"/>
    </row>
    <row r="38" spans="1:16" ht="20.100000000000001" customHeight="1">
      <c r="A38" s="322" t="s">
        <v>102</v>
      </c>
      <c r="B38" s="248" t="s">
        <v>72</v>
      </c>
      <c r="C38" s="29"/>
      <c r="D38" s="30"/>
      <c r="E38" s="30"/>
      <c r="F38" s="30"/>
      <c r="G38" s="30"/>
      <c r="H38" s="30"/>
      <c r="J38" s="166"/>
      <c r="L38" s="1"/>
      <c r="O38" s="251"/>
      <c r="P38" s="149"/>
    </row>
    <row r="39" spans="1:16" ht="20.100000000000001" customHeight="1">
      <c r="A39" s="322" t="s">
        <v>102</v>
      </c>
      <c r="B39" s="248" t="s">
        <v>72</v>
      </c>
      <c r="C39" s="29"/>
      <c r="D39" s="30"/>
      <c r="E39" s="30"/>
      <c r="F39" s="30"/>
      <c r="G39" s="30"/>
      <c r="H39" s="30"/>
      <c r="J39" s="166"/>
      <c r="L39" s="1"/>
      <c r="N39" s="119"/>
      <c r="O39" s="251"/>
      <c r="P39" s="149"/>
    </row>
    <row r="40" spans="1:16" ht="20.100000000000001" customHeight="1">
      <c r="A40" s="322" t="s">
        <v>102</v>
      </c>
      <c r="B40" s="248" t="s">
        <v>72</v>
      </c>
      <c r="C40" s="29"/>
      <c r="D40" s="30"/>
      <c r="E40" s="30"/>
      <c r="F40" s="30"/>
      <c r="G40" s="30"/>
      <c r="H40" s="30"/>
      <c r="J40" s="166"/>
      <c r="L40" s="1"/>
      <c r="N40" s="119"/>
      <c r="O40" s="251"/>
      <c r="P40" s="149"/>
    </row>
    <row r="41" spans="1:16" ht="20.100000000000001" customHeight="1">
      <c r="A41" s="322" t="s">
        <v>102</v>
      </c>
      <c r="B41" s="248" t="s">
        <v>72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6" ht="20.100000000000001" customHeight="1">
      <c r="A42" s="322" t="s">
        <v>102</v>
      </c>
      <c r="B42" s="248" t="s">
        <v>72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6" ht="20.100000000000001" customHeight="1">
      <c r="A43" s="322" t="s">
        <v>102</v>
      </c>
      <c r="B43" s="248" t="s">
        <v>72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6" ht="20.100000000000001" customHeight="1">
      <c r="A44" s="322" t="s">
        <v>102</v>
      </c>
      <c r="B44" s="248" t="s">
        <v>72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6" ht="20.100000000000001" customHeight="1">
      <c r="A45" s="322" t="s">
        <v>102</v>
      </c>
      <c r="B45" s="248" t="s">
        <v>72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6" ht="20.100000000000001" customHeight="1">
      <c r="A46" s="322" t="s">
        <v>102</v>
      </c>
      <c r="B46" s="248" t="s">
        <v>72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6" ht="20.100000000000001" customHeight="1">
      <c r="A47" s="322" t="s">
        <v>102</v>
      </c>
      <c r="B47" s="248" t="s">
        <v>72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6" ht="20.100000000000001" customHeight="1">
      <c r="A48" s="322" t="s">
        <v>102</v>
      </c>
      <c r="B48" s="248" t="s">
        <v>72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22" t="s">
        <v>102</v>
      </c>
      <c r="B49" s="248" t="s">
        <v>72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22" t="s">
        <v>102</v>
      </c>
      <c r="B50" s="248" t="s">
        <v>72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22" t="s">
        <v>102</v>
      </c>
      <c r="B51" s="248" t="s">
        <v>72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22" t="s">
        <v>102</v>
      </c>
      <c r="B52" s="248" t="s">
        <v>72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22" t="s">
        <v>102</v>
      </c>
      <c r="B53" s="248" t="s">
        <v>72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22" t="s">
        <v>102</v>
      </c>
      <c r="B54" s="248" t="s">
        <v>72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22" t="s">
        <v>102</v>
      </c>
      <c r="B55" s="248" t="s">
        <v>72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22" t="s">
        <v>102</v>
      </c>
      <c r="B56" s="248" t="s">
        <v>72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22" t="s">
        <v>102</v>
      </c>
      <c r="B57" s="248" t="s">
        <v>72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22" t="s">
        <v>102</v>
      </c>
      <c r="B58" s="248" t="s">
        <v>72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22" t="s">
        <v>102</v>
      </c>
      <c r="B59" s="248" t="s">
        <v>72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22" t="s">
        <v>102</v>
      </c>
      <c r="B60" s="248" t="s">
        <v>72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22" t="s">
        <v>102</v>
      </c>
      <c r="B61" s="248" t="s">
        <v>72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22" t="s">
        <v>102</v>
      </c>
      <c r="B62" s="248" t="s">
        <v>72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22" t="s">
        <v>102</v>
      </c>
      <c r="B63" s="248" t="s">
        <v>72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22" t="s">
        <v>102</v>
      </c>
      <c r="B64" s="248" t="s">
        <v>72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22" t="s">
        <v>102</v>
      </c>
      <c r="B65" s="248" t="s">
        <v>72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22" t="s">
        <v>102</v>
      </c>
      <c r="B66" s="248" t="s">
        <v>72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22" t="s">
        <v>102</v>
      </c>
      <c r="B67" s="248" t="s">
        <v>72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22" t="s">
        <v>102</v>
      </c>
      <c r="B68" s="248" t="s">
        <v>72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22" t="s">
        <v>102</v>
      </c>
      <c r="B69" s="248" t="s">
        <v>72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22" t="s">
        <v>102</v>
      </c>
      <c r="B70" s="248" t="s">
        <v>72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22" t="s">
        <v>102</v>
      </c>
      <c r="B71" s="248" t="s">
        <v>72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22" t="s">
        <v>102</v>
      </c>
      <c r="B72" s="248" t="s">
        <v>72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22" t="s">
        <v>102</v>
      </c>
      <c r="B73" s="248" t="s">
        <v>72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22" t="s">
        <v>102</v>
      </c>
      <c r="B74" s="248" t="s">
        <v>72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22" t="s">
        <v>102</v>
      </c>
      <c r="B75" s="248" t="s">
        <v>72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22" t="s">
        <v>102</v>
      </c>
      <c r="B76" s="248" t="s">
        <v>72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22" t="s">
        <v>102</v>
      </c>
      <c r="B77" s="248" t="s">
        <v>72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22" t="s">
        <v>102</v>
      </c>
      <c r="B78" s="248" t="s">
        <v>72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22" t="s">
        <v>102</v>
      </c>
      <c r="B79" s="248" t="s">
        <v>72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22" t="s">
        <v>102</v>
      </c>
      <c r="B80" s="248" t="s">
        <v>72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22" t="s">
        <v>102</v>
      </c>
      <c r="B81" s="248" t="s">
        <v>72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22" t="s">
        <v>102</v>
      </c>
      <c r="B82" s="248" t="s">
        <v>72</v>
      </c>
      <c r="P82" s="149"/>
    </row>
    <row r="83" spans="1:16">
      <c r="A83" s="322" t="s">
        <v>102</v>
      </c>
      <c r="B83" s="248" t="s">
        <v>72</v>
      </c>
      <c r="P83" s="149"/>
    </row>
    <row r="84" spans="1:16">
      <c r="A84" s="322" t="s">
        <v>102</v>
      </c>
      <c r="B84" s="248" t="s">
        <v>72</v>
      </c>
      <c r="P84" s="149"/>
    </row>
    <row r="85" spans="1:16">
      <c r="A85" s="322" t="s">
        <v>102</v>
      </c>
      <c r="B85" s="248" t="s">
        <v>72</v>
      </c>
      <c r="P85" s="149"/>
    </row>
    <row r="86" spans="1:16">
      <c r="A86" s="322" t="s">
        <v>102</v>
      </c>
      <c r="B86" s="248" t="s">
        <v>72</v>
      </c>
      <c r="P86" s="149"/>
    </row>
    <row r="87" spans="1:16">
      <c r="A87" s="322" t="s">
        <v>102</v>
      </c>
      <c r="B87" s="248" t="s">
        <v>72</v>
      </c>
      <c r="P87" s="149"/>
    </row>
    <row r="88" spans="1:16">
      <c r="A88" s="322" t="s">
        <v>102</v>
      </c>
      <c r="B88" s="248" t="s">
        <v>72</v>
      </c>
      <c r="P88" s="149"/>
    </row>
    <row r="89" spans="1:16">
      <c r="A89" s="322" t="s">
        <v>102</v>
      </c>
      <c r="B89" s="248" t="s">
        <v>72</v>
      </c>
      <c r="P89" s="149"/>
    </row>
    <row r="90" spans="1:16">
      <c r="A90" s="322" t="s">
        <v>102</v>
      </c>
      <c r="B90" s="248" t="s">
        <v>72</v>
      </c>
      <c r="P90" s="149"/>
    </row>
    <row r="91" spans="1:16">
      <c r="A91" s="322" t="s">
        <v>102</v>
      </c>
      <c r="B91" s="248" t="s">
        <v>72</v>
      </c>
      <c r="P91" s="149"/>
    </row>
    <row r="92" spans="1:16">
      <c r="A92" s="322" t="s">
        <v>102</v>
      </c>
      <c r="B92" s="248" t="s">
        <v>72</v>
      </c>
      <c r="P92" s="149"/>
    </row>
    <row r="93" spans="1:16">
      <c r="A93" s="322" t="s">
        <v>102</v>
      </c>
      <c r="B93" s="248" t="s">
        <v>72</v>
      </c>
      <c r="P93" s="149"/>
    </row>
    <row r="94" spans="1:16">
      <c r="A94" s="322" t="s">
        <v>102</v>
      </c>
      <c r="B94" s="248" t="s">
        <v>72</v>
      </c>
      <c r="P94" s="149"/>
    </row>
    <row r="95" spans="1:16">
      <c r="A95" s="322" t="s">
        <v>102</v>
      </c>
      <c r="B95" s="248" t="s">
        <v>72</v>
      </c>
      <c r="P95" s="149"/>
    </row>
    <row r="96" spans="1:16">
      <c r="A96" s="322" t="s">
        <v>102</v>
      </c>
      <c r="B96" s="248" t="s">
        <v>72</v>
      </c>
      <c r="P96" s="149"/>
    </row>
    <row r="97" spans="1:16">
      <c r="A97" s="322" t="s">
        <v>102</v>
      </c>
      <c r="B97" s="248" t="s">
        <v>72</v>
      </c>
      <c r="P97" s="149"/>
    </row>
    <row r="98" spans="1:16">
      <c r="A98" s="322" t="s">
        <v>102</v>
      </c>
      <c r="B98" s="248" t="s">
        <v>72</v>
      </c>
      <c r="P98" s="149"/>
    </row>
    <row r="99" spans="1:16">
      <c r="A99" s="322" t="s">
        <v>102</v>
      </c>
      <c r="B99" s="248" t="s">
        <v>72</v>
      </c>
      <c r="P99" s="149"/>
    </row>
    <row r="100" spans="1:16">
      <c r="A100" s="322" t="s">
        <v>102</v>
      </c>
      <c r="B100" s="248" t="s">
        <v>72</v>
      </c>
      <c r="P100" s="149"/>
    </row>
    <row r="101" spans="1:16">
      <c r="A101" s="322" t="s">
        <v>102</v>
      </c>
      <c r="B101" s="248" t="s">
        <v>72</v>
      </c>
      <c r="P101" s="149"/>
    </row>
    <row r="102" spans="1:16">
      <c r="A102" s="322" t="s">
        <v>102</v>
      </c>
      <c r="B102" s="248" t="s">
        <v>72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F7688EDE-7E2B-4FC0-B447-989154F218F9}"/>
    <hyperlink ref="N9" r:id="rId7" xr:uid="{4BC59ACA-CF4A-46BE-A3FE-1F24AA4B0E5B}"/>
    <hyperlink ref="N10" r:id="rId8" xr:uid="{7A57207D-6581-4FF6-A3AC-E610ECF22049}"/>
    <hyperlink ref="N11" r:id="rId9" xr:uid="{C2C041EA-89CA-4DE8-BDCF-D69C4F476EB0}"/>
    <hyperlink ref="N12" r:id="rId10" xr:uid="{D3703633-5708-44CD-9047-4404BEE69DA3}"/>
    <hyperlink ref="N13" r:id="rId11" xr:uid="{555C7C98-88E4-4EAC-9C4B-028485D2FC9D}"/>
    <hyperlink ref="N14" r:id="rId12" xr:uid="{941AFD53-05BE-41FF-8DC7-869A89CC26F0}"/>
    <hyperlink ref="N15" r:id="rId13" xr:uid="{1553B0EB-870D-4FFB-A85A-74369B8E6B94}"/>
    <hyperlink ref="N16" r:id="rId14" xr:uid="{19C56859-A0DD-4DA8-A438-81BE5D07C66A}"/>
    <hyperlink ref="N17" r:id="rId15" xr:uid="{38E3041B-5486-41AB-B44A-741BE14A252F}"/>
    <hyperlink ref="N18" r:id="rId16" xr:uid="{2F5B505C-EF8B-4081-95CC-4C5E681DC091}"/>
    <hyperlink ref="N19" r:id="rId17" xr:uid="{F945CD84-7B81-4FD8-AA93-66F9500113DC}"/>
    <hyperlink ref="N20" r:id="rId18" xr:uid="{7B37C938-3183-487D-A7B6-6CE11B56446D}"/>
    <hyperlink ref="N21" r:id="rId19" xr:uid="{4E9B0E42-6ABB-42AC-964B-DB42C1B47B3B}"/>
    <hyperlink ref="N22" r:id="rId20" xr:uid="{61C766F4-4F41-494B-A108-E6AE1AF9C82E}"/>
    <hyperlink ref="N23" r:id="rId21" xr:uid="{12A84E7A-C41B-4439-99F0-8DD65B1F1333}"/>
    <hyperlink ref="N24" r:id="rId22" xr:uid="{A3141EAC-67DF-4437-8E2D-BB6F7D202517}"/>
    <hyperlink ref="N25" r:id="rId23" xr:uid="{DCEEC8B2-AD29-43FA-929C-D82A1105AC7E}"/>
    <hyperlink ref="N26" r:id="rId24" xr:uid="{817A1246-38D6-4AA9-9A7B-E7DA23834952}"/>
    <hyperlink ref="N27" r:id="rId25" xr:uid="{F671CC79-00BD-4898-A934-F6C702053063}"/>
    <hyperlink ref="N30" r:id="rId26" xr:uid="{6C5E7ED6-60D5-460F-94C9-48439A2392E8}"/>
    <hyperlink ref="N31" r:id="rId27" xr:uid="{975AAF46-31E2-47E6-A5CA-19C9EC5DF9BB}"/>
    <hyperlink ref="N32" r:id="rId28" xr:uid="{1F04F381-E28D-454B-AA3B-6D0DD4134F0D}"/>
    <hyperlink ref="N33" r:id="rId29" xr:uid="{DE82E8C8-B223-4DDF-8640-869671CD53D0}"/>
    <hyperlink ref="N34" r:id="rId30" xr:uid="{0E071FA2-7030-487F-A4E1-5CD99A322B02}"/>
    <hyperlink ref="N35" r:id="rId31" xr:uid="{4AC3AB9E-D61F-4246-9BEC-A2E86385D64C}"/>
    <hyperlink ref="N36" r:id="rId32" xr:uid="{138687D4-D594-40BA-B79E-C2E9521217F5}"/>
  </hyperlinks>
  <pageMargins left="0.7" right="0.7" top="0.78740157499999996" bottom="0.78740157499999996" header="0.3" footer="0.3"/>
  <pageSetup paperSize="9" orientation="portrait" r:id="rId3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H12" sqref="H12"/>
      <selection pane="bottomLeft" activeCell="Q5" sqref="Q5"/>
    </sheetView>
  </sheetViews>
  <sheetFormatPr baseColWidth="10" defaultColWidth="11.5546875" defaultRowHeight="15.6"/>
  <cols>
    <col min="1" max="1" width="8.33203125" style="325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105" t="s">
        <v>14</v>
      </c>
      <c r="O1" s="23" t="s">
        <v>97</v>
      </c>
    </row>
    <row r="2" spans="1:19" s="2" customFormat="1" ht="25.2" customHeight="1">
      <c r="A2" s="322" t="s">
        <v>103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22" t="s">
        <v>101</v>
      </c>
      <c r="B3" s="29" t="s">
        <v>72</v>
      </c>
      <c r="C3" s="29"/>
      <c r="D3" s="30"/>
      <c r="E3" s="30"/>
      <c r="F3" s="30" t="s">
        <v>138</v>
      </c>
      <c r="G3" s="30"/>
      <c r="H3" s="30"/>
      <c r="I3" s="30"/>
      <c r="J3" s="30"/>
      <c r="L3" s="1" t="s">
        <v>39</v>
      </c>
      <c r="M3" s="4" t="s">
        <v>139</v>
      </c>
      <c r="N3" s="119" t="s">
        <v>169</v>
      </c>
      <c r="O3" s="11" t="s">
        <v>98</v>
      </c>
      <c r="P3" s="144" t="s">
        <v>300</v>
      </c>
    </row>
    <row r="4" spans="1:19" s="2" customFormat="1" ht="25.2" customHeight="1">
      <c r="A4" s="322" t="s">
        <v>101</v>
      </c>
      <c r="B4" s="29" t="s">
        <v>72</v>
      </c>
      <c r="C4" s="29"/>
      <c r="D4" s="30"/>
      <c r="E4" s="30"/>
      <c r="F4" s="30"/>
      <c r="G4" s="30"/>
      <c r="H4" s="30" t="s">
        <v>72</v>
      </c>
      <c r="I4" s="30"/>
      <c r="J4" s="30"/>
      <c r="L4" s="1" t="s">
        <v>203</v>
      </c>
      <c r="M4" s="4"/>
      <c r="N4" s="119" t="s">
        <v>304</v>
      </c>
      <c r="O4" s="11"/>
      <c r="P4" s="145" t="s">
        <v>300</v>
      </c>
    </row>
    <row r="5" spans="1:19" s="2" customFormat="1" ht="25.2" customHeight="1">
      <c r="A5" s="322" t="s">
        <v>101</v>
      </c>
      <c r="B5" s="29" t="s">
        <v>72</v>
      </c>
      <c r="C5" s="29"/>
      <c r="D5" s="30"/>
      <c r="E5" s="30"/>
      <c r="F5" s="30"/>
      <c r="G5" s="30"/>
      <c r="H5" s="30" t="s">
        <v>72</v>
      </c>
      <c r="I5" s="30"/>
      <c r="J5" s="30"/>
      <c r="L5" s="1" t="s">
        <v>204</v>
      </c>
      <c r="M5" s="4"/>
      <c r="N5" s="119" t="s">
        <v>305</v>
      </c>
      <c r="O5" s="11"/>
      <c r="P5" s="145" t="s">
        <v>300</v>
      </c>
      <c r="Q5" s="2" t="s">
        <v>789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 t="s">
        <v>72</v>
      </c>
      <c r="I6" s="30"/>
      <c r="J6" s="30"/>
      <c r="L6" s="1" t="s">
        <v>206</v>
      </c>
      <c r="M6" s="4"/>
      <c r="N6" s="119" t="s">
        <v>307</v>
      </c>
      <c r="O6" s="11"/>
      <c r="P6" s="145" t="s">
        <v>300</v>
      </c>
    </row>
    <row r="7" spans="1:19" s="2" customFormat="1" ht="25.2" customHeight="1">
      <c r="A7" s="322" t="s">
        <v>100</v>
      </c>
      <c r="B7" s="29" t="s">
        <v>72</v>
      </c>
      <c r="C7" s="29"/>
      <c r="D7" s="30"/>
      <c r="E7" s="30"/>
      <c r="F7" s="30"/>
      <c r="G7" s="30"/>
      <c r="H7" s="30" t="s">
        <v>72</v>
      </c>
      <c r="I7" s="30"/>
      <c r="J7" s="30"/>
      <c r="L7" s="1" t="s">
        <v>205</v>
      </c>
      <c r="N7" s="119" t="s">
        <v>306</v>
      </c>
      <c r="O7" s="11"/>
      <c r="P7" s="145" t="s">
        <v>300</v>
      </c>
    </row>
    <row r="8" spans="1:19" s="2" customFormat="1" ht="25.2" customHeight="1">
      <c r="A8" s="322" t="s">
        <v>101</v>
      </c>
      <c r="B8" s="29" t="s">
        <v>72</v>
      </c>
      <c r="C8" s="29"/>
      <c r="D8" s="30"/>
      <c r="E8" s="30"/>
      <c r="F8" s="30"/>
      <c r="G8" s="30"/>
      <c r="H8" s="30" t="s">
        <v>72</v>
      </c>
      <c r="I8" s="30"/>
      <c r="J8" s="30"/>
      <c r="L8" s="1" t="s">
        <v>207</v>
      </c>
      <c r="M8" s="4"/>
      <c r="N8" s="119" t="s">
        <v>308</v>
      </c>
      <c r="O8" s="11"/>
      <c r="P8" s="145" t="s">
        <v>300</v>
      </c>
    </row>
    <row r="9" spans="1:19" s="2" customFormat="1" ht="25.2" customHeight="1">
      <c r="A9" s="322" t="s">
        <v>101</v>
      </c>
      <c r="B9" s="29" t="s">
        <v>72</v>
      </c>
      <c r="C9" s="29"/>
      <c r="D9" s="30"/>
      <c r="E9" s="30"/>
      <c r="F9" s="30"/>
      <c r="G9" s="30"/>
      <c r="H9" s="30" t="s">
        <v>72</v>
      </c>
      <c r="I9" s="30"/>
      <c r="J9" s="30"/>
      <c r="L9" s="1" t="s">
        <v>208</v>
      </c>
      <c r="M9" s="4"/>
      <c r="N9" s="119" t="s">
        <v>309</v>
      </c>
      <c r="O9" s="11"/>
      <c r="P9" s="145" t="s">
        <v>300</v>
      </c>
    </row>
    <row r="10" spans="1:19" s="2" customFormat="1" ht="25.2" customHeight="1">
      <c r="A10" s="322" t="s">
        <v>101</v>
      </c>
      <c r="B10" s="29" t="s">
        <v>72</v>
      </c>
      <c r="C10" s="29"/>
      <c r="D10" s="30"/>
      <c r="E10" s="30"/>
      <c r="F10" s="30"/>
      <c r="G10" s="30"/>
      <c r="H10" s="30"/>
      <c r="I10" s="29" t="s">
        <v>72</v>
      </c>
      <c r="J10" s="30"/>
      <c r="L10" s="96" t="s">
        <v>242</v>
      </c>
      <c r="M10" s="4"/>
      <c r="N10" s="119" t="s">
        <v>310</v>
      </c>
      <c r="P10" s="145" t="s">
        <v>300</v>
      </c>
    </row>
    <row r="11" spans="1:19" s="2" customFormat="1" ht="25.2" customHeight="1">
      <c r="A11" s="322" t="s">
        <v>100</v>
      </c>
      <c r="B11" s="29" t="s">
        <v>72</v>
      </c>
      <c r="C11" s="29"/>
      <c r="D11" s="30"/>
      <c r="E11" s="30"/>
      <c r="F11" s="30"/>
      <c r="G11" s="30"/>
      <c r="H11" s="30"/>
      <c r="I11" s="29" t="s">
        <v>72</v>
      </c>
      <c r="J11" s="30"/>
      <c r="L11" s="1"/>
      <c r="M11" s="4"/>
      <c r="N11" s="119" t="s">
        <v>311</v>
      </c>
      <c r="O11" s="98" t="s">
        <v>243</v>
      </c>
      <c r="P11" s="145" t="s">
        <v>300</v>
      </c>
    </row>
    <row r="12" spans="1:19" s="2" customFormat="1" ht="25.2" customHeight="1">
      <c r="A12" s="322" t="s">
        <v>100</v>
      </c>
      <c r="B12" s="29" t="s">
        <v>72</v>
      </c>
      <c r="C12" s="29"/>
      <c r="D12" s="30"/>
      <c r="E12" s="30"/>
      <c r="F12" s="30"/>
      <c r="G12" s="30"/>
      <c r="H12" s="30"/>
      <c r="I12" s="29" t="s">
        <v>72</v>
      </c>
      <c r="J12" s="30"/>
      <c r="L12" s="1"/>
      <c r="M12" s="4"/>
      <c r="N12" s="119" t="s">
        <v>312</v>
      </c>
      <c r="O12" s="11" t="s">
        <v>244</v>
      </c>
      <c r="P12" s="145" t="s">
        <v>300</v>
      </c>
    </row>
    <row r="13" spans="1:19" s="2" customFormat="1" ht="25.2" customHeight="1">
      <c r="A13" s="322" t="s">
        <v>101</v>
      </c>
      <c r="B13" s="29" t="s">
        <v>72</v>
      </c>
      <c r="C13" s="29"/>
      <c r="D13" s="30"/>
      <c r="E13" s="30"/>
      <c r="F13" s="30"/>
      <c r="G13" s="30"/>
      <c r="H13" s="30"/>
      <c r="I13" s="29" t="s">
        <v>72</v>
      </c>
      <c r="J13" s="30"/>
      <c r="L13" s="96" t="s">
        <v>262</v>
      </c>
      <c r="M13" s="4"/>
      <c r="N13" s="119" t="s">
        <v>313</v>
      </c>
      <c r="O13" s="11"/>
      <c r="P13" s="145" t="s">
        <v>300</v>
      </c>
    </row>
    <row r="14" spans="1:19" s="2" customFormat="1" ht="25.2" customHeight="1">
      <c r="A14" s="322" t="s">
        <v>100</v>
      </c>
      <c r="B14" s="97" t="s">
        <v>72</v>
      </c>
      <c r="C14" s="29"/>
      <c r="D14" s="30"/>
      <c r="E14" s="30"/>
      <c r="F14" s="30"/>
      <c r="G14" s="30"/>
      <c r="H14" s="30"/>
      <c r="I14" s="29" t="s">
        <v>72</v>
      </c>
      <c r="J14" s="30"/>
      <c r="M14" s="4"/>
      <c r="N14" s="119" t="s">
        <v>314</v>
      </c>
      <c r="O14" s="96" t="s">
        <v>263</v>
      </c>
      <c r="P14" s="145" t="s">
        <v>300</v>
      </c>
    </row>
    <row r="15" spans="1:19" s="2" customFormat="1" ht="25.2" customHeight="1">
      <c r="A15" s="322" t="s">
        <v>101</v>
      </c>
      <c r="B15" s="210" t="s">
        <v>72</v>
      </c>
      <c r="C15" s="29"/>
      <c r="D15" s="30"/>
      <c r="E15" s="30"/>
      <c r="F15" s="30"/>
      <c r="G15" s="30"/>
      <c r="H15" s="30"/>
      <c r="I15" s="30"/>
      <c r="J15" s="211" t="s">
        <v>72</v>
      </c>
      <c r="L15" s="1"/>
      <c r="M15" s="4"/>
      <c r="N15" s="119" t="s">
        <v>639</v>
      </c>
      <c r="P15" s="145" t="s">
        <v>300</v>
      </c>
    </row>
    <row r="16" spans="1:19" s="2" customFormat="1" ht="25.2" customHeight="1">
      <c r="A16" s="322" t="s">
        <v>101</v>
      </c>
      <c r="B16" s="219" t="s">
        <v>72</v>
      </c>
      <c r="C16" s="29"/>
      <c r="D16" s="220"/>
      <c r="E16" s="30"/>
      <c r="F16" s="30"/>
      <c r="G16" s="30"/>
      <c r="H16" s="30"/>
      <c r="I16" s="30"/>
      <c r="J16" s="211"/>
      <c r="L16" s="221" t="s">
        <v>647</v>
      </c>
      <c r="M16" s="221" t="s">
        <v>648</v>
      </c>
      <c r="N16" s="119" t="s">
        <v>382</v>
      </c>
      <c r="O16" s="16"/>
      <c r="P16" s="145" t="s">
        <v>300</v>
      </c>
    </row>
    <row r="17" spans="1:16" s="2" customFormat="1" ht="25.2" customHeight="1">
      <c r="A17" s="322" t="s">
        <v>101</v>
      </c>
      <c r="B17" s="29"/>
      <c r="C17" s="29"/>
      <c r="D17" s="30"/>
      <c r="E17" s="30"/>
      <c r="F17" s="30"/>
      <c r="G17" s="30"/>
      <c r="H17" s="30"/>
      <c r="I17" s="30"/>
      <c r="J17" s="30"/>
      <c r="L17" s="221" t="s">
        <v>649</v>
      </c>
      <c r="M17" s="221" t="s">
        <v>648</v>
      </c>
      <c r="N17" s="119" t="s">
        <v>382</v>
      </c>
      <c r="O17" s="11"/>
      <c r="P17" s="145" t="s">
        <v>300</v>
      </c>
    </row>
    <row r="18" spans="1:16" s="2" customFormat="1" ht="25.2" customHeight="1">
      <c r="A18" s="322" t="s">
        <v>102</v>
      </c>
      <c r="B18" s="29"/>
      <c r="C18" s="29"/>
      <c r="D18" s="30"/>
      <c r="E18" s="30"/>
      <c r="F18" s="30"/>
      <c r="G18" s="30"/>
      <c r="H18" s="30"/>
      <c r="I18" s="30"/>
      <c r="J18" s="30"/>
      <c r="L18" s="1"/>
      <c r="M18" s="4"/>
      <c r="N18" s="119"/>
      <c r="O18" s="11"/>
      <c r="P18" s="144"/>
    </row>
    <row r="19" spans="1:16" s="2" customFormat="1" ht="25.2" customHeight="1">
      <c r="A19" s="322"/>
      <c r="B19" s="29"/>
      <c r="C19" s="29"/>
      <c r="D19" s="30"/>
      <c r="E19" s="30"/>
      <c r="F19" s="30"/>
      <c r="G19" s="30"/>
      <c r="H19" s="30"/>
      <c r="I19" s="30"/>
      <c r="J19" s="30"/>
      <c r="L19" s="1"/>
      <c r="M19" s="4"/>
      <c r="N19" s="119"/>
      <c r="O19" s="11"/>
    </row>
    <row r="20" spans="1:16" s="2" customFormat="1" ht="25.2" customHeight="1">
      <c r="A20" s="322"/>
      <c r="B20" s="29"/>
      <c r="C20" s="29"/>
      <c r="D20" s="30"/>
      <c r="E20" s="30"/>
      <c r="F20" s="30"/>
      <c r="G20" s="30"/>
      <c r="H20" s="30"/>
      <c r="I20" s="30"/>
      <c r="J20" s="30"/>
      <c r="L20" s="1"/>
      <c r="M20" s="4"/>
      <c r="N20" s="119"/>
      <c r="O20" s="11"/>
    </row>
    <row r="21" spans="1:16" s="2" customFormat="1" ht="25.2" customHeight="1">
      <c r="A21" s="322"/>
      <c r="B21" s="29"/>
      <c r="C21" s="29"/>
      <c r="D21" s="30"/>
      <c r="E21" s="30"/>
      <c r="F21" s="30"/>
      <c r="G21" s="30"/>
      <c r="H21" s="30"/>
      <c r="I21" s="30"/>
      <c r="J21" s="30"/>
      <c r="L21" s="1"/>
      <c r="M21" s="4"/>
      <c r="N21" s="119"/>
      <c r="O21" s="11"/>
    </row>
    <row r="22" spans="1:16" s="2" customFormat="1" ht="25.2" customHeight="1">
      <c r="A22" s="322"/>
      <c r="B22" s="29"/>
      <c r="C22" s="29"/>
      <c r="D22" s="30"/>
      <c r="E22" s="30"/>
      <c r="F22" s="30"/>
      <c r="G22" s="30"/>
      <c r="H22" s="30"/>
      <c r="I22" s="30"/>
      <c r="J22" s="30"/>
      <c r="L22" s="1"/>
      <c r="M22" s="4"/>
      <c r="N22" s="119"/>
      <c r="O22" s="11"/>
    </row>
    <row r="23" spans="1:16" s="2" customFormat="1" ht="25.2" customHeight="1">
      <c r="A23" s="322"/>
      <c r="B23" s="29"/>
      <c r="C23" s="29"/>
      <c r="D23" s="30"/>
      <c r="E23" s="30"/>
      <c r="F23" s="30"/>
      <c r="G23" s="30"/>
      <c r="H23" s="30"/>
      <c r="I23" s="30"/>
      <c r="J23" s="30"/>
      <c r="L23" s="1"/>
      <c r="M23" s="4"/>
      <c r="N23" s="119"/>
      <c r="O23" s="11"/>
    </row>
    <row r="24" spans="1:16" s="2" customFormat="1" ht="25.2" customHeight="1">
      <c r="A24" s="322"/>
      <c r="B24" s="29"/>
      <c r="C24" s="29"/>
      <c r="D24" s="30"/>
      <c r="E24" s="30"/>
      <c r="F24" s="30"/>
      <c r="G24" s="30"/>
      <c r="H24" s="30"/>
      <c r="I24" s="30"/>
      <c r="J24" s="30"/>
      <c r="L24" s="1"/>
      <c r="M24" s="4"/>
      <c r="N24" s="119"/>
      <c r="O24" s="11"/>
    </row>
    <row r="25" spans="1:16" s="2" customFormat="1" ht="25.2" customHeight="1">
      <c r="A25" s="322"/>
      <c r="B25" s="29"/>
      <c r="C25" s="29"/>
      <c r="D25" s="30"/>
      <c r="E25" s="30"/>
      <c r="F25" s="30"/>
      <c r="G25" s="30"/>
      <c r="H25" s="30"/>
      <c r="I25" s="30"/>
      <c r="J25" s="30"/>
      <c r="L25" s="1"/>
      <c r="M25" s="4"/>
      <c r="N25" s="119"/>
      <c r="O25" s="11"/>
    </row>
    <row r="26" spans="1:16" s="2" customFormat="1" ht="25.2" customHeight="1">
      <c r="A26" s="322"/>
      <c r="B26" s="29"/>
      <c r="C26" s="29"/>
      <c r="D26" s="30"/>
      <c r="E26" s="30"/>
      <c r="F26" s="30"/>
      <c r="G26" s="30"/>
      <c r="H26" s="30"/>
      <c r="I26" s="30"/>
      <c r="J26" s="30"/>
      <c r="L26" s="1"/>
      <c r="M26" s="4"/>
      <c r="N26" s="119"/>
      <c r="O26" s="11"/>
    </row>
    <row r="27" spans="1:16" s="2" customFormat="1" ht="25.2" customHeight="1">
      <c r="A27" s="322"/>
      <c r="B27" s="29"/>
      <c r="C27" s="29"/>
      <c r="D27" s="30"/>
      <c r="E27" s="30"/>
      <c r="F27" s="30"/>
      <c r="G27" s="30"/>
      <c r="H27" s="30"/>
      <c r="I27" s="30"/>
      <c r="J27" s="30"/>
      <c r="L27" s="1"/>
      <c r="M27" s="4"/>
      <c r="N27" s="119"/>
      <c r="O27" s="11"/>
    </row>
    <row r="28" spans="1:16" s="2" customFormat="1" ht="25.2" customHeight="1">
      <c r="A28" s="322"/>
      <c r="B28" s="29"/>
      <c r="C28" s="29"/>
      <c r="D28" s="30"/>
      <c r="E28" s="30"/>
      <c r="F28" s="30"/>
      <c r="G28" s="30"/>
      <c r="H28" s="30"/>
      <c r="I28" s="30"/>
      <c r="J28" s="30"/>
      <c r="L28" s="1"/>
      <c r="M28" s="4"/>
      <c r="N28" s="119"/>
      <c r="O28" s="11"/>
    </row>
    <row r="29" spans="1:16" s="2" customFormat="1" ht="25.2" customHeight="1">
      <c r="A29" s="322"/>
      <c r="B29" s="29"/>
      <c r="C29" s="29"/>
      <c r="D29" s="30"/>
      <c r="E29" s="30"/>
      <c r="F29" s="30"/>
      <c r="G29" s="30"/>
      <c r="H29" s="30"/>
      <c r="I29" s="30"/>
      <c r="J29" s="30"/>
      <c r="L29" s="1"/>
      <c r="M29" s="4"/>
      <c r="N29" s="119"/>
      <c r="O29" s="11"/>
    </row>
    <row r="30" spans="1:16" s="2" customFormat="1" ht="25.2" customHeight="1">
      <c r="A30" s="322"/>
      <c r="B30" s="29"/>
      <c r="C30" s="29"/>
      <c r="D30" s="30"/>
      <c r="E30" s="30"/>
      <c r="F30" s="30"/>
      <c r="G30" s="30"/>
      <c r="H30" s="30"/>
      <c r="I30" s="30"/>
      <c r="J30" s="30"/>
      <c r="L30" s="1"/>
      <c r="M30" s="4"/>
      <c r="N30" s="119"/>
      <c r="O30" s="11"/>
    </row>
    <row r="31" spans="1:16" s="2" customFormat="1" ht="25.2" customHeight="1">
      <c r="A31" s="322"/>
      <c r="B31" s="29"/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/>
      <c r="O31" s="11"/>
    </row>
    <row r="32" spans="1:16" s="2" customFormat="1" ht="25.2" customHeight="1">
      <c r="A32" s="322"/>
      <c r="B32" s="29"/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</row>
    <row r="33" spans="1:15" s="2" customFormat="1" ht="25.2" customHeight="1">
      <c r="A33" s="322"/>
      <c r="B33" s="29"/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</row>
    <row r="34" spans="1:15" s="2" customFormat="1" ht="25.2" customHeight="1">
      <c r="A34" s="322"/>
      <c r="B34" s="29"/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</row>
    <row r="35" spans="1:15" s="2" customFormat="1" ht="25.2" customHeight="1">
      <c r="A35" s="322"/>
      <c r="B35" s="29"/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</row>
    <row r="36" spans="1:15" s="2" customFormat="1" ht="25.2" customHeight="1">
      <c r="A36" s="322"/>
      <c r="B36" s="29"/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</row>
    <row r="37" spans="1:15" s="2" customFormat="1" ht="25.2" customHeight="1">
      <c r="A37" s="322"/>
      <c r="B37" s="29"/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</row>
    <row r="38" spans="1:15" s="2" customFormat="1" ht="25.2" customHeight="1">
      <c r="A38" s="322"/>
      <c r="B38" s="29"/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</row>
    <row r="39" spans="1:15" s="2" customFormat="1" ht="25.2" customHeight="1">
      <c r="A39" s="322"/>
      <c r="B39" s="29"/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</row>
    <row r="40" spans="1:15" s="2" customFormat="1" ht="25.2" customHeight="1">
      <c r="A40" s="322"/>
      <c r="B40" s="29"/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</row>
    <row r="41" spans="1:15" s="2" customFormat="1" ht="25.2" customHeight="1">
      <c r="A41" s="322"/>
      <c r="B41" s="29"/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</row>
    <row r="42" spans="1:15" s="2" customFormat="1" ht="25.2" customHeight="1">
      <c r="A42" s="322"/>
      <c r="B42" s="29"/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</row>
    <row r="43" spans="1:15" s="2" customFormat="1" ht="25.2" customHeight="1">
      <c r="A43" s="322"/>
      <c r="B43" s="29"/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</row>
    <row r="44" spans="1:15" s="2" customFormat="1" ht="25.2" customHeight="1">
      <c r="A44" s="322"/>
      <c r="B44" s="29"/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</row>
    <row r="45" spans="1:15" s="2" customFormat="1" ht="25.2" customHeight="1">
      <c r="A45" s="322"/>
      <c r="B45" s="29"/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</row>
    <row r="46" spans="1:15" s="2" customFormat="1" ht="25.2" customHeight="1">
      <c r="A46" s="322"/>
      <c r="B46" s="29"/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</row>
    <row r="47" spans="1:15" s="2" customFormat="1" ht="25.2" customHeight="1">
      <c r="A47" s="322"/>
      <c r="B47" s="29"/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</row>
    <row r="48" spans="1:15" s="2" customFormat="1" ht="25.2" customHeight="1">
      <c r="A48" s="322"/>
      <c r="B48" s="29"/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</row>
    <row r="49" spans="1:15" s="2" customFormat="1" ht="25.2" customHeight="1">
      <c r="A49" s="322"/>
      <c r="B49" s="29"/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</row>
    <row r="50" spans="1:15" s="2" customFormat="1" ht="25.2" customHeight="1">
      <c r="A50" s="322"/>
      <c r="B50" s="29"/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</row>
  </sheetData>
  <hyperlinks>
    <hyperlink ref="N3" r:id="rId1" xr:uid="{051A71EE-8542-4DF3-B6BD-CAEEC4CEDBFD}"/>
    <hyperlink ref="N4" r:id="rId2" xr:uid="{D16F46CC-C673-48D1-9D3C-8EFD60A3439D}"/>
    <hyperlink ref="N5" r:id="rId3" xr:uid="{8BEAC210-6C49-464D-8201-792802E730D2}"/>
    <hyperlink ref="N6" r:id="rId4" xr:uid="{01367543-84FD-4A24-A4C2-C3365D6B9607}"/>
    <hyperlink ref="N7" r:id="rId5" xr:uid="{5D89E9E7-78D8-467A-89B3-F9CB65CC30F1}"/>
    <hyperlink ref="N8" r:id="rId6" xr:uid="{20A55DD2-4785-4061-990E-C2EF7DC1C62E}"/>
    <hyperlink ref="N9" r:id="rId7" xr:uid="{55244B3D-D899-4B95-B266-9455A7AA37D3}"/>
    <hyperlink ref="N10" r:id="rId8" xr:uid="{3C2F03C4-CD82-4151-B75A-4C8975857353}"/>
    <hyperlink ref="N11" r:id="rId9" xr:uid="{F61AE27F-72D7-4548-A046-8C1BC9502003}"/>
    <hyperlink ref="N12" r:id="rId10" xr:uid="{C449AFBA-C88C-4DCD-B5AB-E46CDA48A7A2}"/>
    <hyperlink ref="N13" r:id="rId11" xr:uid="{4E04C605-FF0A-496A-91EA-EF6C79407F3A}"/>
    <hyperlink ref="N14" r:id="rId12" xr:uid="{B7A5D41D-64DA-4304-848E-F055E6A28C27}"/>
    <hyperlink ref="N15" r:id="rId13" xr:uid="{EFE38B47-B26C-49A3-8C11-DCC8F84B7431}"/>
    <hyperlink ref="N16" r:id="rId14" xr:uid="{07F8E028-BACF-4CA9-95BB-CCBCC5FBFCE7}"/>
    <hyperlink ref="N17" r:id="rId15" xr:uid="{25638303-BCA0-4BEA-BCB0-44B45CE98218}"/>
  </hyperlinks>
  <pageMargins left="0.7" right="0.7" top="0.78740157499999996" bottom="0.78740157499999996" header="0.3" footer="0.3"/>
  <pageSetup paperSize="9" orientation="portrait" r:id="rId1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U62"/>
  <sheetViews>
    <sheetView workbookViewId="0">
      <pane ySplit="1" topLeftCell="A11" activePane="bottomLeft" state="frozen"/>
      <selection activeCell="H12" sqref="H12"/>
      <selection pane="bottomLeft" activeCell="R13" sqref="R13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5" customWidth="1"/>
    <col min="19" max="19" width="6.109375" style="347" bestFit="1" customWidth="1"/>
    <col min="20" max="16384" width="11.5546875" style="17"/>
  </cols>
  <sheetData>
    <row r="1" spans="1:21" s="15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77" t="s">
        <v>71</v>
      </c>
      <c r="N1" s="24" t="s">
        <v>14</v>
      </c>
      <c r="O1" s="25" t="s">
        <v>97</v>
      </c>
      <c r="R1" s="315"/>
      <c r="S1" s="344"/>
    </row>
    <row r="2" spans="1:21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47</v>
      </c>
      <c r="N2" s="15"/>
      <c r="O2" s="16"/>
      <c r="R2" s="315"/>
      <c r="S2" s="345"/>
    </row>
    <row r="3" spans="1:21" s="2" customFormat="1" ht="25.2" customHeight="1">
      <c r="A3" s="322" t="s">
        <v>101</v>
      </c>
      <c r="B3" s="29" t="s">
        <v>72</v>
      </c>
      <c r="C3" s="338" t="s">
        <v>72</v>
      </c>
      <c r="D3" s="339" t="s">
        <v>72</v>
      </c>
      <c r="E3" s="30"/>
      <c r="F3" s="30"/>
      <c r="G3" s="30"/>
      <c r="H3" s="30"/>
      <c r="I3" s="30"/>
      <c r="J3" s="30"/>
      <c r="L3" s="1" t="s">
        <v>39</v>
      </c>
      <c r="M3" s="84"/>
      <c r="N3" s="119" t="s">
        <v>169</v>
      </c>
      <c r="O3" s="16"/>
      <c r="P3" s="144"/>
      <c r="Q3" s="145"/>
      <c r="R3" s="315"/>
      <c r="S3" s="345"/>
    </row>
    <row r="4" spans="1:21" s="2" customFormat="1" ht="25.2" customHeight="1">
      <c r="A4" s="322" t="s">
        <v>101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45</v>
      </c>
      <c r="M4" s="84"/>
      <c r="N4" s="119" t="s">
        <v>170</v>
      </c>
      <c r="O4" s="16"/>
      <c r="P4" s="144"/>
      <c r="Q4" s="145"/>
      <c r="R4" s="315"/>
      <c r="S4" s="345"/>
    </row>
    <row r="5" spans="1:21" s="2" customFormat="1" ht="25.2" customHeight="1">
      <c r="A5" s="322" t="s">
        <v>101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171</v>
      </c>
      <c r="O5" s="16"/>
      <c r="P5" s="351"/>
      <c r="Q5" s="289"/>
      <c r="R5" s="315"/>
      <c r="S5" s="345"/>
    </row>
    <row r="6" spans="1:21" s="2" customFormat="1" ht="25.2" customHeight="1">
      <c r="A6" s="322" t="s">
        <v>101</v>
      </c>
      <c r="B6" s="29" t="s">
        <v>72</v>
      </c>
      <c r="C6" s="29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46</v>
      </c>
      <c r="M6" s="84"/>
      <c r="N6" s="119" t="s">
        <v>172</v>
      </c>
      <c r="O6" s="16"/>
      <c r="P6" s="144"/>
      <c r="Q6" s="145"/>
      <c r="R6" s="315"/>
      <c r="S6" s="345"/>
    </row>
    <row r="7" spans="1:21" s="2" customFormat="1" ht="25.2" customHeight="1">
      <c r="A7" s="322" t="s">
        <v>101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 t="s">
        <v>4</v>
      </c>
      <c r="M7" s="84"/>
      <c r="N7" s="119" t="s">
        <v>173</v>
      </c>
      <c r="O7" s="16"/>
      <c r="P7" s="144"/>
      <c r="Q7" s="145"/>
      <c r="R7" s="315"/>
      <c r="S7" s="345"/>
    </row>
    <row r="8" spans="1:21" s="2" customFormat="1" ht="25.2" customHeight="1">
      <c r="A8" s="322" t="s">
        <v>101</v>
      </c>
      <c r="B8" s="29" t="s">
        <v>72</v>
      </c>
      <c r="C8" s="29"/>
      <c r="D8" s="30" t="s">
        <v>72</v>
      </c>
      <c r="E8" s="30"/>
      <c r="F8" s="30"/>
      <c r="G8" s="30"/>
      <c r="H8" s="30"/>
      <c r="I8" s="30"/>
      <c r="J8" s="30"/>
      <c r="L8" s="1" t="s">
        <v>33</v>
      </c>
      <c r="M8" s="84"/>
      <c r="N8" s="119" t="s">
        <v>173</v>
      </c>
      <c r="O8" s="16"/>
      <c r="P8" s="144"/>
      <c r="Q8" s="145"/>
      <c r="R8" s="315"/>
      <c r="S8" s="345"/>
    </row>
    <row r="9" spans="1:21" s="2" customFormat="1" ht="25.2" customHeight="1">
      <c r="A9" s="322" t="s">
        <v>101</v>
      </c>
      <c r="B9" s="29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1" t="s">
        <v>140</v>
      </c>
      <c r="M9" s="84"/>
      <c r="N9" s="119" t="s">
        <v>174</v>
      </c>
      <c r="O9" s="16"/>
      <c r="P9" s="144"/>
      <c r="Q9" s="145"/>
      <c r="R9" s="315"/>
      <c r="S9" s="345"/>
    </row>
    <row r="10" spans="1:21" s="2" customFormat="1" ht="26.4" customHeight="1">
      <c r="A10" s="322" t="s">
        <v>101</v>
      </c>
      <c r="B10" s="29" t="s">
        <v>72</v>
      </c>
      <c r="C10" s="36"/>
      <c r="D10" s="37"/>
      <c r="E10" s="37"/>
      <c r="F10" s="37"/>
      <c r="G10" s="37"/>
      <c r="H10" s="37"/>
      <c r="I10" s="37"/>
      <c r="J10" s="37"/>
      <c r="L10" s="1" t="s">
        <v>44</v>
      </c>
      <c r="M10" s="1"/>
      <c r="N10" s="119" t="s">
        <v>174</v>
      </c>
      <c r="O10" s="16"/>
      <c r="P10" s="144"/>
      <c r="Q10" s="145"/>
      <c r="R10" s="315"/>
      <c r="S10" s="345"/>
    </row>
    <row r="11" spans="1:21" s="2" customFormat="1" ht="31.2">
      <c r="A11" s="322" t="s">
        <v>101</v>
      </c>
      <c r="B11" s="29" t="s">
        <v>72</v>
      </c>
      <c r="C11" s="36"/>
      <c r="D11" s="276" t="s">
        <v>72</v>
      </c>
      <c r="E11" s="37"/>
      <c r="F11" s="37"/>
      <c r="G11" s="37"/>
      <c r="H11" s="37"/>
      <c r="I11" s="37"/>
      <c r="J11" s="37"/>
      <c r="L11" s="343" t="s">
        <v>49</v>
      </c>
      <c r="M11" s="343" t="s">
        <v>796</v>
      </c>
      <c r="N11" s="119"/>
      <c r="O11" s="16"/>
      <c r="P11" s="288" t="s">
        <v>765</v>
      </c>
      <c r="Q11" s="288" t="s">
        <v>786</v>
      </c>
      <c r="R11" s="335" t="str">
        <f>HYPERLINK("#'STD_F'!C" &amp; S11,"Link")</f>
        <v>Link</v>
      </c>
      <c r="S11" s="346">
        <f>MATCH(Q11,STD_F!C:C,0)</f>
        <v>3</v>
      </c>
      <c r="T11" s="190"/>
      <c r="U11" s="14"/>
    </row>
    <row r="12" spans="1:21" s="2" customFormat="1" ht="31.2">
      <c r="A12" s="322" t="s">
        <v>101</v>
      </c>
      <c r="B12" s="29"/>
      <c r="C12" s="36"/>
      <c r="D12" s="276"/>
      <c r="E12" s="37"/>
      <c r="F12" s="37"/>
      <c r="G12" s="37"/>
      <c r="H12" s="37"/>
      <c r="I12" s="37"/>
      <c r="J12" s="37"/>
      <c r="L12" s="343" t="s">
        <v>774</v>
      </c>
      <c r="M12" s="343" t="s">
        <v>797</v>
      </c>
      <c r="N12" s="352"/>
      <c r="O12" s="16"/>
      <c r="P12" s="288" t="s">
        <v>765</v>
      </c>
      <c r="Q12" s="288" t="s">
        <v>788</v>
      </c>
      <c r="R12" s="335" t="str">
        <f>HYPERLINK("#'STD_F'!C" &amp; S12,"Link")</f>
        <v>Link</v>
      </c>
      <c r="S12" s="346">
        <f>MATCH(Q12,STD_F!C:C,0)</f>
        <v>16</v>
      </c>
      <c r="T12" s="190"/>
      <c r="U12" s="14"/>
    </row>
    <row r="13" spans="1:21" s="2" customFormat="1">
      <c r="A13" s="322" t="s">
        <v>101</v>
      </c>
      <c r="B13" s="29" t="s">
        <v>72</v>
      </c>
      <c r="C13" s="36"/>
      <c r="D13" s="276" t="s">
        <v>72</v>
      </c>
      <c r="E13" s="37"/>
      <c r="F13" s="37"/>
      <c r="G13" s="37"/>
      <c r="H13" s="37"/>
      <c r="I13" s="37"/>
      <c r="J13" s="37"/>
      <c r="L13" s="343" t="s">
        <v>799</v>
      </c>
      <c r="M13" s="343" t="s">
        <v>798</v>
      </c>
      <c r="N13" s="352"/>
      <c r="O13" s="16"/>
      <c r="P13" s="288" t="s">
        <v>765</v>
      </c>
      <c r="Q13" s="288" t="s">
        <v>784</v>
      </c>
      <c r="R13" s="335" t="str">
        <f>HYPERLINK("#'STD_F'!C" &amp; S13,"Link")</f>
        <v>Link</v>
      </c>
      <c r="S13" s="346">
        <f>MATCH(Q13,STD_F!C:C,0)</f>
        <v>25</v>
      </c>
      <c r="T13" s="190"/>
      <c r="U13" s="14"/>
    </row>
    <row r="14" spans="1:21" s="2" customFormat="1" ht="25.2" customHeight="1">
      <c r="A14" s="322" t="s">
        <v>101</v>
      </c>
      <c r="B14" s="29" t="s">
        <v>72</v>
      </c>
      <c r="C14" s="36"/>
      <c r="D14" s="37"/>
      <c r="E14" s="37"/>
      <c r="F14" s="37"/>
      <c r="G14" s="37"/>
      <c r="H14" s="37"/>
      <c r="I14" s="37"/>
      <c r="J14" s="37"/>
      <c r="L14" s="348" t="s">
        <v>665</v>
      </c>
      <c r="N14" s="353" t="s">
        <v>659</v>
      </c>
      <c r="O14" s="1" t="s">
        <v>142</v>
      </c>
      <c r="P14" s="165" t="s">
        <v>805</v>
      </c>
      <c r="Q14" s="288" t="s">
        <v>785</v>
      </c>
      <c r="R14" s="335" t="str">
        <f>HYPERLINK("#'STD_F'!C" &amp; S14,"Link")</f>
        <v>Link</v>
      </c>
      <c r="S14" s="345">
        <f>MATCH(Q14,STD_F!C:C,0)</f>
        <v>30</v>
      </c>
    </row>
    <row r="15" spans="1:21" s="2" customFormat="1" ht="25.2" customHeight="1">
      <c r="A15" s="322" t="s">
        <v>100</v>
      </c>
      <c r="B15" s="29" t="s">
        <v>72</v>
      </c>
      <c r="C15" s="36"/>
      <c r="D15" s="37"/>
      <c r="E15" s="37"/>
      <c r="F15" s="37"/>
      <c r="G15" s="37"/>
      <c r="H15" s="37"/>
      <c r="I15" s="37"/>
      <c r="J15" s="37"/>
      <c r="N15" s="353" t="s">
        <v>659</v>
      </c>
      <c r="O15" s="1" t="s">
        <v>141</v>
      </c>
      <c r="P15" s="165" t="s">
        <v>805</v>
      </c>
      <c r="Q15" s="288"/>
      <c r="R15" s="315"/>
      <c r="S15" s="345"/>
    </row>
    <row r="16" spans="1:21" s="2" customFormat="1" ht="25.2" customHeight="1">
      <c r="A16" s="322" t="s">
        <v>100</v>
      </c>
      <c r="B16" s="29" t="s">
        <v>72</v>
      </c>
      <c r="C16" s="36"/>
      <c r="D16" s="37"/>
      <c r="E16" s="37"/>
      <c r="F16" s="37"/>
      <c r="G16" s="37"/>
      <c r="H16" s="37"/>
      <c r="I16" s="37"/>
      <c r="J16" s="37"/>
      <c r="N16" s="353" t="s">
        <v>659</v>
      </c>
      <c r="O16" s="1" t="s">
        <v>664</v>
      </c>
      <c r="P16" s="165" t="s">
        <v>805</v>
      </c>
      <c r="Q16" s="288"/>
      <c r="R16" s="315"/>
      <c r="S16" s="345"/>
    </row>
    <row r="17" spans="1:19" s="2" customFormat="1" ht="25.2" customHeight="1">
      <c r="A17" s="322" t="s">
        <v>101</v>
      </c>
      <c r="B17" s="36" t="s">
        <v>72</v>
      </c>
      <c r="C17" s="36"/>
      <c r="D17" s="37"/>
      <c r="E17" s="37"/>
      <c r="F17" s="37"/>
      <c r="G17" s="37"/>
      <c r="H17" s="37" t="s">
        <v>72</v>
      </c>
      <c r="I17" s="37"/>
      <c r="J17" s="37"/>
      <c r="L17" s="1" t="s">
        <v>209</v>
      </c>
      <c r="N17" s="119" t="s">
        <v>315</v>
      </c>
      <c r="O17" s="16"/>
      <c r="P17" s="145" t="s">
        <v>300</v>
      </c>
      <c r="Q17" s="145"/>
      <c r="R17" s="315"/>
      <c r="S17" s="345"/>
    </row>
    <row r="18" spans="1:19" s="2" customFormat="1" ht="25.2" customHeight="1">
      <c r="A18" s="322" t="s">
        <v>101</v>
      </c>
      <c r="B18" s="36" t="s">
        <v>72</v>
      </c>
      <c r="C18" s="36"/>
      <c r="D18" s="37"/>
      <c r="E18" s="37"/>
      <c r="F18" s="37"/>
      <c r="G18" s="37"/>
      <c r="H18" s="37"/>
      <c r="I18" s="36" t="s">
        <v>72</v>
      </c>
      <c r="J18" s="37"/>
      <c r="L18" s="96" t="s">
        <v>248</v>
      </c>
      <c r="N18" s="119" t="s">
        <v>316</v>
      </c>
      <c r="O18" s="16"/>
      <c r="P18" s="145" t="s">
        <v>300</v>
      </c>
      <c r="Q18" s="145"/>
      <c r="R18" s="315"/>
      <c r="S18" s="345"/>
    </row>
    <row r="19" spans="1:19" ht="20.100000000000001" customHeight="1">
      <c r="A19" s="322" t="s">
        <v>100</v>
      </c>
      <c r="B19" s="102" t="s">
        <v>72</v>
      </c>
      <c r="I19" s="36" t="s">
        <v>72</v>
      </c>
      <c r="K19" s="163"/>
      <c r="N19" s="119" t="s">
        <v>317</v>
      </c>
      <c r="O19" s="96" t="s">
        <v>249</v>
      </c>
      <c r="P19" s="150" t="s">
        <v>300</v>
      </c>
      <c r="Q19" s="150"/>
    </row>
    <row r="20" spans="1:19" ht="20.100000000000001" customHeight="1">
      <c r="A20" s="322" t="s">
        <v>101</v>
      </c>
      <c r="B20" s="36" t="s">
        <v>72</v>
      </c>
      <c r="I20" s="148" t="s">
        <v>72</v>
      </c>
      <c r="K20" s="163"/>
      <c r="L20" s="103" t="s">
        <v>327</v>
      </c>
      <c r="N20" s="119" t="s">
        <v>328</v>
      </c>
      <c r="P20" s="149"/>
      <c r="Q20" s="150"/>
    </row>
    <row r="21" spans="1:19" ht="19.95" customHeight="1">
      <c r="A21" s="322" t="s">
        <v>101</v>
      </c>
      <c r="B21" s="36" t="s">
        <v>72</v>
      </c>
      <c r="G21" s="33" t="s">
        <v>72</v>
      </c>
      <c r="I21" s="36"/>
      <c r="K21" s="163"/>
      <c r="L21" s="103" t="s">
        <v>428</v>
      </c>
      <c r="N21" s="119" t="s">
        <v>428</v>
      </c>
      <c r="P21" s="150" t="s">
        <v>300</v>
      </c>
      <c r="Q21" s="150"/>
    </row>
    <row r="22" spans="1:19" ht="19.95" customHeight="1">
      <c r="A22" s="322" t="s">
        <v>101</v>
      </c>
      <c r="B22" s="36" t="s">
        <v>72</v>
      </c>
      <c r="G22" s="33" t="s">
        <v>72</v>
      </c>
      <c r="K22" s="163"/>
      <c r="L22" s="103" t="s">
        <v>429</v>
      </c>
      <c r="N22" s="119" t="s">
        <v>429</v>
      </c>
      <c r="P22" s="150" t="s">
        <v>300</v>
      </c>
      <c r="Q22" s="150"/>
    </row>
    <row r="23" spans="1:19" ht="19.95" customHeight="1">
      <c r="A23" s="322" t="s">
        <v>101</v>
      </c>
      <c r="B23" s="36" t="s">
        <v>72</v>
      </c>
      <c r="G23" s="33" t="s">
        <v>72</v>
      </c>
      <c r="K23" s="163"/>
      <c r="L23" s="293" t="s">
        <v>767</v>
      </c>
      <c r="M23" s="293" t="s">
        <v>145</v>
      </c>
      <c r="N23" s="119" t="s">
        <v>430</v>
      </c>
      <c r="P23" s="150" t="s">
        <v>300</v>
      </c>
      <c r="Q23" s="150"/>
    </row>
    <row r="24" spans="1:19" ht="19.95" customHeight="1">
      <c r="A24" s="322" t="s">
        <v>100</v>
      </c>
      <c r="B24" s="36" t="s">
        <v>72</v>
      </c>
      <c r="G24" s="33" t="s">
        <v>72</v>
      </c>
      <c r="K24" s="163"/>
      <c r="L24" s="103"/>
      <c r="N24" s="119" t="s">
        <v>431</v>
      </c>
      <c r="P24" s="150" t="s">
        <v>300</v>
      </c>
      <c r="Q24" s="150"/>
    </row>
    <row r="25" spans="1:19" ht="19.95" customHeight="1">
      <c r="A25" s="322" t="s">
        <v>101</v>
      </c>
      <c r="B25" s="36" t="s">
        <v>72</v>
      </c>
      <c r="G25" s="33" t="s">
        <v>72</v>
      </c>
      <c r="K25" s="163"/>
      <c r="L25" s="103" t="s">
        <v>432</v>
      </c>
      <c r="N25" s="119" t="s">
        <v>432</v>
      </c>
      <c r="P25" s="150" t="s">
        <v>300</v>
      </c>
      <c r="Q25" s="150"/>
    </row>
    <row r="26" spans="1:19" ht="19.95" customHeight="1">
      <c r="A26" s="322" t="s">
        <v>101</v>
      </c>
      <c r="B26" s="36" t="s">
        <v>72</v>
      </c>
      <c r="K26" s="163"/>
      <c r="L26" s="103" t="s">
        <v>454</v>
      </c>
      <c r="N26" s="119" t="s">
        <v>433</v>
      </c>
      <c r="P26" s="150" t="s">
        <v>300</v>
      </c>
      <c r="Q26" s="150"/>
    </row>
    <row r="27" spans="1:19" ht="19.95" customHeight="1">
      <c r="A27" s="322" t="s">
        <v>101</v>
      </c>
      <c r="B27" s="36" t="s">
        <v>72</v>
      </c>
      <c r="K27" s="163"/>
      <c r="L27" s="103" t="s">
        <v>449</v>
      </c>
      <c r="M27" s="103" t="s">
        <v>334</v>
      </c>
      <c r="N27" s="119" t="s">
        <v>434</v>
      </c>
      <c r="O27" s="103"/>
      <c r="P27" s="150" t="s">
        <v>300</v>
      </c>
      <c r="Q27" s="150"/>
    </row>
    <row r="28" spans="1:19" ht="19.95" customHeight="1">
      <c r="A28" s="322" t="s">
        <v>101</v>
      </c>
      <c r="B28" s="36" t="s">
        <v>72</v>
      </c>
      <c r="K28" s="163"/>
      <c r="L28" s="103" t="s">
        <v>450</v>
      </c>
      <c r="M28" s="103" t="s">
        <v>334</v>
      </c>
      <c r="N28" s="119" t="s">
        <v>435</v>
      </c>
      <c r="O28" s="103" t="s">
        <v>342</v>
      </c>
      <c r="P28" s="150" t="s">
        <v>300</v>
      </c>
      <c r="Q28" s="150"/>
    </row>
    <row r="29" spans="1:19" ht="19.95" customHeight="1">
      <c r="A29" s="322" t="s">
        <v>100</v>
      </c>
      <c r="B29" s="36" t="s">
        <v>72</v>
      </c>
      <c r="K29" s="163"/>
      <c r="L29" s="103"/>
      <c r="M29" s="103" t="s">
        <v>334</v>
      </c>
      <c r="N29" s="119" t="s">
        <v>436</v>
      </c>
      <c r="O29" s="103" t="s">
        <v>341</v>
      </c>
      <c r="P29" s="150" t="s">
        <v>300</v>
      </c>
      <c r="Q29" s="150"/>
    </row>
    <row r="30" spans="1:19" ht="19.95" customHeight="1">
      <c r="A30" s="322" t="s">
        <v>101</v>
      </c>
      <c r="B30" s="36" t="s">
        <v>72</v>
      </c>
      <c r="K30" s="163"/>
      <c r="L30" s="103" t="s">
        <v>448</v>
      </c>
      <c r="M30" s="103" t="s">
        <v>334</v>
      </c>
      <c r="N30" s="119" t="s">
        <v>437</v>
      </c>
      <c r="O30" s="103"/>
      <c r="P30" s="150" t="s">
        <v>300</v>
      </c>
      <c r="Q30" s="150"/>
    </row>
    <row r="31" spans="1:19" ht="19.95" customHeight="1">
      <c r="A31" s="322" t="s">
        <v>101</v>
      </c>
      <c r="B31" s="36" t="s">
        <v>72</v>
      </c>
      <c r="K31" s="163"/>
      <c r="L31" s="103" t="s">
        <v>447</v>
      </c>
      <c r="M31" s="103"/>
      <c r="N31" s="119" t="s">
        <v>438</v>
      </c>
      <c r="O31" s="103"/>
      <c r="P31" s="150" t="s">
        <v>300</v>
      </c>
      <c r="Q31" s="150"/>
    </row>
    <row r="32" spans="1:19" ht="19.95" customHeight="1">
      <c r="A32" s="322" t="s">
        <v>101</v>
      </c>
      <c r="B32" s="36" t="s">
        <v>72</v>
      </c>
      <c r="J32" s="33" t="s">
        <v>72</v>
      </c>
      <c r="K32" s="163"/>
      <c r="L32" s="173" t="s">
        <v>453</v>
      </c>
      <c r="M32" s="103" t="s">
        <v>445</v>
      </c>
      <c r="N32" s="119" t="s">
        <v>439</v>
      </c>
      <c r="O32" s="103"/>
      <c r="P32" s="150" t="s">
        <v>300</v>
      </c>
      <c r="Q32" s="150"/>
    </row>
    <row r="33" spans="1:18" ht="19.95" customHeight="1">
      <c r="A33" s="322" t="s">
        <v>101</v>
      </c>
      <c r="B33" s="36" t="s">
        <v>72</v>
      </c>
      <c r="H33" s="33" t="s">
        <v>72</v>
      </c>
      <c r="K33" s="163"/>
      <c r="L33" s="103" t="s">
        <v>446</v>
      </c>
      <c r="M33" s="103"/>
      <c r="N33" s="119" t="s">
        <v>440</v>
      </c>
      <c r="O33" s="103" t="s">
        <v>451</v>
      </c>
      <c r="P33" s="150" t="s">
        <v>300</v>
      </c>
      <c r="Q33" s="150"/>
    </row>
    <row r="34" spans="1:18" ht="19.95" customHeight="1">
      <c r="A34" s="322" t="s">
        <v>100</v>
      </c>
      <c r="B34" s="36" t="s">
        <v>72</v>
      </c>
      <c r="H34" s="33" t="s">
        <v>72</v>
      </c>
      <c r="K34" s="33"/>
      <c r="L34" s="103"/>
      <c r="M34" s="103"/>
      <c r="N34" s="119" t="s">
        <v>441</v>
      </c>
      <c r="O34" s="103" t="s">
        <v>32</v>
      </c>
      <c r="P34" s="150" t="s">
        <v>300</v>
      </c>
      <c r="Q34" s="150"/>
    </row>
    <row r="35" spans="1:18" ht="19.95" customHeight="1">
      <c r="A35" s="322" t="s">
        <v>100</v>
      </c>
      <c r="B35" s="36" t="s">
        <v>72</v>
      </c>
      <c r="H35" s="33" t="s">
        <v>72</v>
      </c>
      <c r="L35" s="103"/>
      <c r="M35" s="103"/>
      <c r="N35" s="119" t="s">
        <v>442</v>
      </c>
      <c r="O35" s="103" t="s">
        <v>452</v>
      </c>
      <c r="P35" s="150" t="s">
        <v>300</v>
      </c>
      <c r="Q35" s="150"/>
    </row>
    <row r="36" spans="1:18" ht="19.95" customHeight="1">
      <c r="A36" s="322" t="s">
        <v>100</v>
      </c>
      <c r="B36" s="36" t="s">
        <v>72</v>
      </c>
      <c r="H36" s="33" t="s">
        <v>72</v>
      </c>
      <c r="L36" s="103"/>
      <c r="M36" s="103"/>
      <c r="N36" s="119" t="s">
        <v>443</v>
      </c>
      <c r="O36" s="103" t="s">
        <v>120</v>
      </c>
      <c r="P36" s="150" t="s">
        <v>300</v>
      </c>
      <c r="Q36" s="150"/>
    </row>
    <row r="37" spans="1:18" ht="19.95" customHeight="1">
      <c r="A37" s="322" t="s">
        <v>101</v>
      </c>
      <c r="B37" s="36" t="s">
        <v>72</v>
      </c>
      <c r="K37" s="174" t="s">
        <v>72</v>
      </c>
      <c r="L37" s="103" t="s">
        <v>457</v>
      </c>
      <c r="N37" s="119" t="s">
        <v>444</v>
      </c>
      <c r="P37" s="150" t="s">
        <v>300</v>
      </c>
      <c r="Q37" s="150"/>
    </row>
    <row r="38" spans="1:18" ht="19.95" customHeight="1">
      <c r="A38" s="322" t="s">
        <v>100</v>
      </c>
      <c r="B38" s="36" t="s">
        <v>72</v>
      </c>
      <c r="K38" s="174" t="s">
        <v>72</v>
      </c>
      <c r="L38" s="103"/>
      <c r="N38" s="119" t="s">
        <v>455</v>
      </c>
      <c r="P38" s="150" t="s">
        <v>300</v>
      </c>
      <c r="Q38" s="150"/>
    </row>
    <row r="39" spans="1:18" ht="19.95" customHeight="1">
      <c r="A39" s="322" t="s">
        <v>101</v>
      </c>
      <c r="B39" s="36" t="s">
        <v>72</v>
      </c>
      <c r="K39" s="174" t="s">
        <v>72</v>
      </c>
      <c r="L39" s="103" t="s">
        <v>449</v>
      </c>
      <c r="N39" s="119" t="s">
        <v>456</v>
      </c>
      <c r="P39" s="150" t="s">
        <v>300</v>
      </c>
      <c r="Q39" s="150"/>
    </row>
    <row r="40" spans="1:18" ht="19.95" customHeight="1">
      <c r="A40" s="322" t="s">
        <v>101</v>
      </c>
      <c r="B40" s="36" t="s">
        <v>72</v>
      </c>
      <c r="K40" s="174" t="s">
        <v>72</v>
      </c>
      <c r="L40" s="103" t="s">
        <v>459</v>
      </c>
      <c r="N40" s="119" t="s">
        <v>458</v>
      </c>
      <c r="P40" s="150" t="s">
        <v>300</v>
      </c>
      <c r="Q40" s="150"/>
    </row>
    <row r="41" spans="1:18" ht="19.95" customHeight="1">
      <c r="A41" s="322" t="s">
        <v>101</v>
      </c>
      <c r="B41" s="36" t="s">
        <v>72</v>
      </c>
      <c r="J41" s="33" t="s">
        <v>72</v>
      </c>
      <c r="K41" s="174" t="s">
        <v>72</v>
      </c>
      <c r="L41" s="173" t="s">
        <v>460</v>
      </c>
      <c r="N41" s="119" t="s">
        <v>461</v>
      </c>
      <c r="P41" s="150" t="s">
        <v>300</v>
      </c>
      <c r="Q41" s="150"/>
    </row>
    <row r="42" spans="1:18" ht="19.95" customHeight="1">
      <c r="A42" s="322" t="s">
        <v>101</v>
      </c>
      <c r="B42" s="36" t="s">
        <v>72</v>
      </c>
      <c r="J42" s="33" t="s">
        <v>72</v>
      </c>
      <c r="K42" s="174" t="s">
        <v>72</v>
      </c>
      <c r="L42" s="173" t="s">
        <v>748</v>
      </c>
      <c r="M42" s="103"/>
      <c r="N42" s="119" t="s">
        <v>748</v>
      </c>
      <c r="P42" s="150" t="s">
        <v>300</v>
      </c>
      <c r="Q42" s="150"/>
    </row>
    <row r="43" spans="1:18" ht="19.95" customHeight="1">
      <c r="A43" s="322" t="s">
        <v>101</v>
      </c>
      <c r="B43" s="36" t="s">
        <v>72</v>
      </c>
      <c r="J43" s="33" t="s">
        <v>72</v>
      </c>
      <c r="K43" s="163"/>
      <c r="L43" s="277" t="s">
        <v>757</v>
      </c>
      <c r="M43" s="103" t="s">
        <v>395</v>
      </c>
      <c r="N43" s="119" t="s">
        <v>749</v>
      </c>
      <c r="O43" s="277" t="s">
        <v>756</v>
      </c>
      <c r="P43" s="150" t="s">
        <v>300</v>
      </c>
      <c r="Q43" s="150"/>
    </row>
    <row r="44" spans="1:18" ht="19.95" customHeight="1">
      <c r="A44" s="322" t="s">
        <v>100</v>
      </c>
      <c r="B44" s="36" t="s">
        <v>72</v>
      </c>
      <c r="J44" s="33" t="s">
        <v>72</v>
      </c>
      <c r="K44" s="163"/>
      <c r="M44" s="103" t="s">
        <v>395</v>
      </c>
      <c r="N44" s="119" t="s">
        <v>750</v>
      </c>
      <c r="O44" s="277" t="s">
        <v>755</v>
      </c>
      <c r="P44" s="150" t="s">
        <v>300</v>
      </c>
      <c r="Q44" s="150"/>
    </row>
    <row r="45" spans="1:18" ht="19.95" customHeight="1">
      <c r="A45" s="322" t="s">
        <v>100</v>
      </c>
      <c r="B45" s="36" t="s">
        <v>72</v>
      </c>
      <c r="J45" s="33" t="s">
        <v>72</v>
      </c>
      <c r="K45" s="163"/>
      <c r="M45" s="103" t="s">
        <v>395</v>
      </c>
      <c r="N45" s="119" t="s">
        <v>751</v>
      </c>
      <c r="O45" s="277" t="s">
        <v>754</v>
      </c>
      <c r="P45" s="150" t="s">
        <v>300</v>
      </c>
      <c r="Q45" s="150"/>
    </row>
    <row r="46" spans="1:18" ht="19.95" customHeight="1">
      <c r="A46" s="322" t="s">
        <v>100</v>
      </c>
      <c r="B46" s="36" t="s">
        <v>72</v>
      </c>
      <c r="J46" s="33" t="s">
        <v>72</v>
      </c>
      <c r="K46" s="163"/>
      <c r="M46" s="103" t="s">
        <v>395</v>
      </c>
      <c r="N46" s="119" t="s">
        <v>752</v>
      </c>
      <c r="O46" s="277" t="s">
        <v>753</v>
      </c>
      <c r="P46" s="150" t="s">
        <v>300</v>
      </c>
      <c r="Q46" s="150"/>
    </row>
    <row r="47" spans="1:18" ht="19.95" customHeight="1">
      <c r="A47" s="322" t="s">
        <v>101</v>
      </c>
      <c r="B47" s="33" t="s">
        <v>72</v>
      </c>
      <c r="E47" s="33" t="s">
        <v>72</v>
      </c>
      <c r="K47" s="163"/>
      <c r="L47" s="354" t="s">
        <v>808</v>
      </c>
      <c r="M47" s="354" t="s">
        <v>804</v>
      </c>
      <c r="N47" s="119" t="s">
        <v>802</v>
      </c>
      <c r="O47" s="354" t="s">
        <v>475</v>
      </c>
      <c r="P47" s="150" t="s">
        <v>300</v>
      </c>
      <c r="Q47" s="149"/>
      <c r="R47" s="335"/>
    </row>
    <row r="48" spans="1:18" ht="19.95" customHeight="1">
      <c r="A48" s="322" t="s">
        <v>100</v>
      </c>
      <c r="B48" s="33" t="s">
        <v>72</v>
      </c>
      <c r="E48" s="33" t="s">
        <v>72</v>
      </c>
      <c r="K48" s="163"/>
      <c r="L48" s="354"/>
      <c r="M48" s="354" t="s">
        <v>804</v>
      </c>
      <c r="N48" s="119" t="s">
        <v>803</v>
      </c>
      <c r="O48" s="354" t="s">
        <v>470</v>
      </c>
      <c r="P48" s="150" t="s">
        <v>300</v>
      </c>
      <c r="Q48" s="149"/>
    </row>
    <row r="49" spans="1:19" ht="19.95" customHeight="1">
      <c r="A49" s="322" t="s">
        <v>100</v>
      </c>
      <c r="B49" s="33" t="s">
        <v>72</v>
      </c>
      <c r="E49" s="33" t="s">
        <v>72</v>
      </c>
      <c r="K49" s="163"/>
      <c r="L49" s="354" t="s">
        <v>807</v>
      </c>
      <c r="M49" s="354"/>
      <c r="N49" s="119" t="s">
        <v>803</v>
      </c>
      <c r="O49" s="354" t="s">
        <v>807</v>
      </c>
      <c r="P49" s="149"/>
      <c r="Q49" s="149" t="s">
        <v>806</v>
      </c>
      <c r="R49" s="335" t="str">
        <f>HYPERLINK("#'STD_F'!C" &amp; S49,"Link")</f>
        <v>Link</v>
      </c>
      <c r="S49" s="347">
        <f>MATCH(Q49,STD_F!C:C,0)</f>
        <v>35</v>
      </c>
    </row>
    <row r="50" spans="1:19" ht="19.95" customHeight="1">
      <c r="A50" s="322" t="s">
        <v>100</v>
      </c>
      <c r="B50" s="33" t="s">
        <v>72</v>
      </c>
      <c r="E50" s="33" t="s">
        <v>72</v>
      </c>
      <c r="K50" s="163"/>
      <c r="L50" s="354" t="s">
        <v>820</v>
      </c>
      <c r="M50" s="354"/>
      <c r="O50" s="354" t="s">
        <v>820</v>
      </c>
      <c r="P50" s="149"/>
      <c r="Q50" s="149" t="s">
        <v>819</v>
      </c>
      <c r="R50" s="335" t="str">
        <f>HYPERLINK("#'STD_F'!C" &amp; S50,"Link")</f>
        <v>Link</v>
      </c>
      <c r="S50" s="347">
        <f>MATCH(Q50,STD_F!C:C,0)</f>
        <v>52</v>
      </c>
    </row>
    <row r="51" spans="1:19" ht="19.95" customHeight="1">
      <c r="A51" s="322" t="s">
        <v>100</v>
      </c>
      <c r="B51" s="33" t="s">
        <v>72</v>
      </c>
      <c r="E51" s="33" t="s">
        <v>72</v>
      </c>
      <c r="K51" s="163"/>
      <c r="L51" s="354" t="s">
        <v>825</v>
      </c>
      <c r="M51" s="354"/>
      <c r="O51" s="354" t="s">
        <v>825</v>
      </c>
      <c r="P51" s="149"/>
      <c r="Q51" s="149" t="s">
        <v>826</v>
      </c>
      <c r="R51" s="335" t="str">
        <f>HYPERLINK("#'STD_F'!C" &amp; S51,"Link")</f>
        <v>Link</v>
      </c>
      <c r="S51" s="347">
        <f>MATCH(Q51,STD_F!C:C,0)</f>
        <v>68</v>
      </c>
    </row>
    <row r="52" spans="1:19" ht="19.95" customHeight="1">
      <c r="A52" s="322" t="s">
        <v>100</v>
      </c>
      <c r="B52" s="33" t="s">
        <v>72</v>
      </c>
      <c r="E52" s="33" t="s">
        <v>72</v>
      </c>
      <c r="K52" s="163"/>
      <c r="L52" s="354" t="s">
        <v>828</v>
      </c>
      <c r="M52" s="354"/>
      <c r="O52" s="354" t="s">
        <v>828</v>
      </c>
      <c r="P52" s="149"/>
      <c r="Q52" s="149" t="s">
        <v>827</v>
      </c>
      <c r="R52" s="335" t="str">
        <f>HYPERLINK("#'STD_F'!C" &amp; S52,"Link")</f>
        <v>Link</v>
      </c>
      <c r="S52" s="347">
        <f>MATCH(Q52,STD_F!C:C,0)</f>
        <v>75</v>
      </c>
    </row>
    <row r="53" spans="1:19" ht="19.95" customHeight="1">
      <c r="A53" s="322" t="s">
        <v>100</v>
      </c>
      <c r="B53" s="33" t="s">
        <v>72</v>
      </c>
      <c r="E53" s="33" t="s">
        <v>72</v>
      </c>
      <c r="K53" s="163"/>
      <c r="L53" s="354" t="s">
        <v>833</v>
      </c>
      <c r="O53" s="354" t="s">
        <v>833</v>
      </c>
      <c r="P53" s="149"/>
      <c r="Q53" s="149" t="s">
        <v>832</v>
      </c>
      <c r="R53" s="335" t="str">
        <f>HYPERLINK("#'STD_F'!C" &amp; S53,"Link")</f>
        <v>Link</v>
      </c>
      <c r="S53" s="347">
        <f>MATCH(Q53,STD_F!C:C,0)</f>
        <v>88</v>
      </c>
    </row>
    <row r="54" spans="1:19" ht="19.95" customHeight="1">
      <c r="A54" s="322" t="s">
        <v>102</v>
      </c>
      <c r="K54" s="163"/>
      <c r="P54" s="149"/>
      <c r="Q54" s="149"/>
    </row>
    <row r="55" spans="1:19" ht="19.95" customHeight="1">
      <c r="A55" s="322" t="s">
        <v>102</v>
      </c>
      <c r="K55" s="163"/>
      <c r="P55" s="149"/>
      <c r="Q55" s="149"/>
    </row>
    <row r="56" spans="1:19" ht="19.95" customHeight="1">
      <c r="A56" s="322" t="s">
        <v>102</v>
      </c>
      <c r="K56" s="163"/>
      <c r="P56" s="149"/>
      <c r="Q56" s="149"/>
    </row>
    <row r="57" spans="1:19">
      <c r="A57" s="322" t="s">
        <v>102</v>
      </c>
      <c r="K57" s="163"/>
      <c r="P57" s="149"/>
      <c r="Q57" s="149"/>
    </row>
    <row r="58" spans="1:19">
      <c r="A58" s="322" t="s">
        <v>102</v>
      </c>
      <c r="K58" s="163"/>
      <c r="P58" s="149"/>
      <c r="Q58" s="149"/>
    </row>
    <row r="59" spans="1:19">
      <c r="K59" s="163"/>
    </row>
    <row r="60" spans="1:19">
      <c r="K60" s="163"/>
    </row>
    <row r="61" spans="1:19">
      <c r="K61" s="163"/>
    </row>
    <row r="62" spans="1:19">
      <c r="K62" s="163"/>
    </row>
  </sheetData>
  <hyperlinks>
    <hyperlink ref="N3" r:id="rId1" xr:uid="{597091E5-2645-4CBF-B561-41E3F956A7CC}"/>
    <hyperlink ref="N4" r:id="rId2" xr:uid="{E077F74D-FD00-4E37-A06F-1F19496D6235}"/>
    <hyperlink ref="N5" r:id="rId3" xr:uid="{3C1D6AFF-3D8E-4354-8A23-C3BA331D6084}"/>
    <hyperlink ref="N6" r:id="rId4" xr:uid="{D8F2C229-E2F5-494C-BD9D-825180507FD3}"/>
    <hyperlink ref="N7" r:id="rId5" xr:uid="{37AEE14F-2AA2-4642-81CA-B5AD1FFE5708}"/>
    <hyperlink ref="N8" r:id="rId6" xr:uid="{279EB7E9-438D-4FFE-9F17-798DDC75596D}"/>
    <hyperlink ref="N9" r:id="rId7" xr:uid="{39941D69-FA6C-424B-ADCF-18DDAFD8B66D}"/>
    <hyperlink ref="N10" r:id="rId8" xr:uid="{AD9C01ED-5E1F-4E69-AF91-BD5FE889C777}"/>
    <hyperlink ref="N20" r:id="rId9" xr:uid="{4BE6BF74-6411-4A56-9EE2-F896DE9270A4}"/>
    <hyperlink ref="N17" r:id="rId10" xr:uid="{2F21C9F8-6578-4241-B916-A4A22C42DE8D}"/>
    <hyperlink ref="N18" r:id="rId11" xr:uid="{6CBE5F5D-A4D5-444A-B678-E061DE40402E}"/>
    <hyperlink ref="N19" r:id="rId12" xr:uid="{75547DB1-3535-4DA1-B577-1AC6E1AECDEB}"/>
    <hyperlink ref="N21" r:id="rId13" xr:uid="{FB625DB1-CC42-4505-BE74-D9A5CD56B333}"/>
    <hyperlink ref="N22" r:id="rId14" xr:uid="{E3F29806-685A-461E-B736-DCBB3D5B9E4E}"/>
    <hyperlink ref="N23" r:id="rId15" xr:uid="{290BD27F-D0E3-400C-8DAB-3B189F30A64B}"/>
    <hyperlink ref="N24" r:id="rId16" xr:uid="{D393D171-9AB4-49E9-9054-E421ED43A178}"/>
    <hyperlink ref="N25" r:id="rId17" xr:uid="{FC2AA96D-2C19-4BCC-8EDF-4FB08955B5AA}"/>
    <hyperlink ref="N26" r:id="rId18" xr:uid="{115EA36C-4C2F-4B57-BEE2-A02B8BBD7EE6}"/>
    <hyperlink ref="N27" r:id="rId19" xr:uid="{B9FE304B-523D-48BB-B997-896828F55272}"/>
    <hyperlink ref="N28" r:id="rId20" xr:uid="{E0DD52EA-367C-4894-9862-37768C186BE9}"/>
    <hyperlink ref="N29" r:id="rId21" xr:uid="{B43F84D8-5A73-43E4-BF1A-6C1B1804CC06}"/>
    <hyperlink ref="N30" r:id="rId22" xr:uid="{94EB0F5A-E644-46E1-95B8-A1BB791EA60A}"/>
    <hyperlink ref="N31" r:id="rId23" xr:uid="{7676CB80-FA1A-42B8-9DC0-BE5481D24076}"/>
    <hyperlink ref="N32" r:id="rId24" xr:uid="{92A66E0A-8BCE-4B63-ABB7-EBC421ECFA8A}"/>
    <hyperlink ref="N33" r:id="rId25" xr:uid="{D4340E8F-30C0-4D45-AB4E-15CD993D812F}"/>
    <hyperlink ref="N34" r:id="rId26" xr:uid="{24A203FA-0239-414C-BE37-E99E25F56891}"/>
    <hyperlink ref="N35" r:id="rId27" xr:uid="{FAE137F9-669A-4BBF-9B9D-2E81148F3234}"/>
    <hyperlink ref="N36" r:id="rId28" xr:uid="{C10EA1F8-C969-4319-89AA-67F650B88609}"/>
    <hyperlink ref="N37" r:id="rId29" xr:uid="{088C77AC-11D6-4485-AEFA-1BDCB3883B02}"/>
    <hyperlink ref="N38" r:id="rId30" xr:uid="{D005A1F7-2FA4-40D2-AB6B-7ED8BE0C22C6}"/>
    <hyperlink ref="N39" r:id="rId31" xr:uid="{BC24B097-6096-4F92-AD4B-1EC17DE0ED20}"/>
    <hyperlink ref="N40" r:id="rId32" xr:uid="{C9A6A96A-BE53-4B1A-92D2-1C261589A55B}"/>
    <hyperlink ref="N41" r:id="rId33" xr:uid="{AF343BCE-214E-40D7-B5FE-1E656ECB8FE5}"/>
    <hyperlink ref="N42" r:id="rId34" xr:uid="{E4E43C41-DEDD-4753-8878-192073D2C5BE}"/>
    <hyperlink ref="N43" r:id="rId35" xr:uid="{0AAAB5B5-5DC5-4351-BF11-676822BD0953}"/>
    <hyperlink ref="N44" r:id="rId36" xr:uid="{D1991311-C1CF-4A10-A8C4-A4E7CAA0614D}"/>
    <hyperlink ref="N45" r:id="rId37" xr:uid="{57655E77-7EC6-441F-A5A1-5BCE0B95AE64}"/>
    <hyperlink ref="N46" r:id="rId38" xr:uid="{CFDAA082-F88F-4379-B1AA-FAE29783A1A2}"/>
    <hyperlink ref="N47" r:id="rId39" xr:uid="{558860FB-7C72-4A74-8C9A-AC44AB6A7EEF}"/>
    <hyperlink ref="N48" r:id="rId40" xr:uid="{ABBCA691-8C06-41AD-9A64-B57D3150C381}"/>
    <hyperlink ref="N49" r:id="rId41" xr:uid="{0D2B8EB2-2159-491F-906E-8CE4B82F15B1}"/>
  </hyperlinks>
  <pageMargins left="0.7" right="0.7" top="0.78740157499999996" bottom="0.78740157499999996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22" t="s">
        <v>101</v>
      </c>
      <c r="B3" s="36" t="s">
        <v>72</v>
      </c>
      <c r="C3" s="33"/>
      <c r="D3" s="33"/>
      <c r="E3" s="33"/>
      <c r="F3" s="33"/>
      <c r="G3" s="33"/>
      <c r="H3" s="33"/>
      <c r="I3" s="36" t="s">
        <v>72</v>
      </c>
      <c r="J3" s="33"/>
      <c r="K3" s="163"/>
      <c r="L3" s="103" t="s">
        <v>250</v>
      </c>
      <c r="M3" s="103" t="s">
        <v>252</v>
      </c>
      <c r="N3" s="119" t="s">
        <v>462</v>
      </c>
      <c r="O3" s="18"/>
      <c r="P3" s="145" t="s">
        <v>300</v>
      </c>
    </row>
    <row r="4" spans="1:16" s="2" customFormat="1" ht="20.100000000000001" customHeight="1">
      <c r="A4" s="322" t="s">
        <v>101</v>
      </c>
      <c r="B4" s="36" t="s">
        <v>72</v>
      </c>
      <c r="C4" s="33"/>
      <c r="D4" s="33"/>
      <c r="E4" s="33"/>
      <c r="F4" s="33"/>
      <c r="G4" s="33"/>
      <c r="H4" s="33"/>
      <c r="I4" s="36" t="s">
        <v>72</v>
      </c>
      <c r="J4" s="33"/>
      <c r="K4" s="163"/>
      <c r="L4" s="103" t="s">
        <v>251</v>
      </c>
      <c r="M4" s="103" t="s">
        <v>252</v>
      </c>
      <c r="N4" s="119" t="s">
        <v>463</v>
      </c>
      <c r="O4" s="18"/>
      <c r="P4" s="145" t="s">
        <v>300</v>
      </c>
    </row>
    <row r="5" spans="1:16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73" t="s">
        <v>467</v>
      </c>
      <c r="M5" s="103"/>
      <c r="N5" s="119" t="s">
        <v>464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7" t="s">
        <v>72</v>
      </c>
      <c r="L6" s="103" t="s">
        <v>466</v>
      </c>
      <c r="M6" s="103"/>
      <c r="N6" s="119" t="s">
        <v>465</v>
      </c>
      <c r="O6" s="11"/>
      <c r="P6" s="145" t="s">
        <v>300</v>
      </c>
    </row>
    <row r="7" spans="1:16" s="2" customFormat="1" ht="20.100000000000001" customHeight="1">
      <c r="A7" s="322" t="s">
        <v>102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22" t="s">
        <v>102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22" t="s">
        <v>102</v>
      </c>
      <c r="B9" s="29"/>
      <c r="K9" s="163"/>
      <c r="L9" s="103"/>
      <c r="M9" s="103"/>
      <c r="O9" s="11"/>
      <c r="P9" s="149"/>
    </row>
    <row r="10" spans="1:16" ht="20.100000000000001" customHeight="1">
      <c r="A10" s="322" t="s">
        <v>102</v>
      </c>
      <c r="B10" s="29"/>
      <c r="K10" s="163"/>
      <c r="L10" s="103"/>
      <c r="M10" s="103"/>
      <c r="O10" s="11"/>
      <c r="P10" s="149"/>
    </row>
    <row r="11" spans="1:16" ht="20.100000000000001" customHeight="1">
      <c r="A11" s="322" t="s">
        <v>102</v>
      </c>
      <c r="B11" s="29"/>
      <c r="K11" s="163"/>
      <c r="L11" s="103"/>
      <c r="M11" s="103"/>
      <c r="O11" s="11"/>
      <c r="P11" s="149"/>
    </row>
    <row r="12" spans="1:16" ht="20.100000000000001" customHeight="1">
      <c r="A12" s="322" t="s">
        <v>102</v>
      </c>
      <c r="B12" s="29"/>
      <c r="K12" s="163"/>
      <c r="L12" s="103"/>
      <c r="M12" s="103"/>
      <c r="O12" s="11"/>
      <c r="P12" s="149"/>
    </row>
    <row r="13" spans="1:16" ht="20.100000000000001" customHeight="1">
      <c r="A13" s="322" t="s">
        <v>102</v>
      </c>
      <c r="B13" s="29"/>
      <c r="K13" s="163"/>
      <c r="L13" s="103"/>
      <c r="M13" s="103"/>
      <c r="O13" s="11"/>
      <c r="P13" s="149"/>
    </row>
    <row r="14" spans="1:16" ht="20.100000000000001" customHeight="1">
      <c r="A14" s="322" t="s">
        <v>102</v>
      </c>
      <c r="B14" s="29"/>
      <c r="K14" s="163"/>
      <c r="L14" s="103"/>
      <c r="M14" s="103"/>
      <c r="P14" s="149"/>
    </row>
    <row r="15" spans="1:16" ht="20.100000000000001" customHeight="1">
      <c r="A15" s="322" t="s">
        <v>102</v>
      </c>
      <c r="K15" s="163"/>
      <c r="L15" s="103"/>
      <c r="M15" s="103"/>
      <c r="P15" s="149"/>
    </row>
    <row r="16" spans="1:16" ht="20.100000000000001" customHeight="1">
      <c r="A16" s="322" t="s">
        <v>102</v>
      </c>
      <c r="K16" s="163"/>
      <c r="L16" s="103"/>
      <c r="M16" s="103"/>
      <c r="P16" s="149"/>
    </row>
    <row r="17" spans="1:16" ht="20.100000000000001" customHeight="1">
      <c r="A17" s="322" t="s">
        <v>102</v>
      </c>
      <c r="K17" s="163"/>
      <c r="L17" s="103"/>
      <c r="M17" s="103"/>
      <c r="P17" s="149"/>
    </row>
    <row r="18" spans="1:16" ht="20.100000000000001" customHeight="1">
      <c r="A18" s="322" t="s">
        <v>102</v>
      </c>
      <c r="K18" s="163"/>
      <c r="L18" s="103"/>
      <c r="M18" s="103"/>
      <c r="P18" s="149"/>
    </row>
    <row r="19" spans="1:16" ht="20.100000000000001" customHeight="1">
      <c r="A19" s="322" t="s">
        <v>102</v>
      </c>
      <c r="K19" s="163"/>
      <c r="L19" s="103"/>
      <c r="M19" s="103"/>
      <c r="P19" s="149"/>
    </row>
    <row r="20" spans="1:16">
      <c r="A20" s="322" t="s">
        <v>102</v>
      </c>
      <c r="K20" s="163"/>
      <c r="L20" s="103"/>
      <c r="M20" s="103"/>
      <c r="P20" s="149"/>
    </row>
    <row r="21" spans="1:16">
      <c r="A21" s="322" t="s">
        <v>102</v>
      </c>
      <c r="K21" s="163"/>
      <c r="L21" s="103"/>
      <c r="M21" s="103"/>
      <c r="P21" s="149"/>
    </row>
    <row r="22" spans="1:16">
      <c r="A22" s="322" t="s">
        <v>102</v>
      </c>
      <c r="K22" s="163"/>
      <c r="L22" s="103"/>
      <c r="M22" s="103"/>
      <c r="P22" s="149"/>
    </row>
    <row r="23" spans="1:16">
      <c r="A23" s="322" t="s">
        <v>102</v>
      </c>
      <c r="K23" s="163"/>
      <c r="L23" s="103"/>
      <c r="M23" s="103"/>
      <c r="P23" s="149"/>
    </row>
    <row r="24" spans="1:16">
      <c r="A24" s="322" t="s">
        <v>102</v>
      </c>
      <c r="K24" s="163"/>
      <c r="L24" s="103"/>
      <c r="M24" s="103"/>
      <c r="P24" s="149"/>
    </row>
    <row r="25" spans="1:16">
      <c r="A25" s="322" t="s">
        <v>102</v>
      </c>
      <c r="K25" s="163"/>
      <c r="L25" s="103"/>
      <c r="M25" s="103"/>
      <c r="P25" s="149"/>
    </row>
    <row r="26" spans="1:16">
      <c r="A26" s="322" t="s">
        <v>102</v>
      </c>
      <c r="K26" s="163"/>
      <c r="L26" s="103"/>
      <c r="M26" s="103"/>
      <c r="P26" s="149"/>
    </row>
    <row r="27" spans="1:16">
      <c r="A27" s="322" t="s">
        <v>102</v>
      </c>
      <c r="K27" s="163"/>
      <c r="L27" s="103"/>
      <c r="M27" s="103"/>
      <c r="P27" s="149"/>
    </row>
    <row r="28" spans="1:16">
      <c r="A28" s="322" t="s">
        <v>102</v>
      </c>
      <c r="K28" s="163"/>
      <c r="L28" s="103"/>
      <c r="M28" s="103"/>
      <c r="P28" s="149"/>
    </row>
    <row r="29" spans="1:16">
      <c r="A29" s="322" t="s">
        <v>102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P53"/>
  <sheetViews>
    <sheetView workbookViewId="0">
      <pane ySplit="1" topLeftCell="A14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5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77" t="s">
        <v>71</v>
      </c>
      <c r="N1" s="24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22" t="s">
        <v>101</v>
      </c>
      <c r="B3" s="34" t="s">
        <v>72</v>
      </c>
      <c r="C3" s="34" t="s">
        <v>72</v>
      </c>
      <c r="D3" s="258" t="s">
        <v>72</v>
      </c>
      <c r="E3" s="35"/>
      <c r="F3" s="35"/>
      <c r="G3" s="35"/>
      <c r="H3" s="35"/>
      <c r="I3" s="35"/>
      <c r="J3" s="35"/>
      <c r="L3" s="259" t="s">
        <v>728</v>
      </c>
      <c r="M3" s="84"/>
      <c r="N3" s="119" t="s">
        <v>729</v>
      </c>
      <c r="O3" s="11"/>
      <c r="P3" s="144"/>
    </row>
    <row r="4" spans="1:16" s="2" customFormat="1" ht="25.2" customHeight="1">
      <c r="A4" s="322" t="s">
        <v>100</v>
      </c>
      <c r="B4" s="260" t="s">
        <v>72</v>
      </c>
      <c r="C4" s="260" t="s">
        <v>72</v>
      </c>
      <c r="D4" s="258" t="s">
        <v>72</v>
      </c>
      <c r="E4" s="35"/>
      <c r="F4" s="35"/>
      <c r="G4" s="35"/>
      <c r="H4" s="35"/>
      <c r="I4" s="35"/>
      <c r="J4" s="35"/>
      <c r="L4" s="259"/>
      <c r="M4" s="84"/>
      <c r="N4" s="119" t="s">
        <v>727</v>
      </c>
      <c r="O4" s="11"/>
      <c r="P4" s="144"/>
    </row>
    <row r="5" spans="1:16" s="2" customFormat="1" ht="25.2" customHeight="1">
      <c r="A5" s="322" t="s">
        <v>101</v>
      </c>
      <c r="B5" s="34" t="s">
        <v>72</v>
      </c>
      <c r="C5" s="29"/>
      <c r="D5" s="30" t="s">
        <v>72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175</v>
      </c>
      <c r="O5" s="11"/>
      <c r="P5" s="144"/>
    </row>
    <row r="6" spans="1:16" s="2" customFormat="1" ht="25.2" customHeight="1">
      <c r="A6" s="322" t="s">
        <v>101</v>
      </c>
      <c r="B6" s="34" t="s">
        <v>72</v>
      </c>
      <c r="C6" s="257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2</v>
      </c>
      <c r="M6" s="84" t="s">
        <v>9</v>
      </c>
      <c r="N6" s="119" t="s">
        <v>176</v>
      </c>
      <c r="O6" s="11"/>
      <c r="P6" s="144"/>
    </row>
    <row r="7" spans="1:16" s="2" customFormat="1" ht="25.2" customHeight="1">
      <c r="A7" s="322" t="s">
        <v>101</v>
      </c>
      <c r="B7" s="34" t="s">
        <v>72</v>
      </c>
      <c r="C7" s="34"/>
      <c r="D7" s="35" t="s">
        <v>72</v>
      </c>
      <c r="E7" s="35"/>
      <c r="F7" s="35"/>
      <c r="G7" s="35"/>
      <c r="H7" s="35"/>
      <c r="I7" s="35"/>
      <c r="J7" s="35"/>
      <c r="L7" s="84" t="s">
        <v>42</v>
      </c>
      <c r="M7" s="84"/>
      <c r="N7" s="119" t="s">
        <v>177</v>
      </c>
      <c r="O7" s="11"/>
      <c r="P7" s="144"/>
    </row>
    <row r="8" spans="1:16" s="2" customFormat="1" ht="25.2" customHeight="1">
      <c r="A8" s="322" t="s">
        <v>101</v>
      </c>
      <c r="B8" s="34" t="s">
        <v>72</v>
      </c>
      <c r="C8" s="34"/>
      <c r="D8" s="35" t="s">
        <v>72</v>
      </c>
      <c r="E8" s="35"/>
      <c r="F8" s="35"/>
      <c r="G8" s="35"/>
      <c r="H8" s="35"/>
      <c r="I8" s="35"/>
      <c r="J8" s="35"/>
      <c r="L8" s="84" t="s">
        <v>21</v>
      </c>
      <c r="M8" s="84"/>
      <c r="N8" s="119" t="s">
        <v>178</v>
      </c>
      <c r="O8" s="11"/>
      <c r="P8" s="144"/>
    </row>
    <row r="9" spans="1:16" s="2" customFormat="1" ht="25.2" customHeight="1">
      <c r="A9" s="322" t="s">
        <v>100</v>
      </c>
      <c r="B9" s="34" t="s">
        <v>72</v>
      </c>
      <c r="C9" s="34"/>
      <c r="D9" s="258" t="s">
        <v>72</v>
      </c>
      <c r="E9" s="35"/>
      <c r="F9" s="35"/>
      <c r="G9" s="35"/>
      <c r="H9" s="35"/>
      <c r="I9" s="35"/>
      <c r="J9" s="35"/>
      <c r="L9" s="84"/>
      <c r="M9" s="84"/>
      <c r="N9" s="119" t="s">
        <v>178</v>
      </c>
      <c r="O9" s="11"/>
      <c r="P9" s="144"/>
    </row>
    <row r="10" spans="1:16" s="2" customFormat="1" ht="25.2" customHeight="1">
      <c r="A10" s="322" t="s">
        <v>101</v>
      </c>
      <c r="B10" s="34" t="s">
        <v>72</v>
      </c>
      <c r="C10" s="34"/>
      <c r="D10" s="35" t="s">
        <v>72</v>
      </c>
      <c r="E10" s="35"/>
      <c r="F10" s="35"/>
      <c r="G10" s="35"/>
      <c r="H10" s="35"/>
      <c r="I10" s="35"/>
      <c r="J10" s="35"/>
      <c r="L10" s="270" t="s">
        <v>745</v>
      </c>
      <c r="M10" s="84" t="s">
        <v>214</v>
      </c>
      <c r="N10" s="119" t="s">
        <v>213</v>
      </c>
      <c r="O10" s="11"/>
      <c r="P10" s="144"/>
    </row>
    <row r="11" spans="1:16" s="2" customFormat="1" ht="25.2" customHeight="1">
      <c r="A11" s="322" t="s">
        <v>100</v>
      </c>
      <c r="B11" s="34" t="s">
        <v>72</v>
      </c>
      <c r="C11" s="34"/>
      <c r="D11" s="35" t="s">
        <v>72</v>
      </c>
      <c r="E11" s="35"/>
      <c r="F11" s="35"/>
      <c r="G11" s="35"/>
      <c r="H11" s="35"/>
      <c r="I11" s="35"/>
      <c r="J11" s="35"/>
      <c r="L11" s="84"/>
      <c r="M11" s="84"/>
      <c r="N11" s="119" t="s">
        <v>730</v>
      </c>
      <c r="O11" s="11"/>
      <c r="P11" s="144"/>
    </row>
    <row r="12" spans="1:16" s="2" customFormat="1" ht="25.2" customHeight="1">
      <c r="A12" s="322" t="s">
        <v>101</v>
      </c>
      <c r="B12" s="34" t="s">
        <v>72</v>
      </c>
      <c r="C12" s="34"/>
      <c r="D12" s="35"/>
      <c r="E12" s="35"/>
      <c r="F12" s="35"/>
      <c r="G12" s="35"/>
      <c r="H12" s="35" t="s">
        <v>72</v>
      </c>
      <c r="I12" s="35"/>
      <c r="J12" s="35"/>
      <c r="L12" s="84" t="s">
        <v>210</v>
      </c>
      <c r="M12" s="84"/>
      <c r="N12" s="119" t="s">
        <v>318</v>
      </c>
      <c r="O12" s="11"/>
      <c r="P12" s="145" t="s">
        <v>300</v>
      </c>
    </row>
    <row r="13" spans="1:16" s="2" customFormat="1" ht="25.2" customHeight="1">
      <c r="A13" s="322" t="s">
        <v>101</v>
      </c>
      <c r="B13" s="34" t="s">
        <v>72</v>
      </c>
      <c r="C13" s="34"/>
      <c r="D13" s="35"/>
      <c r="E13" s="35"/>
      <c r="F13" s="35"/>
      <c r="G13" s="35"/>
      <c r="H13" s="35" t="s">
        <v>72</v>
      </c>
      <c r="I13" s="35"/>
      <c r="J13" s="35"/>
      <c r="L13" s="84" t="s">
        <v>211</v>
      </c>
      <c r="M13" s="84"/>
      <c r="N13" s="119" t="s">
        <v>319</v>
      </c>
      <c r="O13" s="11"/>
      <c r="P13" s="145" t="s">
        <v>300</v>
      </c>
    </row>
    <row r="14" spans="1:16" s="2" customFormat="1" ht="25.2" customHeight="1">
      <c r="A14" s="322" t="s">
        <v>101</v>
      </c>
      <c r="B14" s="34" t="s">
        <v>72</v>
      </c>
      <c r="C14" s="34"/>
      <c r="D14" s="35"/>
      <c r="E14" s="35"/>
      <c r="F14" s="35"/>
      <c r="G14" s="35"/>
      <c r="H14" s="35" t="s">
        <v>72</v>
      </c>
      <c r="I14" s="35"/>
      <c r="J14" s="35"/>
      <c r="L14" s="96" t="s">
        <v>253</v>
      </c>
      <c r="M14" s="84"/>
      <c r="N14" s="119" t="s">
        <v>320</v>
      </c>
      <c r="O14" s="11"/>
      <c r="P14" s="145" t="s">
        <v>300</v>
      </c>
    </row>
    <row r="15" spans="1:16" s="2" customFormat="1" ht="25.2" customHeight="1">
      <c r="A15" s="322" t="s">
        <v>101</v>
      </c>
      <c r="B15" s="34" t="s">
        <v>72</v>
      </c>
      <c r="C15" s="34"/>
      <c r="D15" s="35"/>
      <c r="E15" s="35"/>
      <c r="F15" s="35"/>
      <c r="G15" s="35"/>
      <c r="H15" s="35"/>
      <c r="I15" s="104" t="s">
        <v>72</v>
      </c>
      <c r="J15" s="35"/>
      <c r="L15" s="96" t="s">
        <v>254</v>
      </c>
      <c r="M15" s="84"/>
      <c r="N15" s="119" t="s">
        <v>254</v>
      </c>
      <c r="P15" s="145" t="s">
        <v>300</v>
      </c>
    </row>
    <row r="16" spans="1:16" s="2" customFormat="1" ht="25.2" customHeight="1">
      <c r="A16" s="322" t="s">
        <v>100</v>
      </c>
      <c r="B16" s="34" t="s">
        <v>72</v>
      </c>
      <c r="C16" s="34"/>
      <c r="D16" s="35"/>
      <c r="E16" s="35"/>
      <c r="F16" s="35"/>
      <c r="G16" s="35"/>
      <c r="H16" s="35"/>
      <c r="I16" s="104" t="s">
        <v>72</v>
      </c>
      <c r="J16" s="35"/>
      <c r="L16" s="84"/>
      <c r="M16" s="84"/>
      <c r="N16" s="119" t="s">
        <v>321</v>
      </c>
      <c r="O16" s="1" t="s">
        <v>256</v>
      </c>
      <c r="P16" s="145" t="s">
        <v>300</v>
      </c>
    </row>
    <row r="17" spans="1:16" s="2" customFormat="1" ht="25.2" customHeight="1">
      <c r="A17" s="322" t="s">
        <v>100</v>
      </c>
      <c r="B17" s="34"/>
      <c r="C17" s="34"/>
      <c r="D17" s="35"/>
      <c r="E17" s="35"/>
      <c r="F17" s="35"/>
      <c r="G17" s="35"/>
      <c r="H17" s="35"/>
      <c r="I17" s="104" t="s">
        <v>72</v>
      </c>
      <c r="J17" s="35"/>
      <c r="L17" s="84"/>
      <c r="M17" s="84"/>
      <c r="N17" s="119" t="s">
        <v>322</v>
      </c>
      <c r="O17" s="98" t="s">
        <v>255</v>
      </c>
      <c r="P17" s="145" t="s">
        <v>300</v>
      </c>
    </row>
    <row r="18" spans="1:16" s="2" customFormat="1" ht="25.2" customHeight="1">
      <c r="A18" s="322" t="s">
        <v>101</v>
      </c>
      <c r="B18" s="209" t="s">
        <v>72</v>
      </c>
      <c r="C18" s="34"/>
      <c r="D18" s="35"/>
      <c r="E18" s="35"/>
      <c r="F18" s="35"/>
      <c r="G18" s="35"/>
      <c r="H18" s="35"/>
      <c r="I18" s="35"/>
      <c r="J18" s="218" t="s">
        <v>646</v>
      </c>
      <c r="L18" s="96" t="s">
        <v>638</v>
      </c>
      <c r="M18" s="84"/>
      <c r="N18" s="119" t="s">
        <v>638</v>
      </c>
      <c r="O18" s="11"/>
      <c r="P18" s="145" t="s">
        <v>300</v>
      </c>
    </row>
    <row r="19" spans="1:16" s="2" customFormat="1" ht="25.2" customHeight="1">
      <c r="A19" s="322" t="s">
        <v>101</v>
      </c>
      <c r="B19" s="294" t="s">
        <v>72</v>
      </c>
      <c r="C19" s="34"/>
      <c r="D19" s="35"/>
      <c r="E19" s="35"/>
      <c r="F19" s="35"/>
      <c r="G19" s="295" t="s">
        <v>72</v>
      </c>
      <c r="H19" s="35"/>
      <c r="I19" s="35"/>
      <c r="J19" s="35"/>
      <c r="L19" s="296" t="s">
        <v>769</v>
      </c>
      <c r="M19" s="297" t="s">
        <v>145</v>
      </c>
      <c r="N19" s="119" t="s">
        <v>768</v>
      </c>
      <c r="O19" s="11"/>
      <c r="P19" s="145" t="s">
        <v>300</v>
      </c>
    </row>
    <row r="20" spans="1:16" s="2" customFormat="1" ht="25.2" customHeight="1">
      <c r="A20" s="322" t="s">
        <v>102</v>
      </c>
      <c r="B20" s="34"/>
      <c r="C20" s="34"/>
      <c r="D20" s="35"/>
      <c r="E20" s="35"/>
      <c r="F20" s="35"/>
      <c r="G20" s="35"/>
      <c r="H20" s="35"/>
      <c r="I20" s="35"/>
      <c r="J20" s="35"/>
      <c r="L20" s="84"/>
      <c r="M20" s="84"/>
      <c r="N20" s="86"/>
      <c r="O20" s="11"/>
      <c r="P20" s="144"/>
    </row>
    <row r="21" spans="1:16" s="2" customFormat="1" ht="25.2" customHeight="1">
      <c r="A21" s="322" t="s">
        <v>102</v>
      </c>
      <c r="B21" s="34"/>
      <c r="C21" s="34"/>
      <c r="D21" s="35"/>
      <c r="E21" s="35"/>
      <c r="F21" s="35"/>
      <c r="G21" s="35"/>
      <c r="H21" s="35"/>
      <c r="I21" s="35"/>
      <c r="J21" s="35"/>
      <c r="L21" s="84"/>
      <c r="M21" s="84"/>
      <c r="N21" s="86"/>
      <c r="O21" s="11"/>
      <c r="P21" s="144"/>
    </row>
    <row r="22" spans="1:16" s="2" customFormat="1" ht="25.2" customHeight="1">
      <c r="A22" s="322" t="s">
        <v>102</v>
      </c>
      <c r="B22" s="34"/>
      <c r="C22" s="34"/>
      <c r="D22" s="35"/>
      <c r="E22" s="35"/>
      <c r="F22" s="35"/>
      <c r="G22" s="35"/>
      <c r="H22" s="35"/>
      <c r="I22" s="35"/>
      <c r="J22" s="35"/>
      <c r="L22" s="84"/>
      <c r="M22" s="84"/>
      <c r="N22" s="86"/>
      <c r="O22" s="11"/>
      <c r="P22" s="144"/>
    </row>
    <row r="23" spans="1:16" s="2" customFormat="1" ht="25.2" customHeight="1">
      <c r="A23" s="322" t="s">
        <v>102</v>
      </c>
      <c r="B23" s="34"/>
      <c r="C23" s="34"/>
      <c r="D23" s="35"/>
      <c r="E23" s="35"/>
      <c r="F23" s="35"/>
      <c r="G23" s="35"/>
      <c r="H23" s="35"/>
      <c r="I23" s="35"/>
      <c r="J23" s="35"/>
      <c r="L23" s="84"/>
      <c r="M23" s="84"/>
      <c r="N23" s="86"/>
      <c r="O23" s="11"/>
      <c r="P23" s="144"/>
    </row>
    <row r="24" spans="1:16" s="2" customFormat="1" ht="25.2" customHeight="1">
      <c r="A24" s="322" t="s">
        <v>102</v>
      </c>
      <c r="B24" s="34"/>
      <c r="C24" s="34"/>
      <c r="D24" s="35"/>
      <c r="E24" s="35"/>
      <c r="F24" s="35"/>
      <c r="G24" s="35"/>
      <c r="H24" s="35"/>
      <c r="I24" s="35"/>
      <c r="J24" s="35"/>
      <c r="L24" s="84"/>
      <c r="M24" s="84"/>
      <c r="N24" s="86"/>
      <c r="O24" s="11"/>
      <c r="P24" s="144"/>
    </row>
    <row r="25" spans="1:16" s="2" customFormat="1" ht="25.2" customHeight="1">
      <c r="A25" s="322" t="s">
        <v>102</v>
      </c>
      <c r="B25" s="34"/>
      <c r="C25" s="34"/>
      <c r="D25" s="35"/>
      <c r="E25" s="35"/>
      <c r="F25" s="35"/>
      <c r="G25" s="35"/>
      <c r="H25" s="35"/>
      <c r="I25" s="35"/>
      <c r="J25" s="35"/>
      <c r="L25" s="84"/>
      <c r="M25" s="84"/>
      <c r="N25" s="86"/>
      <c r="O25" s="11"/>
      <c r="P25" s="144"/>
    </row>
    <row r="26" spans="1:16" s="2" customFormat="1" ht="25.2" customHeight="1">
      <c r="A26" s="322" t="s">
        <v>102</v>
      </c>
      <c r="B26" s="34"/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4"/>
      <c r="O26" s="11"/>
      <c r="P26" s="144"/>
    </row>
    <row r="27" spans="1:16" s="2" customFormat="1" ht="25.2" customHeight="1">
      <c r="A27" s="322" t="s">
        <v>102</v>
      </c>
      <c r="B27" s="34"/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4"/>
      <c r="O27" s="11"/>
      <c r="P27" s="144"/>
    </row>
    <row r="28" spans="1:16" s="2" customFormat="1" ht="25.2" customHeight="1">
      <c r="A28" s="322" t="s">
        <v>102</v>
      </c>
      <c r="B28" s="34"/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4"/>
      <c r="O28" s="11"/>
      <c r="P28" s="144"/>
    </row>
    <row r="29" spans="1:16" s="2" customFormat="1" ht="25.2" customHeight="1">
      <c r="A29" s="322" t="s">
        <v>102</v>
      </c>
      <c r="B29" s="34"/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6" s="2" customFormat="1" ht="25.2" customHeight="1">
      <c r="A30" s="322" t="s">
        <v>102</v>
      </c>
      <c r="B30" s="34"/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6" s="2" customFormat="1" ht="25.2" customHeight="1">
      <c r="A31" s="322" t="s">
        <v>102</v>
      </c>
      <c r="B31" s="34"/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6" s="2" customFormat="1" ht="25.2" customHeight="1">
      <c r="A32" s="322" t="s">
        <v>102</v>
      </c>
      <c r="B32" s="34"/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22" t="s">
        <v>102</v>
      </c>
      <c r="B33" s="34"/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22" t="s">
        <v>102</v>
      </c>
      <c r="B34" s="34"/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22" t="s">
        <v>102</v>
      </c>
      <c r="B35" s="34"/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22" t="s">
        <v>102</v>
      </c>
      <c r="B36" s="34"/>
      <c r="C36" s="34"/>
      <c r="D36" s="35"/>
      <c r="E36" s="35"/>
      <c r="F36" s="35"/>
      <c r="G36" s="35"/>
      <c r="H36" s="35"/>
      <c r="I36" s="35"/>
      <c r="K36" s="35"/>
      <c r="L36" s="84"/>
      <c r="M36" s="84"/>
      <c r="N36" s="4"/>
      <c r="O36" s="11"/>
      <c r="P36" s="144"/>
    </row>
    <row r="37" spans="1:16" s="2" customFormat="1" ht="25.2" customHeight="1">
      <c r="A37" s="322" t="s">
        <v>102</v>
      </c>
      <c r="B37" s="34"/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22" t="s">
        <v>102</v>
      </c>
      <c r="B38" s="34"/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22" t="s">
        <v>102</v>
      </c>
      <c r="B39" s="34"/>
      <c r="C39" s="34"/>
      <c r="D39" s="35"/>
      <c r="E39" s="35"/>
      <c r="F39" s="35"/>
      <c r="G39" s="35"/>
      <c r="H39" s="35"/>
      <c r="I39" s="35"/>
      <c r="J39" s="35"/>
      <c r="L39" s="84"/>
      <c r="M39" s="84"/>
      <c r="N39" s="4"/>
      <c r="O39" s="11"/>
      <c r="P39" s="144"/>
    </row>
    <row r="40" spans="1:16" s="2" customFormat="1" ht="25.2" customHeight="1">
      <c r="A40" s="322" t="s">
        <v>102</v>
      </c>
      <c r="B40" s="34"/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22" t="s">
        <v>102</v>
      </c>
      <c r="B41" s="34"/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22" t="s">
        <v>102</v>
      </c>
      <c r="B42" s="34"/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22" t="s">
        <v>102</v>
      </c>
      <c r="B43" s="34"/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22" t="s">
        <v>102</v>
      </c>
      <c r="B44" s="34"/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22" t="s">
        <v>102</v>
      </c>
      <c r="B45" s="34"/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22" t="s">
        <v>102</v>
      </c>
      <c r="B46" s="34"/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22" t="s">
        <v>102</v>
      </c>
      <c r="B47" s="34"/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22" t="s">
        <v>102</v>
      </c>
      <c r="B48" s="34"/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22" t="s">
        <v>102</v>
      </c>
      <c r="B49" s="34"/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22" t="s">
        <v>102</v>
      </c>
      <c r="B50" s="34"/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22"/>
      <c r="B51" s="34"/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</row>
    <row r="52" spans="1:16" s="2" customFormat="1" ht="25.2" customHeight="1">
      <c r="A52" s="322"/>
      <c r="B52" s="34"/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</row>
    <row r="53" spans="1:16" s="2" customFormat="1" ht="25.2" customHeight="1">
      <c r="A53" s="322"/>
      <c r="B53" s="34"/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</row>
  </sheetData>
  <hyperlinks>
    <hyperlink ref="N3" r:id="rId1" xr:uid="{EE1BF211-B297-4F95-90CF-D95ACD345476}"/>
    <hyperlink ref="N4" r:id="rId2" xr:uid="{D0977A42-722F-4A51-A36B-D5985E44C16A}"/>
    <hyperlink ref="N5" r:id="rId3" xr:uid="{244F9BDD-95BD-4F6E-AE2D-5CC054A47BFF}"/>
    <hyperlink ref="N6" r:id="rId4" xr:uid="{02614A8B-8336-470F-B970-65D531EEC668}"/>
    <hyperlink ref="N7" r:id="rId5" xr:uid="{887E84A7-25E7-412C-A31F-E752878BEC91}"/>
    <hyperlink ref="N8" r:id="rId6" xr:uid="{0919D940-49B8-43E8-A97A-4C434E5CE28A}"/>
    <hyperlink ref="N9" r:id="rId7" xr:uid="{224ACBBF-6AD1-4CE6-B220-1D858C92A7D6}"/>
    <hyperlink ref="N10" r:id="rId8" xr:uid="{9902CF38-864C-4D82-9BB3-6704855F7FB2}"/>
    <hyperlink ref="N11" r:id="rId9" xr:uid="{30731101-36F1-48DA-902B-BA5578EAAD8F}"/>
    <hyperlink ref="N12" r:id="rId10" xr:uid="{51B162EB-DB70-49E2-BCEA-D299AE871C0F}"/>
    <hyperlink ref="N13" r:id="rId11" xr:uid="{F066E73B-A829-4D5E-A4D2-93BA1B9FA947}"/>
    <hyperlink ref="N14" r:id="rId12" xr:uid="{39502A48-EB5A-40B2-9E88-40FE9988874C}"/>
    <hyperlink ref="N15" r:id="rId13" xr:uid="{A33B4B50-94FD-4BA9-B0B0-30B1BC11D53D}"/>
    <hyperlink ref="N16" r:id="rId14" xr:uid="{DCEE851C-C98B-4FC3-A0D4-C4D3690866B5}"/>
    <hyperlink ref="N17" r:id="rId15" xr:uid="{CA4A323B-B955-4123-84D5-CF395EAE1B17}"/>
    <hyperlink ref="N18" r:id="rId16" xr:uid="{5DCFA08B-C101-43C6-BCCD-2A7EDAC8E4AB}"/>
    <hyperlink ref="N19" r:id="rId17" xr:uid="{07EF5D0B-7372-4E02-A3C8-11426463C638}"/>
  </hyperlinks>
  <pageMargins left="0.7" right="0.7" top="0.78740157499999996" bottom="0.78740157499999996" header="0.3" footer="0.3"/>
  <pageSetup paperSize="9" orientation="portrait" r:id="rId1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105" t="s">
        <v>70</v>
      </c>
      <c r="M1" s="107" t="s">
        <v>71</v>
      </c>
      <c r="N1" s="108" t="s">
        <v>14</v>
      </c>
      <c r="O1" s="109" t="s">
        <v>97</v>
      </c>
    </row>
    <row r="2" spans="1:16" s="101" customFormat="1" ht="25.2" customHeight="1">
      <c r="A2" s="321" t="s">
        <v>103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28</v>
      </c>
      <c r="N2" s="112"/>
      <c r="O2" s="98"/>
    </row>
    <row r="3" spans="1:16" s="101" customFormat="1" ht="25.2" customHeight="1">
      <c r="A3" s="322" t="s">
        <v>101</v>
      </c>
      <c r="B3" s="97" t="s">
        <v>72</v>
      </c>
      <c r="C3" s="97"/>
      <c r="D3" s="95" t="s">
        <v>72</v>
      </c>
      <c r="E3" s="95"/>
      <c r="F3" s="95"/>
      <c r="G3" s="95"/>
      <c r="H3" s="95"/>
      <c r="I3" s="95"/>
      <c r="J3" s="95"/>
      <c r="L3" s="96" t="s">
        <v>19</v>
      </c>
      <c r="M3" s="113" t="s">
        <v>29</v>
      </c>
      <c r="N3" s="119" t="s">
        <v>179</v>
      </c>
      <c r="O3" s="98"/>
      <c r="P3" s="137" t="s">
        <v>300</v>
      </c>
    </row>
    <row r="4" spans="1:16" s="101" customFormat="1" ht="46.8">
      <c r="A4" s="322" t="s">
        <v>100</v>
      </c>
      <c r="B4" s="97" t="s">
        <v>72</v>
      </c>
      <c r="C4" s="31"/>
      <c r="D4" s="32"/>
      <c r="E4" s="32"/>
      <c r="F4" s="32"/>
      <c r="G4" s="32"/>
      <c r="H4" s="32"/>
      <c r="I4" s="32"/>
      <c r="J4" s="32"/>
      <c r="L4" s="96"/>
      <c r="M4" s="113" t="s">
        <v>27</v>
      </c>
      <c r="N4" s="119" t="s">
        <v>171</v>
      </c>
      <c r="O4" s="98"/>
      <c r="P4" s="137" t="s">
        <v>300</v>
      </c>
    </row>
    <row r="5" spans="1:16" s="101" customFormat="1" ht="20.100000000000001" customHeight="1">
      <c r="A5" s="322" t="s">
        <v>100</v>
      </c>
      <c r="B5" s="97" t="s">
        <v>72</v>
      </c>
      <c r="C5" s="31"/>
      <c r="D5" s="32"/>
      <c r="E5" s="32"/>
      <c r="F5" s="32"/>
      <c r="G5" s="32"/>
      <c r="H5" s="32"/>
      <c r="I5" s="32"/>
      <c r="J5" s="32"/>
      <c r="L5" s="96"/>
      <c r="M5" s="113"/>
      <c r="N5" s="119" t="s">
        <v>144</v>
      </c>
      <c r="O5" s="98" t="s">
        <v>143</v>
      </c>
      <c r="P5" s="137" t="s">
        <v>300</v>
      </c>
    </row>
    <row r="6" spans="1:16" s="101" customFormat="1" ht="20.100000000000001" customHeight="1">
      <c r="A6" s="322" t="s">
        <v>101</v>
      </c>
      <c r="B6" s="97" t="s">
        <v>72</v>
      </c>
      <c r="C6" s="97"/>
      <c r="D6" s="95" t="s">
        <v>72</v>
      </c>
      <c r="E6" s="95"/>
      <c r="F6" s="95"/>
      <c r="G6" s="95"/>
      <c r="H6" s="95"/>
      <c r="I6" s="95"/>
      <c r="J6" s="95"/>
      <c r="L6" s="96" t="s">
        <v>18</v>
      </c>
      <c r="M6" s="113"/>
      <c r="N6" s="119" t="s">
        <v>180</v>
      </c>
      <c r="O6" s="98"/>
      <c r="P6" s="137" t="s">
        <v>300</v>
      </c>
    </row>
    <row r="7" spans="1:16" s="101" customFormat="1" ht="20.100000000000001" customHeight="1">
      <c r="A7" s="322" t="s">
        <v>100</v>
      </c>
      <c r="B7" s="97" t="s">
        <v>72</v>
      </c>
      <c r="C7" s="31"/>
      <c r="D7" s="32"/>
      <c r="E7" s="32"/>
      <c r="F7" s="32"/>
      <c r="G7" s="32"/>
      <c r="H7" s="32"/>
      <c r="I7" s="32"/>
      <c r="J7" s="32"/>
      <c r="L7" s="96"/>
      <c r="M7" s="113"/>
      <c r="N7" s="119" t="s">
        <v>181</v>
      </c>
      <c r="O7" s="98"/>
      <c r="P7" s="137" t="s">
        <v>300</v>
      </c>
    </row>
    <row r="8" spans="1:16" ht="20.100000000000001" customHeight="1">
      <c r="A8" s="322" t="s">
        <v>101</v>
      </c>
      <c r="B8" s="97" t="s">
        <v>72</v>
      </c>
      <c r="C8" s="97" t="s">
        <v>72</v>
      </c>
      <c r="D8" s="95" t="s">
        <v>72</v>
      </c>
      <c r="E8" s="95"/>
      <c r="F8" s="95"/>
      <c r="G8" s="95"/>
      <c r="H8" s="95"/>
      <c r="I8" s="95"/>
      <c r="J8" s="95"/>
      <c r="K8" s="163"/>
      <c r="L8" s="96" t="s">
        <v>17</v>
      </c>
      <c r="N8" s="119" t="s">
        <v>181</v>
      </c>
      <c r="O8" s="98"/>
      <c r="P8" s="138" t="s">
        <v>300</v>
      </c>
    </row>
    <row r="9" spans="1:16" ht="20.100000000000001" customHeight="1">
      <c r="A9" s="322" t="s">
        <v>101</v>
      </c>
      <c r="B9" s="97" t="s">
        <v>72</v>
      </c>
      <c r="I9" s="116" t="s">
        <v>72</v>
      </c>
      <c r="K9" s="163"/>
      <c r="L9" s="96" t="s">
        <v>257</v>
      </c>
      <c r="N9" s="119" t="s">
        <v>323</v>
      </c>
      <c r="O9" s="98"/>
      <c r="P9" s="138" t="s">
        <v>300</v>
      </c>
    </row>
    <row r="10" spans="1:16" ht="20.100000000000001" customHeight="1">
      <c r="A10" s="322" t="s">
        <v>101</v>
      </c>
      <c r="B10" s="97" t="s">
        <v>72</v>
      </c>
      <c r="I10" s="116" t="s">
        <v>72</v>
      </c>
      <c r="K10" s="163"/>
      <c r="L10" s="96" t="s">
        <v>258</v>
      </c>
      <c r="N10" s="119" t="s">
        <v>258</v>
      </c>
      <c r="O10" s="98"/>
      <c r="P10" s="138" t="s">
        <v>300</v>
      </c>
    </row>
    <row r="11" spans="1:16" ht="20.100000000000001" customHeight="1">
      <c r="A11" s="322" t="s">
        <v>102</v>
      </c>
      <c r="B11" s="97"/>
      <c r="K11" s="163"/>
      <c r="N11" s="114"/>
      <c r="O11" s="98"/>
      <c r="P11" s="136"/>
    </row>
    <row r="12" spans="1:16" ht="20.100000000000001" customHeight="1">
      <c r="A12" s="323"/>
      <c r="B12" s="97"/>
      <c r="K12" s="163"/>
      <c r="N12" s="114"/>
      <c r="O12" s="98"/>
    </row>
    <row r="13" spans="1:16" ht="20.100000000000001" customHeight="1">
      <c r="A13" s="323"/>
      <c r="B13" s="97"/>
      <c r="K13" s="163"/>
      <c r="O13" s="98"/>
    </row>
    <row r="14" spans="1:16" ht="20.100000000000001" customHeight="1">
      <c r="A14" s="323"/>
      <c r="B14" s="97"/>
      <c r="K14" s="163"/>
    </row>
    <row r="15" spans="1:16" ht="20.100000000000001" customHeight="1">
      <c r="A15" s="323"/>
      <c r="K15" s="163"/>
    </row>
    <row r="16" spans="1:16" ht="20.100000000000001" customHeight="1">
      <c r="A16" s="323"/>
      <c r="K16" s="163"/>
    </row>
    <row r="17" spans="1:11" ht="20.100000000000001" customHeight="1">
      <c r="A17" s="323"/>
      <c r="K17" s="163"/>
    </row>
    <row r="18" spans="1:11" ht="20.100000000000001" customHeight="1">
      <c r="A18" s="324"/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163"/>
    </row>
    <row r="35" spans="11:11">
      <c r="K35" s="116"/>
    </row>
  </sheetData>
  <hyperlinks>
    <hyperlink ref="N3" r:id="rId1" xr:uid="{7B14E0E4-0D8D-4F3F-B360-687265E89F49}"/>
    <hyperlink ref="N4" r:id="rId2" xr:uid="{4E874525-FD53-4155-8B94-8BB3B5657425}"/>
    <hyperlink ref="N5" r:id="rId3" xr:uid="{DC8767A7-39F0-4D75-B453-A2E956A94E64}"/>
    <hyperlink ref="N6" r:id="rId4" xr:uid="{ECF0886C-9C04-4C21-82A6-73F5A88BDE7C}"/>
    <hyperlink ref="N7" r:id="rId5" xr:uid="{73C0FC54-0F26-44F8-9A4D-86818826230C}"/>
    <hyperlink ref="N8" r:id="rId6" xr:uid="{FA7617B5-2B70-4065-AB50-8FC1EC215EEE}"/>
    <hyperlink ref="N9" r:id="rId7" xr:uid="{36A9D8E7-9863-429B-A1F4-15C6B15D6830}"/>
    <hyperlink ref="N10" r:id="rId8" xr:uid="{2C6D06D9-6424-4C0C-82E2-14283E968489}"/>
  </hyperlinks>
  <pageMargins left="0.7" right="0.7" top="0.78740157499999996" bottom="0.78740157499999996" header="0.3" footer="0.3"/>
  <pageSetup paperSize="9" orientation="portrait" r:id="rId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22" t="s">
        <v>101</v>
      </c>
      <c r="B3" s="29" t="s">
        <v>72</v>
      </c>
      <c r="C3" s="29"/>
      <c r="D3" s="30"/>
      <c r="E3" s="30"/>
      <c r="F3" s="30"/>
      <c r="G3" s="30"/>
      <c r="H3" s="30"/>
      <c r="I3" s="95" t="s">
        <v>72</v>
      </c>
      <c r="J3" s="30"/>
      <c r="L3" s="96" t="s">
        <v>245</v>
      </c>
      <c r="M3" s="4"/>
      <c r="N3" s="119" t="s">
        <v>324</v>
      </c>
      <c r="O3" s="11"/>
      <c r="P3" s="145" t="s">
        <v>300</v>
      </c>
    </row>
    <row r="4" spans="1:16" s="2" customFormat="1" ht="20.100000000000001" customHeight="1">
      <c r="A4" s="322" t="s">
        <v>100</v>
      </c>
      <c r="B4" s="29" t="s">
        <v>72</v>
      </c>
      <c r="C4" s="31"/>
      <c r="D4" s="32"/>
      <c r="E4" s="32"/>
      <c r="F4" s="32"/>
      <c r="G4" s="32"/>
      <c r="H4" s="32"/>
      <c r="I4" s="100" t="s">
        <v>72</v>
      </c>
      <c r="J4" s="32"/>
      <c r="M4" s="4"/>
      <c r="N4" s="119" t="s">
        <v>325</v>
      </c>
      <c r="O4" s="96" t="s">
        <v>246</v>
      </c>
      <c r="P4" s="145" t="s">
        <v>300</v>
      </c>
    </row>
    <row r="5" spans="1:16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99" t="s">
        <v>72</v>
      </c>
      <c r="J5" s="32"/>
      <c r="L5" s="1" t="s">
        <v>247</v>
      </c>
      <c r="M5" s="4"/>
      <c r="N5" s="119" t="s">
        <v>326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181" t="s">
        <v>72</v>
      </c>
      <c r="L6" s="178" t="s">
        <v>566</v>
      </c>
      <c r="M6" s="4"/>
      <c r="N6" s="119" t="s">
        <v>544</v>
      </c>
      <c r="O6" s="11"/>
      <c r="P6" s="145" t="s">
        <v>300</v>
      </c>
    </row>
    <row r="7" spans="1:16" s="2" customFormat="1" ht="20.100000000000001" customHeight="1">
      <c r="A7" s="322" t="s">
        <v>101</v>
      </c>
      <c r="B7" s="29" t="s">
        <v>72</v>
      </c>
      <c r="C7" s="31"/>
      <c r="D7" s="32"/>
      <c r="E7" s="32"/>
      <c r="F7" s="32"/>
      <c r="G7" s="32"/>
      <c r="H7" s="32"/>
      <c r="I7" s="32"/>
      <c r="J7" s="181" t="s">
        <v>72</v>
      </c>
      <c r="L7" s="178" t="s">
        <v>566</v>
      </c>
      <c r="M7" s="4"/>
      <c r="N7" s="119" t="s">
        <v>545</v>
      </c>
      <c r="O7" s="11"/>
      <c r="P7" s="145" t="s">
        <v>300</v>
      </c>
    </row>
    <row r="8" spans="1:16" ht="20.100000000000001" customHeight="1">
      <c r="A8" s="322" t="s">
        <v>101</v>
      </c>
      <c r="B8" s="29" t="s">
        <v>72</v>
      </c>
      <c r="C8" s="29"/>
      <c r="D8" s="30"/>
      <c r="E8" s="30"/>
      <c r="F8" s="30"/>
      <c r="G8" s="30"/>
      <c r="H8" s="30"/>
      <c r="I8" s="30"/>
      <c r="J8" s="181" t="s">
        <v>72</v>
      </c>
      <c r="K8" s="163"/>
      <c r="L8" s="178" t="s">
        <v>566</v>
      </c>
      <c r="N8" s="119" t="s">
        <v>546</v>
      </c>
      <c r="O8" s="11"/>
      <c r="P8" s="150" t="s">
        <v>300</v>
      </c>
    </row>
    <row r="9" spans="1:16" ht="20.100000000000001" customHeight="1">
      <c r="A9" s="322" t="s">
        <v>101</v>
      </c>
      <c r="B9" s="29" t="s">
        <v>72</v>
      </c>
      <c r="J9" s="181" t="s">
        <v>72</v>
      </c>
      <c r="K9" s="163"/>
      <c r="L9" s="178" t="s">
        <v>566</v>
      </c>
      <c r="N9" s="119" t="s">
        <v>547</v>
      </c>
      <c r="O9" s="11"/>
      <c r="P9" s="150" t="s">
        <v>300</v>
      </c>
    </row>
    <row r="10" spans="1:16" ht="20.100000000000001" customHeight="1">
      <c r="A10" s="322" t="s">
        <v>101</v>
      </c>
      <c r="B10" s="29" t="s">
        <v>72</v>
      </c>
      <c r="J10" s="181" t="s">
        <v>72</v>
      </c>
      <c r="K10" s="163"/>
      <c r="L10" s="178" t="s">
        <v>566</v>
      </c>
      <c r="N10" s="119" t="s">
        <v>548</v>
      </c>
      <c r="O10" s="11"/>
      <c r="P10" s="150" t="s">
        <v>300</v>
      </c>
    </row>
    <row r="11" spans="1:16" ht="20.100000000000001" customHeight="1">
      <c r="A11" s="322" t="s">
        <v>101</v>
      </c>
      <c r="B11" s="29" t="s">
        <v>72</v>
      </c>
      <c r="J11" s="181" t="s">
        <v>72</v>
      </c>
      <c r="K11" s="163"/>
      <c r="L11" s="178" t="s">
        <v>566</v>
      </c>
      <c r="N11" s="119" t="s">
        <v>549</v>
      </c>
      <c r="O11" s="11"/>
      <c r="P11" s="150" t="s">
        <v>300</v>
      </c>
    </row>
    <row r="12" spans="1:16" ht="20.100000000000001" customHeight="1">
      <c r="A12" s="322" t="s">
        <v>101</v>
      </c>
      <c r="B12" s="29" t="s">
        <v>72</v>
      </c>
      <c r="J12" s="181" t="s">
        <v>72</v>
      </c>
      <c r="K12" s="163"/>
      <c r="L12" s="178" t="s">
        <v>566</v>
      </c>
      <c r="N12" s="119" t="s">
        <v>550</v>
      </c>
      <c r="O12" s="11"/>
      <c r="P12" s="150" t="s">
        <v>300</v>
      </c>
    </row>
    <row r="13" spans="1:16" ht="20.100000000000001" customHeight="1">
      <c r="A13" s="322" t="s">
        <v>101</v>
      </c>
      <c r="B13" s="29" t="s">
        <v>72</v>
      </c>
      <c r="J13" s="181" t="s">
        <v>72</v>
      </c>
      <c r="K13" s="163"/>
      <c r="L13" s="178" t="s">
        <v>566</v>
      </c>
      <c r="N13" s="119" t="s">
        <v>551</v>
      </c>
      <c r="O13" s="11"/>
      <c r="P13" s="150" t="s">
        <v>300</v>
      </c>
    </row>
    <row r="14" spans="1:16" ht="20.100000000000001" customHeight="1">
      <c r="A14" s="322" t="s">
        <v>101</v>
      </c>
      <c r="B14" s="29" t="s">
        <v>72</v>
      </c>
      <c r="J14" s="181" t="s">
        <v>72</v>
      </c>
      <c r="K14" s="163"/>
      <c r="L14" s="178" t="s">
        <v>566</v>
      </c>
      <c r="N14" s="119" t="s">
        <v>552</v>
      </c>
      <c r="P14" s="150" t="s">
        <v>300</v>
      </c>
    </row>
    <row r="15" spans="1:16" ht="20.100000000000001" customHeight="1">
      <c r="A15" s="322" t="s">
        <v>101</v>
      </c>
      <c r="B15" s="29" t="s">
        <v>72</v>
      </c>
      <c r="J15" s="181" t="s">
        <v>72</v>
      </c>
      <c r="K15" s="163"/>
      <c r="L15" s="178" t="s">
        <v>566</v>
      </c>
      <c r="N15" s="119" t="s">
        <v>553</v>
      </c>
      <c r="P15" s="150" t="s">
        <v>300</v>
      </c>
    </row>
    <row r="16" spans="1:16" ht="20.100000000000001" customHeight="1">
      <c r="A16" s="322" t="s">
        <v>101</v>
      </c>
      <c r="B16" s="29" t="s">
        <v>72</v>
      </c>
      <c r="J16" s="181" t="s">
        <v>72</v>
      </c>
      <c r="K16" s="163"/>
      <c r="L16" s="178" t="s">
        <v>566</v>
      </c>
      <c r="N16" s="119" t="s">
        <v>554</v>
      </c>
      <c r="P16" s="150" t="s">
        <v>300</v>
      </c>
    </row>
    <row r="17" spans="1:16" ht="20.100000000000001" customHeight="1">
      <c r="A17" s="322" t="s">
        <v>101</v>
      </c>
      <c r="B17" s="29" t="s">
        <v>72</v>
      </c>
      <c r="J17" s="181" t="s">
        <v>72</v>
      </c>
      <c r="K17" s="163"/>
      <c r="L17" s="178" t="s">
        <v>566</v>
      </c>
      <c r="N17" s="119" t="s">
        <v>555</v>
      </c>
      <c r="P17" s="150" t="s">
        <v>300</v>
      </c>
    </row>
    <row r="18" spans="1:16" ht="20.100000000000001" customHeight="1">
      <c r="A18" s="322" t="s">
        <v>101</v>
      </c>
      <c r="B18" s="29" t="s">
        <v>72</v>
      </c>
      <c r="J18" s="181" t="s">
        <v>72</v>
      </c>
      <c r="K18" s="163"/>
      <c r="L18" s="178" t="s">
        <v>566</v>
      </c>
      <c r="N18" s="119" t="s">
        <v>556</v>
      </c>
      <c r="P18" s="150" t="s">
        <v>300</v>
      </c>
    </row>
    <row r="19" spans="1:16" ht="20.100000000000001" customHeight="1">
      <c r="A19" s="322" t="s">
        <v>101</v>
      </c>
      <c r="B19" s="29" t="s">
        <v>72</v>
      </c>
      <c r="J19" s="181" t="s">
        <v>72</v>
      </c>
      <c r="K19" s="163"/>
      <c r="L19" s="178" t="s">
        <v>566</v>
      </c>
      <c r="N19" s="119" t="s">
        <v>557</v>
      </c>
      <c r="P19" s="150" t="s">
        <v>300</v>
      </c>
    </row>
    <row r="20" spans="1:16">
      <c r="A20" s="322" t="s">
        <v>101</v>
      </c>
      <c r="B20" s="29" t="s">
        <v>72</v>
      </c>
      <c r="J20" s="181" t="s">
        <v>72</v>
      </c>
      <c r="K20" s="163"/>
      <c r="L20" s="178" t="s">
        <v>566</v>
      </c>
      <c r="N20" s="119" t="s">
        <v>558</v>
      </c>
      <c r="P20" s="150" t="s">
        <v>300</v>
      </c>
    </row>
    <row r="21" spans="1:16">
      <c r="A21" s="322" t="s">
        <v>101</v>
      </c>
      <c r="B21" s="29" t="s">
        <v>72</v>
      </c>
      <c r="J21" s="181" t="s">
        <v>72</v>
      </c>
      <c r="K21" s="163"/>
      <c r="L21" s="178" t="s">
        <v>566</v>
      </c>
      <c r="N21" s="119" t="s">
        <v>559</v>
      </c>
      <c r="P21" s="150" t="s">
        <v>300</v>
      </c>
    </row>
    <row r="22" spans="1:16">
      <c r="A22" s="322" t="s">
        <v>101</v>
      </c>
      <c r="B22" s="29" t="s">
        <v>72</v>
      </c>
      <c r="J22" s="181" t="s">
        <v>72</v>
      </c>
      <c r="K22" s="163"/>
      <c r="L22" s="178" t="s">
        <v>566</v>
      </c>
      <c r="N22" s="119" t="s">
        <v>560</v>
      </c>
      <c r="P22" s="150" t="s">
        <v>300</v>
      </c>
    </row>
    <row r="23" spans="1:16">
      <c r="A23" s="322" t="s">
        <v>101</v>
      </c>
      <c r="B23" s="29" t="s">
        <v>72</v>
      </c>
      <c r="J23" s="181" t="s">
        <v>72</v>
      </c>
      <c r="K23" s="163"/>
      <c r="L23" s="178" t="s">
        <v>566</v>
      </c>
      <c r="N23" s="119" t="s">
        <v>561</v>
      </c>
      <c r="P23" s="150" t="s">
        <v>300</v>
      </c>
    </row>
    <row r="24" spans="1:16">
      <c r="A24" s="322" t="s">
        <v>101</v>
      </c>
      <c r="B24" s="29" t="s">
        <v>72</v>
      </c>
      <c r="J24" s="181" t="s">
        <v>72</v>
      </c>
      <c r="K24" s="163"/>
      <c r="L24" s="178" t="s">
        <v>566</v>
      </c>
      <c r="N24" s="119" t="s">
        <v>562</v>
      </c>
      <c r="P24" s="150" t="s">
        <v>300</v>
      </c>
    </row>
    <row r="25" spans="1:16">
      <c r="A25" s="322" t="s">
        <v>101</v>
      </c>
      <c r="B25" s="29" t="s">
        <v>72</v>
      </c>
      <c r="J25" s="181" t="s">
        <v>72</v>
      </c>
      <c r="K25" s="163"/>
      <c r="L25" s="178" t="s">
        <v>566</v>
      </c>
      <c r="N25" s="119" t="s">
        <v>563</v>
      </c>
      <c r="P25" s="150" t="s">
        <v>300</v>
      </c>
    </row>
    <row r="26" spans="1:16">
      <c r="A26" s="322" t="s">
        <v>101</v>
      </c>
      <c r="B26" s="29" t="s">
        <v>72</v>
      </c>
      <c r="J26" s="181" t="s">
        <v>72</v>
      </c>
      <c r="K26" s="163"/>
      <c r="L26" s="178" t="s">
        <v>566</v>
      </c>
      <c r="N26" s="119" t="s">
        <v>564</v>
      </c>
      <c r="P26" s="150" t="s">
        <v>300</v>
      </c>
    </row>
    <row r="27" spans="1:16">
      <c r="A27" s="322" t="s">
        <v>102</v>
      </c>
      <c r="K27" s="163"/>
      <c r="N27" s="119" t="s">
        <v>565</v>
      </c>
      <c r="P27" s="149" t="s">
        <v>300</v>
      </c>
    </row>
    <row r="28" spans="1:16">
      <c r="A28" s="322" t="s">
        <v>101</v>
      </c>
      <c r="K28" s="163"/>
      <c r="N28" s="119"/>
      <c r="P28" s="149" t="s">
        <v>300</v>
      </c>
    </row>
    <row r="29" spans="1:16">
      <c r="A29" s="322" t="s">
        <v>101</v>
      </c>
      <c r="K29" s="163"/>
      <c r="N29" s="119"/>
      <c r="P29" s="149" t="s">
        <v>300</v>
      </c>
    </row>
    <row r="30" spans="1:16">
      <c r="A30" s="322" t="s">
        <v>101</v>
      </c>
      <c r="K30" s="163"/>
      <c r="N30" s="119"/>
      <c r="P30" s="149" t="s">
        <v>300</v>
      </c>
    </row>
    <row r="31" spans="1:16">
      <c r="A31" s="322" t="s">
        <v>101</v>
      </c>
      <c r="K31" s="163"/>
      <c r="N31" s="119"/>
      <c r="P31" s="149" t="s">
        <v>300</v>
      </c>
    </row>
    <row r="32" spans="1:16">
      <c r="A32" s="322" t="s">
        <v>101</v>
      </c>
      <c r="K32" s="163"/>
      <c r="N32" s="119"/>
      <c r="P32" s="149" t="s">
        <v>300</v>
      </c>
    </row>
    <row r="33" spans="1:16">
      <c r="A33" s="322" t="s">
        <v>101</v>
      </c>
      <c r="K33" s="163"/>
      <c r="N33" s="119"/>
      <c r="P33" s="149" t="s">
        <v>300</v>
      </c>
    </row>
    <row r="34" spans="1:16">
      <c r="A34" s="322" t="s">
        <v>101</v>
      </c>
      <c r="K34" s="163"/>
      <c r="N34" s="119"/>
      <c r="P34" s="149" t="s">
        <v>300</v>
      </c>
    </row>
    <row r="35" spans="1:16">
      <c r="A35" s="322" t="s">
        <v>101</v>
      </c>
      <c r="K35" s="33"/>
      <c r="N35" s="119"/>
      <c r="P35" s="149" t="s">
        <v>300</v>
      </c>
    </row>
    <row r="36" spans="1:16">
      <c r="A36" s="322" t="s">
        <v>101</v>
      </c>
      <c r="N36" s="119"/>
      <c r="P36" s="149" t="s">
        <v>300</v>
      </c>
    </row>
    <row r="37" spans="1:16">
      <c r="A37" s="322" t="s">
        <v>101</v>
      </c>
      <c r="N37" s="119"/>
      <c r="P37" s="149" t="s">
        <v>300</v>
      </c>
    </row>
    <row r="38" spans="1:16">
      <c r="A38" s="322" t="s">
        <v>101</v>
      </c>
      <c r="N38" s="119"/>
      <c r="P38" s="149" t="s">
        <v>300</v>
      </c>
    </row>
    <row r="39" spans="1:16">
      <c r="A39" s="322" t="s">
        <v>101</v>
      </c>
      <c r="N39" s="119"/>
      <c r="P39" s="149" t="s">
        <v>300</v>
      </c>
    </row>
    <row r="40" spans="1:16">
      <c r="A40" s="322" t="s">
        <v>101</v>
      </c>
      <c r="N40" s="119"/>
      <c r="P40" s="149" t="s">
        <v>300</v>
      </c>
    </row>
    <row r="41" spans="1:16">
      <c r="A41" s="322" t="s">
        <v>101</v>
      </c>
      <c r="N41" s="119"/>
      <c r="P41" s="149" t="s">
        <v>300</v>
      </c>
    </row>
    <row r="42" spans="1:16">
      <c r="A42" s="322" t="s">
        <v>101</v>
      </c>
      <c r="N42" s="119"/>
      <c r="P42" s="149" t="s">
        <v>300</v>
      </c>
    </row>
    <row r="43" spans="1:16">
      <c r="A43" s="322" t="s">
        <v>101</v>
      </c>
      <c r="N43" s="119"/>
      <c r="P43" s="149" t="s">
        <v>300</v>
      </c>
    </row>
    <row r="44" spans="1:16">
      <c r="A44" s="322" t="s">
        <v>102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7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21" t="s">
        <v>101</v>
      </c>
      <c r="B3" s="170" t="s">
        <v>72</v>
      </c>
      <c r="C3" s="27"/>
      <c r="D3" s="28"/>
      <c r="E3" s="28"/>
      <c r="F3" s="28"/>
      <c r="G3" s="28"/>
      <c r="H3" s="28"/>
      <c r="J3" s="28"/>
      <c r="K3" s="167" t="s">
        <v>72</v>
      </c>
      <c r="L3" s="169" t="s">
        <v>396</v>
      </c>
      <c r="M3" s="168" t="s">
        <v>395</v>
      </c>
      <c r="N3" s="119" t="s">
        <v>396</v>
      </c>
      <c r="O3" s="11"/>
      <c r="Q3" s="2" t="s">
        <v>669</v>
      </c>
    </row>
    <row r="4" spans="1:17" s="2" customFormat="1" ht="20.100000000000001" customHeight="1">
      <c r="A4" s="322" t="s">
        <v>101</v>
      </c>
      <c r="B4" s="29" t="s">
        <v>72</v>
      </c>
      <c r="C4" s="29"/>
      <c r="D4" s="30"/>
      <c r="E4" s="30"/>
      <c r="F4" s="30"/>
      <c r="G4" s="30"/>
      <c r="H4" s="30"/>
      <c r="I4" s="95"/>
      <c r="J4" s="30"/>
      <c r="K4" s="167" t="s">
        <v>72</v>
      </c>
      <c r="L4" s="169" t="s">
        <v>397</v>
      </c>
      <c r="M4" s="168" t="s">
        <v>395</v>
      </c>
      <c r="N4" s="119" t="s">
        <v>397</v>
      </c>
      <c r="O4" s="11"/>
      <c r="P4" s="145" t="s">
        <v>300</v>
      </c>
    </row>
    <row r="5" spans="1:17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100"/>
      <c r="J5" s="32"/>
      <c r="K5" s="167" t="s">
        <v>72</v>
      </c>
      <c r="L5" s="169" t="s">
        <v>398</v>
      </c>
      <c r="M5" s="168" t="s">
        <v>395</v>
      </c>
      <c r="N5" s="119" t="s">
        <v>398</v>
      </c>
      <c r="O5" s="168"/>
      <c r="P5" s="145" t="s">
        <v>300</v>
      </c>
    </row>
    <row r="6" spans="1:17" s="2" customFormat="1" ht="20.100000000000001" customHeight="1">
      <c r="A6" s="322" t="s">
        <v>101</v>
      </c>
      <c r="B6" s="29" t="s">
        <v>72</v>
      </c>
      <c r="C6" s="31"/>
      <c r="D6" s="32"/>
      <c r="E6" s="32"/>
      <c r="F6" s="32"/>
      <c r="G6" s="32"/>
      <c r="H6" s="32"/>
      <c r="I6" s="99"/>
      <c r="J6" s="32"/>
      <c r="K6" s="167" t="s">
        <v>72</v>
      </c>
      <c r="L6" s="169" t="s">
        <v>468</v>
      </c>
      <c r="M6" s="168" t="s">
        <v>395</v>
      </c>
      <c r="N6" s="119" t="s">
        <v>399</v>
      </c>
      <c r="O6" s="168" t="s">
        <v>475</v>
      </c>
      <c r="P6" s="145" t="s">
        <v>300</v>
      </c>
    </row>
    <row r="7" spans="1:17" s="2" customFormat="1" ht="20.100000000000001" customHeight="1">
      <c r="A7" s="322" t="s">
        <v>100</v>
      </c>
      <c r="B7" s="29" t="s">
        <v>72</v>
      </c>
      <c r="C7" s="29"/>
      <c r="D7" s="30"/>
      <c r="E7" s="30"/>
      <c r="F7" s="30"/>
      <c r="G7" s="30"/>
      <c r="H7" s="30"/>
      <c r="I7" s="30"/>
      <c r="J7" s="30"/>
      <c r="K7" s="167" t="s">
        <v>72</v>
      </c>
      <c r="L7" s="169"/>
      <c r="M7" s="168" t="s">
        <v>395</v>
      </c>
      <c r="N7" s="119" t="s">
        <v>400</v>
      </c>
      <c r="O7" s="168" t="s">
        <v>470</v>
      </c>
      <c r="P7" s="145" t="s">
        <v>300</v>
      </c>
    </row>
    <row r="8" spans="1:17" s="2" customFormat="1" ht="20.100000000000001" customHeight="1">
      <c r="A8" s="322" t="s">
        <v>100</v>
      </c>
      <c r="B8" s="29" t="s">
        <v>72</v>
      </c>
      <c r="C8" s="31"/>
      <c r="D8" s="32"/>
      <c r="E8" s="32"/>
      <c r="F8" s="32"/>
      <c r="G8" s="32"/>
      <c r="H8" s="32"/>
      <c r="I8" s="32"/>
      <c r="J8" s="32"/>
      <c r="K8" s="167" t="s">
        <v>72</v>
      </c>
      <c r="L8" s="169"/>
      <c r="M8" s="168" t="s">
        <v>395</v>
      </c>
      <c r="N8" s="119" t="s">
        <v>401</v>
      </c>
      <c r="O8" s="168" t="s">
        <v>471</v>
      </c>
      <c r="P8" s="145" t="s">
        <v>300</v>
      </c>
    </row>
    <row r="9" spans="1:17" ht="20.100000000000001" customHeight="1">
      <c r="A9" s="322" t="s">
        <v>100</v>
      </c>
      <c r="B9" s="29" t="s">
        <v>72</v>
      </c>
      <c r="C9" s="29"/>
      <c r="D9" s="30"/>
      <c r="E9" s="30"/>
      <c r="F9" s="30"/>
      <c r="G9" s="30"/>
      <c r="H9" s="30"/>
      <c r="I9" s="30"/>
      <c r="J9" s="30"/>
      <c r="K9" s="167" t="s">
        <v>72</v>
      </c>
      <c r="L9" s="169"/>
      <c r="M9" s="168" t="s">
        <v>395</v>
      </c>
      <c r="N9" s="119" t="s">
        <v>402</v>
      </c>
      <c r="O9" s="168" t="s">
        <v>472</v>
      </c>
      <c r="P9" s="150" t="s">
        <v>300</v>
      </c>
    </row>
    <row r="10" spans="1:17" ht="20.100000000000001" customHeight="1">
      <c r="A10" s="322" t="s">
        <v>100</v>
      </c>
      <c r="B10" s="29" t="s">
        <v>72</v>
      </c>
      <c r="K10" s="167" t="s">
        <v>72</v>
      </c>
      <c r="L10" s="169"/>
      <c r="M10" s="168" t="s">
        <v>395</v>
      </c>
      <c r="N10" s="119" t="s">
        <v>403</v>
      </c>
      <c r="O10" s="168" t="s">
        <v>473</v>
      </c>
      <c r="P10" s="150" t="s">
        <v>300</v>
      </c>
    </row>
    <row r="11" spans="1:17" ht="20.100000000000001" customHeight="1">
      <c r="A11" s="322" t="s">
        <v>101</v>
      </c>
      <c r="B11" s="29" t="s">
        <v>72</v>
      </c>
      <c r="K11" s="167" t="s">
        <v>72</v>
      </c>
      <c r="L11" s="169" t="s">
        <v>404</v>
      </c>
      <c r="M11" s="168" t="s">
        <v>395</v>
      </c>
      <c r="N11" s="119" t="s">
        <v>404</v>
      </c>
      <c r="O11" s="168"/>
      <c r="P11" s="150" t="s">
        <v>300</v>
      </c>
    </row>
    <row r="12" spans="1:17" ht="20.100000000000001" customHeight="1">
      <c r="A12" s="322" t="s">
        <v>101</v>
      </c>
      <c r="B12" s="29" t="s">
        <v>72</v>
      </c>
      <c r="K12" s="167" t="s">
        <v>72</v>
      </c>
      <c r="L12" s="169" t="s">
        <v>405</v>
      </c>
      <c r="M12" s="168" t="s">
        <v>395</v>
      </c>
      <c r="N12" s="119" t="s">
        <v>405</v>
      </c>
      <c r="O12" s="168"/>
      <c r="P12" s="150" t="s">
        <v>300</v>
      </c>
    </row>
    <row r="13" spans="1:17" ht="20.100000000000001" customHeight="1">
      <c r="A13" s="322" t="s">
        <v>101</v>
      </c>
      <c r="B13" s="29" t="s">
        <v>72</v>
      </c>
      <c r="K13" s="167" t="s">
        <v>72</v>
      </c>
      <c r="L13" s="169" t="s">
        <v>469</v>
      </c>
      <c r="M13" s="168" t="s">
        <v>395</v>
      </c>
      <c r="N13" s="119" t="s">
        <v>406</v>
      </c>
      <c r="O13" s="168" t="s">
        <v>475</v>
      </c>
      <c r="P13" s="150" t="s">
        <v>300</v>
      </c>
    </row>
    <row r="14" spans="1:17" ht="20.100000000000001" customHeight="1">
      <c r="A14" s="322" t="s">
        <v>100</v>
      </c>
      <c r="B14" s="29" t="s">
        <v>72</v>
      </c>
      <c r="K14" s="167" t="s">
        <v>72</v>
      </c>
      <c r="L14" s="169"/>
      <c r="M14" s="168" t="s">
        <v>395</v>
      </c>
      <c r="N14" s="119" t="s">
        <v>407</v>
      </c>
      <c r="O14" s="168" t="s">
        <v>470</v>
      </c>
      <c r="P14" s="150" t="s">
        <v>300</v>
      </c>
    </row>
    <row r="15" spans="1:17" ht="20.100000000000001" customHeight="1">
      <c r="A15" s="322" t="s">
        <v>100</v>
      </c>
      <c r="B15" s="29" t="s">
        <v>72</v>
      </c>
      <c r="K15" s="167" t="s">
        <v>72</v>
      </c>
      <c r="L15" s="169"/>
      <c r="M15" s="168" t="s">
        <v>395</v>
      </c>
      <c r="N15" s="119" t="s">
        <v>408</v>
      </c>
      <c r="O15" s="168" t="s">
        <v>471</v>
      </c>
      <c r="P15" s="150" t="s">
        <v>300</v>
      </c>
    </row>
    <row r="16" spans="1:17" ht="20.100000000000001" customHeight="1">
      <c r="A16" s="322" t="s">
        <v>101</v>
      </c>
      <c r="B16" s="29" t="s">
        <v>72</v>
      </c>
      <c r="K16" s="167" t="s">
        <v>72</v>
      </c>
      <c r="L16" s="169" t="s">
        <v>474</v>
      </c>
      <c r="M16" s="168" t="s">
        <v>395</v>
      </c>
      <c r="N16" s="119" t="s">
        <v>409</v>
      </c>
      <c r="O16" s="168" t="s">
        <v>475</v>
      </c>
      <c r="P16" s="150" t="s">
        <v>300</v>
      </c>
    </row>
    <row r="17" spans="1:16" ht="20.100000000000001" customHeight="1">
      <c r="A17" s="322" t="s">
        <v>100</v>
      </c>
      <c r="B17" s="29" t="s">
        <v>72</v>
      </c>
      <c r="K17" s="167" t="s">
        <v>72</v>
      </c>
      <c r="L17" s="169"/>
      <c r="M17" s="168" t="s">
        <v>395</v>
      </c>
      <c r="N17" s="119" t="s">
        <v>410</v>
      </c>
      <c r="O17" s="168" t="s">
        <v>470</v>
      </c>
      <c r="P17" s="150" t="s">
        <v>300</v>
      </c>
    </row>
    <row r="18" spans="1:16" ht="20.100000000000001" customHeight="1">
      <c r="A18" s="322" t="s">
        <v>100</v>
      </c>
      <c r="B18" s="29" t="s">
        <v>72</v>
      </c>
      <c r="K18" s="167" t="s">
        <v>72</v>
      </c>
      <c r="L18" s="169"/>
      <c r="M18" s="168" t="s">
        <v>395</v>
      </c>
      <c r="N18" s="119" t="s">
        <v>411</v>
      </c>
      <c r="O18" s="168" t="s">
        <v>471</v>
      </c>
      <c r="P18" s="150" t="s">
        <v>300</v>
      </c>
    </row>
    <row r="19" spans="1:16" ht="20.100000000000001" customHeight="1">
      <c r="A19" s="322" t="s">
        <v>100</v>
      </c>
      <c r="B19" s="29" t="s">
        <v>72</v>
      </c>
      <c r="K19" s="167" t="s">
        <v>72</v>
      </c>
      <c r="L19" s="169"/>
      <c r="M19" s="168" t="s">
        <v>395</v>
      </c>
      <c r="N19" s="119" t="s">
        <v>412</v>
      </c>
      <c r="O19" s="168" t="s">
        <v>472</v>
      </c>
      <c r="P19" s="150" t="s">
        <v>300</v>
      </c>
    </row>
    <row r="20" spans="1:16" ht="20.100000000000001" customHeight="1">
      <c r="A20" s="322" t="s">
        <v>100</v>
      </c>
      <c r="B20" s="29" t="s">
        <v>72</v>
      </c>
      <c r="K20" s="167" t="s">
        <v>72</v>
      </c>
      <c r="L20" s="169"/>
      <c r="M20" s="168" t="s">
        <v>395</v>
      </c>
      <c r="N20" s="119" t="s">
        <v>413</v>
      </c>
      <c r="O20" s="168" t="s">
        <v>473</v>
      </c>
      <c r="P20" s="150" t="s">
        <v>300</v>
      </c>
    </row>
    <row r="21" spans="1:16" ht="20.100000000000001" customHeight="1">
      <c r="A21" s="322" t="s">
        <v>100</v>
      </c>
      <c r="B21" s="29" t="s">
        <v>72</v>
      </c>
      <c r="K21" s="167" t="s">
        <v>72</v>
      </c>
      <c r="L21" s="169"/>
      <c r="M21" s="168" t="s">
        <v>395</v>
      </c>
      <c r="N21" s="119" t="s">
        <v>414</v>
      </c>
      <c r="O21" s="168" t="s">
        <v>476</v>
      </c>
      <c r="P21" s="150" t="s">
        <v>300</v>
      </c>
    </row>
    <row r="22" spans="1:16" ht="20.100000000000001" customHeight="1">
      <c r="A22" s="322" t="s">
        <v>101</v>
      </c>
      <c r="B22" s="29" t="s">
        <v>72</v>
      </c>
      <c r="K22" s="167" t="s">
        <v>72</v>
      </c>
      <c r="L22" s="169" t="s">
        <v>415</v>
      </c>
      <c r="M22" s="168" t="s">
        <v>395</v>
      </c>
      <c r="N22" s="119" t="s">
        <v>415</v>
      </c>
      <c r="O22" s="11"/>
      <c r="P22" s="150" t="s">
        <v>300</v>
      </c>
    </row>
    <row r="23" spans="1:16" ht="20.100000000000001" customHeight="1">
      <c r="A23" s="322" t="s">
        <v>101</v>
      </c>
      <c r="B23" s="29" t="s">
        <v>72</v>
      </c>
      <c r="K23" s="167" t="s">
        <v>72</v>
      </c>
      <c r="L23" s="169" t="s">
        <v>416</v>
      </c>
      <c r="M23" s="168" t="s">
        <v>395</v>
      </c>
      <c r="N23" s="119" t="s">
        <v>416</v>
      </c>
      <c r="O23" s="11"/>
      <c r="P23" s="150" t="s">
        <v>300</v>
      </c>
    </row>
    <row r="24" spans="1:16" ht="20.100000000000001" customHeight="1">
      <c r="A24" s="322" t="s">
        <v>101</v>
      </c>
      <c r="B24" s="29" t="s">
        <v>72</v>
      </c>
      <c r="K24" s="167" t="s">
        <v>72</v>
      </c>
      <c r="L24" s="169" t="s">
        <v>417</v>
      </c>
      <c r="M24" s="168" t="s">
        <v>395</v>
      </c>
      <c r="N24" s="119" t="s">
        <v>417</v>
      </c>
      <c r="O24" s="11"/>
      <c r="P24" s="150" t="s">
        <v>300</v>
      </c>
    </row>
    <row r="25" spans="1:16" ht="20.100000000000001" customHeight="1">
      <c r="A25" s="322" t="s">
        <v>101</v>
      </c>
      <c r="B25" s="29" t="s">
        <v>72</v>
      </c>
      <c r="K25" s="167" t="s">
        <v>72</v>
      </c>
      <c r="L25" s="169" t="s">
        <v>418</v>
      </c>
      <c r="M25" s="168" t="s">
        <v>395</v>
      </c>
      <c r="N25" s="119" t="s">
        <v>418</v>
      </c>
      <c r="O25" s="11"/>
      <c r="P25" s="150" t="s">
        <v>300</v>
      </c>
    </row>
    <row r="26" spans="1:16" ht="20.100000000000001" customHeight="1">
      <c r="A26" s="322" t="s">
        <v>101</v>
      </c>
      <c r="B26" s="29" t="s">
        <v>72</v>
      </c>
      <c r="K26" s="167" t="s">
        <v>72</v>
      </c>
      <c r="L26" s="169" t="s">
        <v>419</v>
      </c>
      <c r="M26" s="168" t="s">
        <v>395</v>
      </c>
      <c r="N26" s="119" t="s">
        <v>419</v>
      </c>
      <c r="O26" s="11"/>
      <c r="P26" s="150" t="s">
        <v>300</v>
      </c>
    </row>
    <row r="27" spans="1:16" ht="20.100000000000001" customHeight="1">
      <c r="A27" s="322" t="s">
        <v>101</v>
      </c>
      <c r="B27" s="29" t="s">
        <v>72</v>
      </c>
      <c r="K27" s="167" t="s">
        <v>72</v>
      </c>
      <c r="L27" s="169" t="s">
        <v>420</v>
      </c>
      <c r="M27" s="168" t="s">
        <v>395</v>
      </c>
      <c r="N27" s="119" t="s">
        <v>420</v>
      </c>
      <c r="O27" s="11"/>
      <c r="P27" s="150" t="s">
        <v>300</v>
      </c>
    </row>
    <row r="28" spans="1:16" ht="20.100000000000001" customHeight="1">
      <c r="A28" s="322" t="s">
        <v>102</v>
      </c>
      <c r="B28" s="29" t="s">
        <v>72</v>
      </c>
      <c r="K28" s="167" t="s">
        <v>72</v>
      </c>
      <c r="L28" s="17"/>
      <c r="N28" s="17"/>
      <c r="O28" s="11"/>
      <c r="P28" s="150" t="s">
        <v>300</v>
      </c>
    </row>
    <row r="29" spans="1:16" ht="20.100000000000001" customHeight="1">
      <c r="A29" s="322" t="s">
        <v>102</v>
      </c>
      <c r="B29" s="29"/>
      <c r="K29" s="167"/>
      <c r="L29" s="169"/>
      <c r="M29" s="168"/>
      <c r="N29" s="119"/>
      <c r="O29" s="11"/>
      <c r="P29" s="150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58" type="noConversion"/>
  <hyperlinks>
    <hyperlink ref="N4" r:id="rId1" xr:uid="{72443208-9466-44E7-B9DF-A3B0E2EFBB15}"/>
    <hyperlink ref="N5" r:id="rId2" xr:uid="{C4EBC773-9374-4503-8852-1E8E9CBD65C6}"/>
    <hyperlink ref="N6" r:id="rId3" xr:uid="{90A20EEF-202F-4AC5-B0DD-D1DC4CB98F1F}"/>
    <hyperlink ref="N7" r:id="rId4" xr:uid="{69F4E128-0A47-4F71-9A1A-32C44AF388B2}"/>
    <hyperlink ref="N8" r:id="rId5" xr:uid="{73E67DEA-4243-43E8-94B9-D40E597FAEB0}"/>
    <hyperlink ref="N9" r:id="rId6" xr:uid="{D1B97A44-1BA2-4818-8A2D-73949DF8A818}"/>
    <hyperlink ref="N10" r:id="rId7" xr:uid="{638F114E-B641-4E6B-A9C5-53C19C2B982D}"/>
    <hyperlink ref="N11" r:id="rId8" xr:uid="{626FF4B9-B6FD-4CC1-9FE5-EEFAE11F79EC}"/>
    <hyperlink ref="N12" r:id="rId9" xr:uid="{1926DFEE-F924-450E-BB10-E24482F88188}"/>
    <hyperlink ref="N13" r:id="rId10" xr:uid="{1137AF67-1F06-4E04-A1A1-B47B8CE5EFA8}"/>
    <hyperlink ref="N14" r:id="rId11" xr:uid="{7EEDA419-A34D-449A-B6F4-F29C0E0CB4DC}"/>
    <hyperlink ref="N15" r:id="rId12" xr:uid="{0EF1DF50-2EE8-4DCD-8276-37592ABA0B71}"/>
    <hyperlink ref="N16" r:id="rId13" xr:uid="{DCEDAE21-A331-4D8B-A7A6-5B004BC3D161}"/>
    <hyperlink ref="N17" r:id="rId14" xr:uid="{ECC29C9D-8263-428F-B300-D116F857603B}"/>
    <hyperlink ref="N18" r:id="rId15" xr:uid="{F5327D90-5E31-46A3-894A-516FAE8F9DD7}"/>
    <hyperlink ref="N19" r:id="rId16" xr:uid="{F4E58019-3BFD-440D-A938-92699766D767}"/>
    <hyperlink ref="N20" r:id="rId17" xr:uid="{05DEB545-C1ED-4CCA-A69A-9B9EF8EEA014}"/>
    <hyperlink ref="N21" r:id="rId18" xr:uid="{B4B9E3FE-A52A-4A00-B874-AAF7D7BEADC1}"/>
    <hyperlink ref="N22" r:id="rId19" xr:uid="{0BBBDCD3-1C6B-48D6-B2FC-5A27F592F56E}"/>
    <hyperlink ref="N23" r:id="rId20" xr:uid="{26A17425-F6AE-4CD2-AD58-F984ADBC2C47}"/>
    <hyperlink ref="N24" r:id="rId21" xr:uid="{6A15C188-6037-43E2-9855-9B8A5B8D7BD2}"/>
    <hyperlink ref="N25" r:id="rId22" xr:uid="{AA88CC45-FEF2-46B3-9C0A-2FE754166F61}"/>
    <hyperlink ref="N26" r:id="rId23" xr:uid="{7AE6CDC1-9DE1-4926-BDDD-C18055EE6206}"/>
    <hyperlink ref="N27" r:id="rId24" xr:uid="{E32405DE-B0A3-46B9-8126-08E615427350}"/>
    <hyperlink ref="N3" r:id="rId25" xr:uid="{72A0F0C1-3440-41F4-99BB-96FFCF0C4475}"/>
  </hyperlinks>
  <pageMargins left="0.7" right="0.7" top="0.78740157499999996" bottom="0.78740157499999996" header="0.3" footer="0.3"/>
  <pageSetup paperSize="9" orientation="portrait" r:id="rId2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22" t="s">
        <v>101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167" t="s">
        <v>72</v>
      </c>
      <c r="L3" s="96"/>
      <c r="M3" s="171" t="s">
        <v>395</v>
      </c>
      <c r="N3" s="78" t="s">
        <v>421</v>
      </c>
      <c r="O3" s="11"/>
      <c r="P3" s="144" t="s">
        <v>300</v>
      </c>
    </row>
    <row r="4" spans="1:16" s="2" customFormat="1" ht="20.100000000000001" customHeight="1">
      <c r="A4" s="322" t="s">
        <v>101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167" t="s">
        <v>72</v>
      </c>
      <c r="M4" s="4"/>
      <c r="N4" s="119" t="s">
        <v>422</v>
      </c>
      <c r="O4" s="96"/>
      <c r="P4" s="144" t="s">
        <v>300</v>
      </c>
    </row>
    <row r="5" spans="1:16" s="2" customFormat="1" ht="20.100000000000001" customHeight="1">
      <c r="A5" s="322" t="s">
        <v>102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L5" s="1"/>
      <c r="M5" s="4"/>
      <c r="N5" s="119"/>
      <c r="O5" s="11"/>
      <c r="P5" s="144" t="s">
        <v>300</v>
      </c>
    </row>
    <row r="6" spans="1:16" s="2" customFormat="1" ht="20.100000000000001" customHeight="1">
      <c r="A6" s="322" t="s">
        <v>102</v>
      </c>
      <c r="B6" s="29"/>
      <c r="C6" s="29"/>
      <c r="D6" s="30"/>
      <c r="E6" s="30"/>
      <c r="F6" s="30"/>
      <c r="G6" s="30"/>
      <c r="H6" s="30"/>
      <c r="I6" s="30"/>
      <c r="J6" s="30"/>
      <c r="L6" s="1"/>
      <c r="M6" s="4"/>
      <c r="N6" s="83"/>
      <c r="O6" s="11"/>
      <c r="P6" s="144"/>
    </row>
    <row r="7" spans="1:16" s="2" customFormat="1" ht="20.100000000000001" customHeight="1">
      <c r="A7" s="322"/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</row>
    <row r="8" spans="1:16" ht="20.100000000000001" customHeight="1">
      <c r="A8" s="322"/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</row>
    <row r="9" spans="1:16" ht="20.100000000000001" customHeight="1">
      <c r="A9" s="322"/>
      <c r="B9" s="29"/>
      <c r="K9" s="163"/>
      <c r="O9" s="11"/>
    </row>
    <row r="10" spans="1:16" ht="20.100000000000001" customHeight="1">
      <c r="A10" s="322"/>
      <c r="B10" s="29"/>
      <c r="K10" s="163"/>
      <c r="O10" s="11"/>
    </row>
    <row r="11" spans="1:16" ht="20.100000000000001" customHeight="1">
      <c r="A11" s="322"/>
      <c r="B11" s="29"/>
      <c r="K11" s="163"/>
      <c r="O11" s="11"/>
    </row>
    <row r="12" spans="1:16" ht="20.100000000000001" customHeight="1">
      <c r="A12" s="323"/>
      <c r="B12" s="29"/>
      <c r="K12" s="163"/>
      <c r="O12" s="11"/>
    </row>
    <row r="13" spans="1:16" ht="20.100000000000001" customHeight="1">
      <c r="A13" s="323"/>
      <c r="B13" s="29"/>
      <c r="K13" s="163"/>
      <c r="O13" s="11"/>
    </row>
    <row r="14" spans="1:16" ht="20.100000000000001" customHeight="1">
      <c r="A14" s="323"/>
      <c r="B14" s="29"/>
      <c r="K14" s="163"/>
    </row>
    <row r="15" spans="1:16" ht="20.100000000000001" customHeight="1">
      <c r="A15" s="323"/>
      <c r="K15" s="163"/>
    </row>
    <row r="16" spans="1:16" ht="20.100000000000001" customHeight="1">
      <c r="A16" s="323"/>
      <c r="K16" s="163"/>
    </row>
    <row r="17" spans="1:11" ht="20.100000000000001" customHeight="1">
      <c r="A17" s="323"/>
      <c r="K17" s="163"/>
    </row>
    <row r="18" spans="1:11" ht="20.100000000000001" customHeight="1">
      <c r="A18" s="324"/>
      <c r="K18" s="163"/>
    </row>
    <row r="19" spans="1:11" ht="20.100000000000001" customHeight="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163"/>
    </row>
    <row r="35" spans="11:11">
      <c r="K35" s="33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19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17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423</v>
      </c>
      <c r="O2" s="11"/>
    </row>
    <row r="3" spans="1:16" s="2" customFormat="1" ht="20.100000000000001" customHeight="1">
      <c r="A3" s="318" t="s">
        <v>101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29" t="s">
        <v>72</v>
      </c>
      <c r="L3" s="96"/>
      <c r="M3" s="4"/>
      <c r="N3" s="119" t="s">
        <v>424</v>
      </c>
      <c r="O3" s="11"/>
      <c r="P3" s="145" t="s">
        <v>300</v>
      </c>
    </row>
    <row r="4" spans="1:16" s="2" customFormat="1" ht="20.100000000000001" customHeight="1">
      <c r="A4" s="318" t="s">
        <v>101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29" t="s">
        <v>72</v>
      </c>
      <c r="M4" s="4"/>
      <c r="N4" s="119" t="s">
        <v>425</v>
      </c>
      <c r="O4" s="96"/>
      <c r="P4" s="145" t="s">
        <v>300</v>
      </c>
    </row>
    <row r="5" spans="1:16" s="2" customFormat="1" ht="20.100000000000001" customHeight="1">
      <c r="A5" s="318" t="s">
        <v>101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"/>
      <c r="M5" s="4"/>
      <c r="N5" s="119" t="s">
        <v>426</v>
      </c>
      <c r="O5" s="11"/>
      <c r="P5" s="145" t="s">
        <v>300</v>
      </c>
    </row>
    <row r="6" spans="1:16" s="2" customFormat="1" ht="20.100000000000001" customHeight="1">
      <c r="A6" s="318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7" t="s">
        <v>72</v>
      </c>
      <c r="L6" s="1"/>
      <c r="M6" s="4"/>
      <c r="N6" s="119" t="s">
        <v>427</v>
      </c>
      <c r="O6" s="11"/>
      <c r="P6" s="145" t="s">
        <v>300</v>
      </c>
    </row>
    <row r="7" spans="1:16" s="2" customFormat="1" ht="20.100000000000001" customHeight="1">
      <c r="A7" s="318" t="s">
        <v>102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8" t="s">
        <v>102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8" t="s">
        <v>102</v>
      </c>
      <c r="B9" s="29"/>
      <c r="K9" s="163"/>
      <c r="O9" s="11"/>
      <c r="P9" s="149"/>
    </row>
    <row r="10" spans="1:16" ht="20.100000000000001" customHeight="1">
      <c r="A10" s="318" t="s">
        <v>102</v>
      </c>
      <c r="B10" s="29"/>
      <c r="K10" s="163"/>
      <c r="O10" s="11"/>
      <c r="P10" s="149"/>
    </row>
    <row r="11" spans="1:16" ht="20.100000000000001" customHeight="1">
      <c r="A11" s="318" t="s">
        <v>102</v>
      </c>
      <c r="B11" s="29"/>
      <c r="K11" s="163"/>
      <c r="O11" s="11"/>
      <c r="P11" s="149"/>
    </row>
    <row r="12" spans="1:16" ht="20.100000000000001" customHeight="1">
      <c r="A12" s="318" t="s">
        <v>102</v>
      </c>
      <c r="B12" s="29"/>
      <c r="K12" s="163"/>
      <c r="O12" s="11"/>
      <c r="P12" s="149"/>
    </row>
    <row r="13" spans="1:16" ht="20.100000000000001" customHeight="1">
      <c r="A13" s="318" t="s">
        <v>102</v>
      </c>
      <c r="B13" s="29"/>
      <c r="K13" s="163"/>
      <c r="O13" s="11"/>
      <c r="P13" s="149"/>
    </row>
    <row r="14" spans="1:16" ht="20.100000000000001" customHeight="1">
      <c r="A14" s="318" t="s">
        <v>102</v>
      </c>
      <c r="B14" s="29"/>
      <c r="K14" s="163"/>
      <c r="P14" s="149"/>
    </row>
    <row r="15" spans="1:16" ht="20.100000000000001" customHeight="1">
      <c r="A15" s="318" t="s">
        <v>102</v>
      </c>
      <c r="K15" s="163"/>
      <c r="P15" s="149"/>
    </row>
    <row r="16" spans="1:16" ht="20.100000000000001" customHeight="1">
      <c r="A16" s="318" t="s">
        <v>102</v>
      </c>
      <c r="K16" s="163"/>
      <c r="P16" s="149"/>
    </row>
    <row r="17" spans="1:16" ht="20.100000000000001" customHeight="1">
      <c r="A17" s="318" t="s">
        <v>102</v>
      </c>
      <c r="K17" s="163"/>
      <c r="P17" s="149"/>
    </row>
    <row r="18" spans="1:16" ht="20.100000000000001" customHeight="1">
      <c r="A18" s="318" t="s">
        <v>102</v>
      </c>
      <c r="K18" s="163"/>
      <c r="P18" s="149"/>
    </row>
    <row r="19" spans="1:16" ht="20.100000000000001" customHeight="1">
      <c r="A19" s="318" t="s">
        <v>102</v>
      </c>
      <c r="K19" s="163"/>
      <c r="P19" s="149"/>
    </row>
    <row r="20" spans="1:16">
      <c r="A20" s="318" t="s">
        <v>102</v>
      </c>
      <c r="K20" s="163"/>
      <c r="P20" s="149"/>
    </row>
    <row r="21" spans="1:16">
      <c r="A21" s="318" t="s">
        <v>102</v>
      </c>
      <c r="K21" s="163"/>
      <c r="P21" s="149"/>
    </row>
    <row r="22" spans="1:16">
      <c r="A22" s="318" t="s">
        <v>102</v>
      </c>
      <c r="K22" s="163"/>
      <c r="P22" s="149"/>
    </row>
    <row r="23" spans="1:16">
      <c r="A23" s="318" t="s">
        <v>102</v>
      </c>
      <c r="K23" s="163"/>
      <c r="P23" s="149"/>
    </row>
    <row r="24" spans="1:16">
      <c r="A24" s="318" t="s">
        <v>102</v>
      </c>
      <c r="K24" s="163"/>
      <c r="P24" s="149"/>
    </row>
    <row r="25" spans="1:16">
      <c r="A25" s="318" t="s">
        <v>102</v>
      </c>
      <c r="K25" s="163"/>
      <c r="P25" s="149"/>
    </row>
    <row r="26" spans="1:16">
      <c r="A26" s="318" t="s">
        <v>102</v>
      </c>
      <c r="K26" s="163"/>
      <c r="P26" s="149"/>
    </row>
    <row r="27" spans="1:16">
      <c r="A27" s="318" t="s">
        <v>102</v>
      </c>
      <c r="K27" s="163"/>
      <c r="P27" s="149"/>
    </row>
    <row r="28" spans="1:16">
      <c r="A28" s="318" t="s">
        <v>102</v>
      </c>
      <c r="K28" s="163"/>
      <c r="P28" s="149"/>
    </row>
    <row r="29" spans="1:16">
      <c r="A29" s="318" t="s">
        <v>102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567</v>
      </c>
      <c r="B1" s="185" t="s">
        <v>591</v>
      </c>
      <c r="C1" s="202" t="s">
        <v>594</v>
      </c>
      <c r="D1" s="185" t="s">
        <v>590</v>
      </c>
      <c r="E1" s="185" t="s">
        <v>343</v>
      </c>
      <c r="F1" s="199" t="s">
        <v>586</v>
      </c>
      <c r="G1" s="185" t="s">
        <v>43</v>
      </c>
      <c r="H1" s="200" t="s">
        <v>346</v>
      </c>
      <c r="I1" s="200" t="s">
        <v>359</v>
      </c>
      <c r="J1" s="201" t="s">
        <v>593</v>
      </c>
      <c r="K1" s="200" t="s">
        <v>590</v>
      </c>
      <c r="L1" s="198" t="s">
        <v>343</v>
      </c>
      <c r="M1" s="199" t="s">
        <v>586</v>
      </c>
      <c r="N1" s="200" t="s">
        <v>43</v>
      </c>
      <c r="O1" s="200" t="s">
        <v>346</v>
      </c>
    </row>
    <row r="2" spans="1:15" ht="19.95" customHeight="1">
      <c r="A2" s="186" t="s">
        <v>99</v>
      </c>
    </row>
    <row r="3" spans="1:15" ht="19.95" customHeight="1">
      <c r="A3" s="188" t="s">
        <v>568</v>
      </c>
      <c r="C3" s="280" t="s">
        <v>600</v>
      </c>
      <c r="D3" s="280"/>
      <c r="E3" s="280" t="str">
        <f>CC!L22</f>
        <v xml:space="preserve">Puppenspieler </v>
      </c>
      <c r="F3" s="280"/>
      <c r="G3" s="281" t="str">
        <f>HYPERLINK("#'CC'!Q" &amp; J3, "Zurück zu CC")</f>
        <v>Zurück zu CC</v>
      </c>
      <c r="H3" s="280"/>
      <c r="I3" s="280" t="s">
        <v>585</v>
      </c>
      <c r="J3" s="280">
        <f>MATCH(C3, CC!Q:Q, 0)</f>
        <v>22</v>
      </c>
      <c r="K3" s="280"/>
      <c r="L3" s="282"/>
      <c r="M3" s="282"/>
      <c r="N3" s="282"/>
      <c r="O3" s="282"/>
    </row>
    <row r="4" spans="1:15" ht="19.95" customHeight="1">
      <c r="A4" s="188" t="s">
        <v>99</v>
      </c>
      <c r="B4" s="182"/>
      <c r="C4" s="182" t="s">
        <v>341</v>
      </c>
      <c r="D4" s="182"/>
      <c r="E4" s="182"/>
      <c r="F4" s="182"/>
      <c r="G4" s="182"/>
      <c r="H4" s="182"/>
      <c r="I4" s="182"/>
      <c r="J4" s="182" t="s">
        <v>342</v>
      </c>
      <c r="K4" s="182"/>
      <c r="L4" s="183"/>
      <c r="M4" s="182"/>
      <c r="N4" s="182"/>
      <c r="O4" s="182"/>
    </row>
    <row r="5" spans="1:15" ht="19.95" customHeight="1">
      <c r="A5" s="186" t="s">
        <v>569</v>
      </c>
      <c r="B5" s="195">
        <v>1</v>
      </c>
      <c r="C5" s="195" t="s">
        <v>339</v>
      </c>
      <c r="D5" s="195" t="s">
        <v>133</v>
      </c>
      <c r="E5" s="184" t="s">
        <v>133</v>
      </c>
      <c r="F5" s="182" t="s">
        <v>344</v>
      </c>
      <c r="G5" s="182"/>
      <c r="H5" s="182" t="s">
        <v>348</v>
      </c>
      <c r="I5" s="182"/>
      <c r="J5" s="184" t="s">
        <v>339</v>
      </c>
      <c r="K5" s="195" t="s">
        <v>132</v>
      </c>
      <c r="L5" s="184" t="s">
        <v>132</v>
      </c>
      <c r="M5" s="182" t="s">
        <v>348</v>
      </c>
      <c r="N5" s="182"/>
      <c r="O5" s="182" t="s">
        <v>348</v>
      </c>
    </row>
    <row r="6" spans="1:15" ht="19.95" customHeight="1">
      <c r="A6" s="186" t="s">
        <v>569</v>
      </c>
      <c r="B6" s="184">
        <v>2</v>
      </c>
      <c r="C6" s="184" t="s">
        <v>89</v>
      </c>
      <c r="D6" s="195" t="s">
        <v>132</v>
      </c>
      <c r="E6" s="184" t="s">
        <v>353</v>
      </c>
      <c r="F6" s="182" t="s">
        <v>344</v>
      </c>
      <c r="G6" s="182"/>
      <c r="H6" s="182" t="s">
        <v>349</v>
      </c>
      <c r="I6" s="182"/>
      <c r="J6" s="184" t="s">
        <v>89</v>
      </c>
      <c r="K6" s="195" t="s">
        <v>133</v>
      </c>
      <c r="L6" s="184" t="s">
        <v>354</v>
      </c>
      <c r="M6" s="182" t="s">
        <v>348</v>
      </c>
      <c r="N6" s="182"/>
      <c r="O6" s="182" t="s">
        <v>349</v>
      </c>
    </row>
    <row r="7" spans="1:15" ht="19.95" customHeight="1">
      <c r="A7" s="186" t="s">
        <v>569</v>
      </c>
      <c r="B7" s="195">
        <v>3</v>
      </c>
      <c r="C7" s="195" t="s">
        <v>340</v>
      </c>
      <c r="D7" s="195" t="s">
        <v>132</v>
      </c>
      <c r="E7" s="195" t="s">
        <v>132</v>
      </c>
      <c r="F7" s="182" t="s">
        <v>344</v>
      </c>
      <c r="G7" s="182"/>
      <c r="H7" s="182" t="s">
        <v>347</v>
      </c>
      <c r="I7" s="182" t="s">
        <v>588</v>
      </c>
      <c r="J7" s="195" t="s">
        <v>587</v>
      </c>
      <c r="K7" s="195" t="s">
        <v>133</v>
      </c>
      <c r="L7" s="184"/>
      <c r="M7" s="182"/>
      <c r="O7" s="182"/>
    </row>
    <row r="8" spans="1:15" ht="19.95" customHeight="1">
      <c r="A8" s="186" t="s">
        <v>569</v>
      </c>
      <c r="B8" s="184">
        <v>4</v>
      </c>
      <c r="C8" s="195" t="s">
        <v>89</v>
      </c>
      <c r="D8" s="195" t="s">
        <v>133</v>
      </c>
      <c r="E8" s="184" t="s">
        <v>354</v>
      </c>
      <c r="F8" s="182" t="s">
        <v>344</v>
      </c>
      <c r="G8" s="182"/>
      <c r="H8" s="182" t="s">
        <v>349</v>
      </c>
      <c r="J8" s="184" t="s">
        <v>41</v>
      </c>
      <c r="K8" s="195" t="s">
        <v>132</v>
      </c>
      <c r="L8" s="184"/>
      <c r="M8" s="182"/>
      <c r="N8" s="182" t="s">
        <v>358</v>
      </c>
      <c r="O8" s="182"/>
    </row>
    <row r="9" spans="1:15" ht="19.95" customHeight="1">
      <c r="A9" s="186" t="s">
        <v>569</v>
      </c>
      <c r="B9" s="195">
        <v>5</v>
      </c>
      <c r="C9" s="195" t="s">
        <v>587</v>
      </c>
      <c r="D9" s="195" t="s">
        <v>133</v>
      </c>
      <c r="E9" s="195" t="s">
        <v>133</v>
      </c>
      <c r="F9" s="182" t="s">
        <v>344</v>
      </c>
      <c r="G9" s="182"/>
      <c r="H9" s="182" t="s">
        <v>347</v>
      </c>
      <c r="I9" s="182" t="s">
        <v>361</v>
      </c>
      <c r="J9" s="195" t="s">
        <v>340</v>
      </c>
      <c r="K9" s="195" t="s">
        <v>132</v>
      </c>
      <c r="L9" s="184"/>
      <c r="M9" s="182" t="s">
        <v>348</v>
      </c>
      <c r="N9" s="182"/>
      <c r="O9" s="182"/>
    </row>
    <row r="10" spans="1:15" ht="19.95" customHeight="1">
      <c r="A10" s="186" t="s">
        <v>569</v>
      </c>
      <c r="B10" s="184">
        <v>6</v>
      </c>
      <c r="C10" s="184" t="s">
        <v>360</v>
      </c>
      <c r="D10" s="195" t="s">
        <v>132</v>
      </c>
      <c r="E10" s="184" t="s">
        <v>354</v>
      </c>
      <c r="F10" s="182" t="s">
        <v>357</v>
      </c>
      <c r="G10" s="182" t="s">
        <v>350</v>
      </c>
      <c r="H10" s="182" t="s">
        <v>349</v>
      </c>
      <c r="I10" s="182" t="s">
        <v>361</v>
      </c>
      <c r="J10" s="195" t="s">
        <v>89</v>
      </c>
      <c r="K10" s="195" t="s">
        <v>133</v>
      </c>
      <c r="L10" s="184"/>
      <c r="M10" s="182" t="s">
        <v>345</v>
      </c>
      <c r="N10" s="182"/>
      <c r="O10" s="182"/>
    </row>
    <row r="11" spans="1:15" ht="19.95" customHeight="1">
      <c r="A11" s="186" t="s">
        <v>569</v>
      </c>
      <c r="B11" s="195">
        <v>7</v>
      </c>
      <c r="C11" s="184" t="s">
        <v>340</v>
      </c>
      <c r="D11" s="195" t="s">
        <v>132</v>
      </c>
      <c r="E11" s="184" t="s">
        <v>132</v>
      </c>
      <c r="F11" s="182" t="s">
        <v>344</v>
      </c>
      <c r="G11" s="182" t="s">
        <v>351</v>
      </c>
      <c r="H11" s="182" t="s">
        <v>347</v>
      </c>
      <c r="I11" s="182" t="s">
        <v>362</v>
      </c>
      <c r="J11" s="184" t="s">
        <v>340</v>
      </c>
      <c r="K11" s="195" t="s">
        <v>133</v>
      </c>
      <c r="L11" s="184" t="s">
        <v>133</v>
      </c>
      <c r="M11" s="182" t="s">
        <v>348</v>
      </c>
      <c r="N11" s="182" t="s">
        <v>351</v>
      </c>
      <c r="O11" s="182" t="s">
        <v>347</v>
      </c>
    </row>
    <row r="12" spans="1:15" ht="19.95" customHeight="1">
      <c r="A12" s="186" t="s">
        <v>569</v>
      </c>
      <c r="B12" s="184">
        <v>8</v>
      </c>
      <c r="C12" s="184" t="s">
        <v>32</v>
      </c>
      <c r="D12" s="195" t="s">
        <v>133</v>
      </c>
      <c r="E12" s="184" t="s">
        <v>352</v>
      </c>
      <c r="F12" s="139" t="s">
        <v>589</v>
      </c>
      <c r="G12" s="182" t="s">
        <v>350</v>
      </c>
      <c r="H12" s="182" t="s">
        <v>347</v>
      </c>
      <c r="I12" s="182" t="s">
        <v>363</v>
      </c>
      <c r="J12" s="184" t="s">
        <v>340</v>
      </c>
      <c r="K12" s="195" t="s">
        <v>132</v>
      </c>
      <c r="L12" s="184" t="s">
        <v>132</v>
      </c>
      <c r="M12" s="139" t="s">
        <v>345</v>
      </c>
      <c r="N12" s="182" t="s">
        <v>355</v>
      </c>
      <c r="O12" s="182" t="s">
        <v>347</v>
      </c>
    </row>
    <row r="13" spans="1:15" ht="19.95" customHeight="1">
      <c r="A13" s="186" t="s">
        <v>569</v>
      </c>
      <c r="B13" s="195">
        <v>9</v>
      </c>
      <c r="C13" s="155" t="s">
        <v>340</v>
      </c>
      <c r="D13" s="197" t="s">
        <v>132</v>
      </c>
      <c r="E13" s="155" t="s">
        <v>132</v>
      </c>
      <c r="F13" s="139" t="s">
        <v>344</v>
      </c>
      <c r="G13" s="182" t="s">
        <v>351</v>
      </c>
      <c r="H13" s="182" t="s">
        <v>347</v>
      </c>
      <c r="I13" s="182"/>
      <c r="J13" s="155" t="s">
        <v>340</v>
      </c>
      <c r="K13" s="197" t="s">
        <v>133</v>
      </c>
      <c r="L13" s="155" t="s">
        <v>133</v>
      </c>
      <c r="M13" s="139" t="s">
        <v>348</v>
      </c>
      <c r="N13" s="182" t="s">
        <v>356</v>
      </c>
      <c r="O13" s="182" t="s">
        <v>347</v>
      </c>
    </row>
    <row r="14" spans="1:15" ht="19.95" customHeight="1">
      <c r="A14" s="186" t="s">
        <v>569</v>
      </c>
      <c r="B14" s="184">
        <v>10</v>
      </c>
      <c r="C14" s="182" t="s">
        <v>89</v>
      </c>
      <c r="D14" s="182" t="s">
        <v>133</v>
      </c>
      <c r="E14" s="182" t="s">
        <v>353</v>
      </c>
      <c r="F14" s="182" t="s">
        <v>345</v>
      </c>
      <c r="G14" s="182"/>
      <c r="H14" s="182" t="s">
        <v>349</v>
      </c>
      <c r="I14" s="182"/>
      <c r="J14" s="182" t="s">
        <v>89</v>
      </c>
      <c r="K14" s="182" t="s">
        <v>132</v>
      </c>
      <c r="L14" s="182" t="s">
        <v>353</v>
      </c>
      <c r="M14" s="182" t="s">
        <v>357</v>
      </c>
      <c r="N14" s="182" t="s">
        <v>351</v>
      </c>
      <c r="O14" s="182" t="s">
        <v>349</v>
      </c>
    </row>
    <row r="15" spans="1:15" ht="19.95" customHeight="1">
      <c r="A15" s="196" t="s">
        <v>569</v>
      </c>
      <c r="B15" s="182">
        <v>11</v>
      </c>
      <c r="C15" s="182" t="s">
        <v>592</v>
      </c>
      <c r="D15" s="182" t="s">
        <v>133</v>
      </c>
      <c r="E15" s="182"/>
      <c r="F15" s="182"/>
      <c r="G15" s="182"/>
      <c r="H15" s="182"/>
      <c r="I15" s="182"/>
      <c r="J15" s="182" t="s">
        <v>592</v>
      </c>
      <c r="K15" s="182" t="s">
        <v>132</v>
      </c>
      <c r="L15" s="182"/>
      <c r="M15" s="182"/>
      <c r="N15" s="182"/>
      <c r="O15" s="182"/>
    </row>
    <row r="16" spans="1:15" ht="19.95" customHeight="1">
      <c r="A16" s="186" t="s">
        <v>570</v>
      </c>
    </row>
    <row r="17" spans="1:15" ht="19.95" customHeight="1">
      <c r="A17" s="203" t="s">
        <v>568</v>
      </c>
      <c r="C17" s="280" t="s">
        <v>598</v>
      </c>
      <c r="D17" s="280"/>
      <c r="E17" s="280" t="str">
        <f>CC!L20</f>
        <v>Verfolger</v>
      </c>
      <c r="F17" s="280"/>
      <c r="G17" s="281" t="str">
        <f>HYPERLINK("#'CC'!Q" &amp; J17, "Zurück zu CC")</f>
        <v>Zurück zu CC</v>
      </c>
      <c r="H17" s="280"/>
      <c r="I17" s="280" t="s">
        <v>585</v>
      </c>
      <c r="J17" s="280">
        <f>MATCH(C17, CC!Q:Q, 0)</f>
        <v>20</v>
      </c>
      <c r="K17" s="280"/>
      <c r="L17" s="282"/>
      <c r="M17" s="282"/>
      <c r="N17" s="282"/>
      <c r="O17" s="282"/>
    </row>
    <row r="18" spans="1:15" ht="19.95" customHeight="1">
      <c r="A18" s="203" t="s">
        <v>99</v>
      </c>
    </row>
    <row r="19" spans="1:15" ht="19.95" customHeight="1">
      <c r="A19" s="203" t="s">
        <v>569</v>
      </c>
      <c r="B19" s="11">
        <f>B18+1</f>
        <v>1</v>
      </c>
      <c r="C19" s="206" t="s">
        <v>89</v>
      </c>
      <c r="D19" s="206" t="s">
        <v>620</v>
      </c>
      <c r="E19" s="206" t="s">
        <v>353</v>
      </c>
      <c r="F19" s="206" t="s">
        <v>344</v>
      </c>
    </row>
    <row r="20" spans="1:15" ht="19.95" customHeight="1">
      <c r="A20" s="203"/>
      <c r="B20" s="11">
        <f>B19+1</f>
        <v>2</v>
      </c>
      <c r="C20" s="206" t="s">
        <v>340</v>
      </c>
      <c r="D20" s="206" t="s">
        <v>132</v>
      </c>
      <c r="E20" s="206" t="s">
        <v>132</v>
      </c>
      <c r="F20" s="206" t="s">
        <v>344</v>
      </c>
    </row>
    <row r="21" spans="1:15" ht="19.95" customHeight="1">
      <c r="A21" s="203"/>
      <c r="B21" s="11">
        <f>B20+1</f>
        <v>3</v>
      </c>
      <c r="C21" s="206" t="s">
        <v>625</v>
      </c>
      <c r="D21" s="206" t="s">
        <v>624</v>
      </c>
      <c r="E21" s="206" t="s">
        <v>354</v>
      </c>
      <c r="F21" s="206" t="s">
        <v>344</v>
      </c>
    </row>
    <row r="22" spans="1:15" ht="19.95" customHeight="1">
      <c r="A22" s="203"/>
      <c r="B22" s="11">
        <f>B21+1</f>
        <v>4</v>
      </c>
      <c r="C22" s="206" t="s">
        <v>626</v>
      </c>
      <c r="D22" s="206" t="s">
        <v>624</v>
      </c>
      <c r="E22" s="206" t="s">
        <v>627</v>
      </c>
      <c r="F22" s="206" t="s">
        <v>344</v>
      </c>
    </row>
    <row r="23" spans="1:15" ht="19.95" customHeight="1">
      <c r="A23" s="203" t="s">
        <v>569</v>
      </c>
      <c r="B23" s="11">
        <f>B22+1</f>
        <v>5</v>
      </c>
      <c r="C23" s="206" t="s">
        <v>616</v>
      </c>
      <c r="D23" s="206" t="s">
        <v>133</v>
      </c>
      <c r="E23" s="206" t="s">
        <v>628</v>
      </c>
      <c r="F23" s="206" t="s">
        <v>589</v>
      </c>
    </row>
    <row r="24" spans="1:15" ht="19.95" customHeight="1">
      <c r="A24" s="203" t="s">
        <v>569</v>
      </c>
      <c r="B24" s="11">
        <f t="shared" ref="B24:B37" si="0">B23+1</f>
        <v>6</v>
      </c>
      <c r="C24" s="206" t="s">
        <v>616</v>
      </c>
      <c r="D24" s="206" t="s">
        <v>133</v>
      </c>
      <c r="E24" s="206" t="s">
        <v>628</v>
      </c>
      <c r="F24" s="206" t="s">
        <v>589</v>
      </c>
    </row>
    <row r="25" spans="1:15" ht="19.95" customHeight="1">
      <c r="A25" s="203" t="s">
        <v>569</v>
      </c>
      <c r="B25" s="11">
        <f t="shared" si="0"/>
        <v>7</v>
      </c>
      <c r="C25" s="206" t="s">
        <v>89</v>
      </c>
      <c r="D25" s="206" t="s">
        <v>133</v>
      </c>
      <c r="E25" s="206" t="s">
        <v>353</v>
      </c>
      <c r="F25" s="206" t="s">
        <v>589</v>
      </c>
    </row>
    <row r="26" spans="1:15" ht="19.95" customHeight="1">
      <c r="A26" s="203" t="s">
        <v>569</v>
      </c>
      <c r="B26" s="11">
        <f t="shared" si="0"/>
        <v>8</v>
      </c>
      <c r="C26" s="206" t="s">
        <v>587</v>
      </c>
      <c r="D26" s="206" t="s">
        <v>133</v>
      </c>
      <c r="E26" s="206" t="s">
        <v>133</v>
      </c>
      <c r="F26" s="206" t="s">
        <v>344</v>
      </c>
    </row>
    <row r="27" spans="1:15" ht="19.95" customHeight="1">
      <c r="A27" s="203" t="s">
        <v>569</v>
      </c>
      <c r="B27" s="11">
        <f t="shared" si="0"/>
        <v>9</v>
      </c>
      <c r="C27" s="206" t="s">
        <v>617</v>
      </c>
      <c r="D27" s="206" t="s">
        <v>620</v>
      </c>
      <c r="E27" s="206" t="s">
        <v>352</v>
      </c>
      <c r="F27" s="206" t="s">
        <v>357</v>
      </c>
    </row>
    <row r="28" spans="1:15" ht="19.95" customHeight="1">
      <c r="A28" s="203" t="s">
        <v>569</v>
      </c>
      <c r="B28" s="11">
        <f t="shared" si="0"/>
        <v>10</v>
      </c>
      <c r="C28" s="206" t="s">
        <v>340</v>
      </c>
      <c r="D28" s="206" t="s">
        <v>132</v>
      </c>
      <c r="E28" s="206" t="s">
        <v>352</v>
      </c>
      <c r="F28" s="206" t="s">
        <v>348</v>
      </c>
    </row>
    <row r="29" spans="1:15" ht="19.95" customHeight="1">
      <c r="A29" s="203" t="s">
        <v>569</v>
      </c>
      <c r="B29" s="11">
        <f t="shared" si="0"/>
        <v>11</v>
      </c>
      <c r="C29" s="206" t="s">
        <v>616</v>
      </c>
      <c r="D29" s="206" t="s">
        <v>133</v>
      </c>
      <c r="E29" s="206" t="s">
        <v>628</v>
      </c>
      <c r="F29" s="206" t="s">
        <v>629</v>
      </c>
    </row>
    <row r="30" spans="1:15" ht="19.95" customHeight="1">
      <c r="A30" s="203" t="s">
        <v>569</v>
      </c>
      <c r="B30" s="11">
        <f t="shared" si="0"/>
        <v>12</v>
      </c>
      <c r="C30" s="206" t="s">
        <v>616</v>
      </c>
      <c r="D30" s="206" t="s">
        <v>133</v>
      </c>
      <c r="E30" s="206" t="s">
        <v>628</v>
      </c>
      <c r="F30" s="206" t="s">
        <v>629</v>
      </c>
    </row>
    <row r="31" spans="1:15" ht="19.95" customHeight="1">
      <c r="A31" s="203" t="s">
        <v>569</v>
      </c>
      <c r="B31" s="11">
        <f t="shared" si="0"/>
        <v>13</v>
      </c>
      <c r="C31" s="206" t="s">
        <v>89</v>
      </c>
      <c r="D31" s="206" t="s">
        <v>133</v>
      </c>
      <c r="E31" s="206" t="s">
        <v>353</v>
      </c>
      <c r="F31" s="206" t="s">
        <v>629</v>
      </c>
    </row>
    <row r="32" spans="1:15" ht="19.95" customHeight="1">
      <c r="A32" s="203" t="s">
        <v>569</v>
      </c>
      <c r="B32" s="11">
        <f t="shared" si="0"/>
        <v>14</v>
      </c>
      <c r="C32" s="206" t="s">
        <v>587</v>
      </c>
      <c r="D32" s="206" t="s">
        <v>133</v>
      </c>
      <c r="E32" s="206" t="s">
        <v>345</v>
      </c>
      <c r="F32" s="206" t="s">
        <v>345</v>
      </c>
    </row>
    <row r="33" spans="1:6" ht="19.95" customHeight="1">
      <c r="A33" s="203" t="s">
        <v>569</v>
      </c>
      <c r="B33" s="11">
        <f t="shared" si="0"/>
        <v>15</v>
      </c>
      <c r="C33" s="206" t="s">
        <v>622</v>
      </c>
      <c r="D33" s="206" t="s">
        <v>620</v>
      </c>
      <c r="E33" s="206" t="s">
        <v>345</v>
      </c>
      <c r="F33" s="206" t="s">
        <v>345</v>
      </c>
    </row>
    <row r="34" spans="1:6" ht="19.95" customHeight="1">
      <c r="A34" s="203" t="s">
        <v>569</v>
      </c>
      <c r="B34" s="11">
        <f t="shared" si="0"/>
        <v>16</v>
      </c>
      <c r="C34" s="206" t="s">
        <v>618</v>
      </c>
      <c r="D34" s="206" t="s">
        <v>621</v>
      </c>
      <c r="E34" s="206" t="s">
        <v>345</v>
      </c>
      <c r="F34" s="206" t="s">
        <v>345</v>
      </c>
    </row>
    <row r="35" spans="1:6" ht="19.95" customHeight="1">
      <c r="A35" s="203" t="s">
        <v>569</v>
      </c>
      <c r="B35" s="11">
        <f t="shared" si="0"/>
        <v>17</v>
      </c>
      <c r="C35" s="206" t="s">
        <v>619</v>
      </c>
      <c r="D35" s="206" t="s">
        <v>132</v>
      </c>
      <c r="F35" s="206" t="s">
        <v>357</v>
      </c>
    </row>
    <row r="36" spans="1:6" ht="19.95" customHeight="1">
      <c r="A36" s="203" t="s">
        <v>569</v>
      </c>
      <c r="B36" s="11">
        <f t="shared" si="0"/>
        <v>18</v>
      </c>
      <c r="C36" s="206" t="s">
        <v>623</v>
      </c>
      <c r="D36" s="206" t="s">
        <v>620</v>
      </c>
    </row>
    <row r="37" spans="1:6" ht="19.95" customHeight="1">
      <c r="A37" s="203" t="s">
        <v>569</v>
      </c>
      <c r="B37" s="11">
        <f t="shared" si="0"/>
        <v>19</v>
      </c>
      <c r="C37" s="206" t="s">
        <v>619</v>
      </c>
      <c r="D37" s="206" t="s">
        <v>133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93</v>
      </c>
      <c r="F40" s="11" t="s">
        <v>95</v>
      </c>
    </row>
    <row r="41" spans="1:6" ht="19.95" customHeight="1">
      <c r="A41" s="188"/>
      <c r="E41" s="11" t="s">
        <v>73</v>
      </c>
      <c r="F41" s="11" t="s">
        <v>82</v>
      </c>
    </row>
    <row r="42" spans="1:6" ht="19.95" customHeight="1">
      <c r="A42" s="188"/>
      <c r="E42" s="11" t="s">
        <v>74</v>
      </c>
    </row>
    <row r="43" spans="1:6" ht="19.95" customHeight="1">
      <c r="A43" s="188"/>
      <c r="E43" s="11" t="s">
        <v>94</v>
      </c>
    </row>
    <row r="44" spans="1:6" ht="19.95" customHeight="1">
      <c r="A44" s="188"/>
      <c r="E44" s="11" t="s">
        <v>76</v>
      </c>
    </row>
    <row r="45" spans="1:6" ht="19.95" customHeight="1">
      <c r="A45" s="188"/>
      <c r="E45" s="11" t="s">
        <v>75</v>
      </c>
    </row>
    <row r="46" spans="1:6" ht="19.95" customHeight="1">
      <c r="A46" s="188"/>
      <c r="C46" s="11" t="s">
        <v>92</v>
      </c>
    </row>
    <row r="47" spans="1:6" ht="19.95" customHeight="1">
      <c r="A47" s="188"/>
      <c r="E47" s="11" t="s">
        <v>86</v>
      </c>
    </row>
    <row r="48" spans="1:6" ht="19.95" customHeight="1">
      <c r="A48" s="188"/>
      <c r="E48" s="11" t="s">
        <v>83</v>
      </c>
    </row>
    <row r="49" spans="1:9" ht="19.95" customHeight="1">
      <c r="A49" s="188"/>
      <c r="E49" s="11" t="s">
        <v>84</v>
      </c>
    </row>
    <row r="50" spans="1:9" ht="19.95" customHeight="1">
      <c r="A50" s="188"/>
      <c r="E50" s="11" t="s">
        <v>85</v>
      </c>
    </row>
    <row r="51" spans="1:9" ht="19.95" customHeight="1">
      <c r="A51" s="188"/>
      <c r="E51" s="11" t="s">
        <v>84</v>
      </c>
    </row>
    <row r="52" spans="1:9" ht="19.95" customHeight="1">
      <c r="A52" s="188"/>
      <c r="C52" s="11" t="s">
        <v>91</v>
      </c>
    </row>
    <row r="53" spans="1:9" ht="19.95" customHeight="1">
      <c r="A53" s="188"/>
      <c r="E53" s="11" t="s">
        <v>87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88</v>
      </c>
    </row>
    <row r="56" spans="1:9" ht="19.95" customHeight="1">
      <c r="A56" s="188"/>
      <c r="E56" s="11" t="s">
        <v>89</v>
      </c>
    </row>
    <row r="57" spans="1:9" ht="19.95" customHeight="1">
      <c r="A57" s="188"/>
      <c r="E57" s="11" t="s">
        <v>90</v>
      </c>
    </row>
    <row r="58" spans="1:9" ht="19.95" customHeight="1">
      <c r="A58" s="188"/>
      <c r="E58" s="11" t="s">
        <v>41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58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6"/>
  <sheetViews>
    <sheetView tabSelected="1" zoomScaleNormal="100" workbookViewId="0">
      <pane ySplit="1" topLeftCell="A88" activePane="bottomLeft" state="frozen"/>
      <selection pane="bottomLeft" activeCell="A102" sqref="A102"/>
    </sheetView>
  </sheetViews>
  <sheetFormatPr baseColWidth="10" defaultColWidth="11.5546875" defaultRowHeight="15.6"/>
  <cols>
    <col min="1" max="1" width="9.21875" style="334" customWidth="1"/>
    <col min="2" max="2" width="4.88671875" style="11" customWidth="1"/>
    <col min="3" max="3" width="33" style="11" bestFit="1" customWidth="1"/>
    <col min="4" max="4" width="16.77734375" style="1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332" t="s">
        <v>567</v>
      </c>
      <c r="B1" s="185" t="s">
        <v>591</v>
      </c>
      <c r="C1" s="202" t="s">
        <v>594</v>
      </c>
      <c r="D1" s="185" t="s">
        <v>590</v>
      </c>
      <c r="E1" s="358" t="s">
        <v>838</v>
      </c>
      <c r="F1" s="358" t="s">
        <v>839</v>
      </c>
      <c r="G1" s="185"/>
      <c r="H1" s="200"/>
      <c r="I1" s="200"/>
      <c r="J1" s="201"/>
      <c r="K1" s="200"/>
      <c r="L1" s="198"/>
      <c r="M1" s="199"/>
      <c r="N1" s="200"/>
      <c r="O1" s="200"/>
    </row>
    <row r="2" spans="1:15" ht="19.95" customHeight="1">
      <c r="A2" s="333" t="s">
        <v>99</v>
      </c>
    </row>
    <row r="3" spans="1:15" ht="19.95" customHeight="1">
      <c r="A3" s="333" t="s">
        <v>853</v>
      </c>
      <c r="B3" s="280"/>
      <c r="C3" s="362" t="s">
        <v>786</v>
      </c>
      <c r="D3" s="362"/>
      <c r="E3" s="361" t="str">
        <f>HYPERLINK("#'SW'!Q" &amp; F3,"Link")</f>
        <v>Link</v>
      </c>
      <c r="F3" s="362">
        <f>MATCH("SW001",SW!Q:Q,0)</f>
        <v>11</v>
      </c>
      <c r="G3" s="280"/>
      <c r="H3" s="280"/>
      <c r="I3" s="280"/>
      <c r="J3" s="280"/>
      <c r="K3" s="280"/>
      <c r="L3" s="282"/>
      <c r="M3" s="282"/>
      <c r="N3" s="282"/>
      <c r="O3" s="282"/>
    </row>
    <row r="4" spans="1:15" ht="19.95" customHeight="1">
      <c r="A4" s="333" t="s">
        <v>795</v>
      </c>
      <c r="B4" s="182"/>
      <c r="C4" s="341" t="s">
        <v>49</v>
      </c>
      <c r="D4" s="182"/>
      <c r="E4" s="182"/>
      <c r="F4" s="182"/>
      <c r="G4" s="182"/>
      <c r="H4" s="182"/>
      <c r="I4" s="182"/>
      <c r="J4" s="182"/>
      <c r="K4" s="182"/>
      <c r="L4" s="183"/>
      <c r="M4" s="182"/>
      <c r="N4" s="182"/>
      <c r="O4" s="182"/>
    </row>
    <row r="5" spans="1:15" ht="19.95" customHeight="1">
      <c r="A5" s="333" t="s">
        <v>569</v>
      </c>
      <c r="B5" s="184">
        <v>1</v>
      </c>
      <c r="C5" s="341" t="s">
        <v>793</v>
      </c>
      <c r="D5" s="350" t="s">
        <v>133</v>
      </c>
      <c r="E5" s="341" t="s">
        <v>56</v>
      </c>
      <c r="F5" s="182" t="s">
        <v>842</v>
      </c>
      <c r="G5" s="182"/>
      <c r="H5" s="182"/>
      <c r="I5" s="182"/>
      <c r="J5" s="184"/>
      <c r="K5" s="195"/>
      <c r="L5" s="184"/>
      <c r="M5" s="182"/>
      <c r="N5" s="182"/>
      <c r="O5" s="182"/>
    </row>
    <row r="6" spans="1:15" ht="19.95" customHeight="1">
      <c r="A6" s="333" t="s">
        <v>569</v>
      </c>
      <c r="B6" s="184">
        <f>B5+1</f>
        <v>2</v>
      </c>
      <c r="C6" s="341" t="s">
        <v>794</v>
      </c>
      <c r="D6" s="350" t="s">
        <v>132</v>
      </c>
      <c r="E6" s="341" t="s">
        <v>53</v>
      </c>
      <c r="F6" s="182" t="s">
        <v>843</v>
      </c>
      <c r="G6" s="182"/>
      <c r="H6" s="182"/>
      <c r="J6" s="184"/>
      <c r="K6" s="195"/>
      <c r="L6" s="184"/>
      <c r="M6" s="182"/>
      <c r="N6" s="182"/>
      <c r="O6" s="182"/>
    </row>
    <row r="7" spans="1:15" ht="19.95" customHeight="1">
      <c r="A7" s="333" t="s">
        <v>569</v>
      </c>
      <c r="B7" s="184">
        <f t="shared" ref="B7:B14" si="0">B6+1</f>
        <v>3</v>
      </c>
      <c r="C7" s="341" t="s">
        <v>791</v>
      </c>
      <c r="D7" s="350" t="s">
        <v>133</v>
      </c>
      <c r="E7" s="341" t="s">
        <v>56</v>
      </c>
      <c r="F7" s="182" t="s">
        <v>840</v>
      </c>
      <c r="G7" s="182"/>
      <c r="H7" s="182"/>
      <c r="I7" s="182"/>
      <c r="J7" s="195"/>
      <c r="K7" s="195"/>
      <c r="L7" s="184"/>
      <c r="M7" s="182"/>
      <c r="N7" s="182"/>
      <c r="O7" s="182"/>
    </row>
    <row r="8" spans="1:15" ht="19.95" customHeight="1">
      <c r="A8" s="333" t="s">
        <v>569</v>
      </c>
      <c r="B8" s="184">
        <f t="shared" si="0"/>
        <v>4</v>
      </c>
      <c r="C8" s="341" t="s">
        <v>790</v>
      </c>
      <c r="D8" s="350" t="s">
        <v>132</v>
      </c>
      <c r="E8" s="359" t="s">
        <v>846</v>
      </c>
      <c r="F8" s="182" t="s">
        <v>844</v>
      </c>
      <c r="G8" s="182"/>
      <c r="H8" s="182"/>
      <c r="I8" s="182"/>
      <c r="J8" s="195"/>
      <c r="K8" s="195"/>
      <c r="L8" s="184"/>
      <c r="M8" s="182"/>
      <c r="N8" s="182"/>
      <c r="O8" s="182"/>
    </row>
    <row r="9" spans="1:15" ht="19.95" customHeight="1">
      <c r="A9" s="333" t="s">
        <v>569</v>
      </c>
      <c r="B9" s="184">
        <f t="shared" si="0"/>
        <v>5</v>
      </c>
      <c r="C9" s="341" t="s">
        <v>791</v>
      </c>
      <c r="D9" s="350" t="s">
        <v>133</v>
      </c>
      <c r="E9" s="359" t="s">
        <v>848</v>
      </c>
      <c r="F9" s="182" t="s">
        <v>840</v>
      </c>
      <c r="G9" s="182"/>
      <c r="H9" s="182"/>
      <c r="I9" s="182"/>
      <c r="J9" s="184"/>
      <c r="K9" s="195"/>
      <c r="L9" s="184"/>
      <c r="M9" s="182"/>
      <c r="N9" s="182"/>
      <c r="O9" s="182"/>
    </row>
    <row r="10" spans="1:15" ht="19.95" customHeight="1">
      <c r="A10" s="333" t="s">
        <v>569</v>
      </c>
      <c r="B10" s="184">
        <f t="shared" si="0"/>
        <v>6</v>
      </c>
      <c r="C10" s="341" t="s">
        <v>12</v>
      </c>
      <c r="D10" s="350" t="s">
        <v>132</v>
      </c>
      <c r="E10" s="359" t="s">
        <v>845</v>
      </c>
      <c r="F10" s="139"/>
      <c r="G10" s="182"/>
      <c r="H10" s="182"/>
      <c r="I10" s="182"/>
      <c r="J10" s="184"/>
      <c r="K10" s="195"/>
      <c r="L10" s="184"/>
      <c r="M10" s="139"/>
      <c r="N10" s="182"/>
      <c r="O10" s="182"/>
    </row>
    <row r="11" spans="1:15" ht="19.95" customHeight="1">
      <c r="A11" s="333" t="s">
        <v>569</v>
      </c>
      <c r="B11" s="184">
        <f t="shared" si="0"/>
        <v>7</v>
      </c>
      <c r="C11" s="349" t="s">
        <v>801</v>
      </c>
      <c r="D11" s="349" t="s">
        <v>133</v>
      </c>
      <c r="E11" s="360" t="s">
        <v>846</v>
      </c>
      <c r="F11" s="139" t="s">
        <v>841</v>
      </c>
      <c r="G11" s="182"/>
      <c r="H11" s="182"/>
      <c r="I11" s="182"/>
      <c r="J11" s="155"/>
      <c r="K11" s="197"/>
      <c r="L11" s="155"/>
      <c r="M11" s="139"/>
      <c r="N11" s="182"/>
      <c r="O11" s="182"/>
    </row>
    <row r="12" spans="1:15" ht="19.95" customHeight="1">
      <c r="A12" s="333" t="s">
        <v>569</v>
      </c>
      <c r="B12" s="184">
        <f t="shared" si="0"/>
        <v>8</v>
      </c>
      <c r="C12" s="182" t="s">
        <v>792</v>
      </c>
      <c r="D12" s="182" t="s">
        <v>132</v>
      </c>
      <c r="E12" s="182" t="s">
        <v>800</v>
      </c>
      <c r="F12" s="182" t="s">
        <v>843</v>
      </c>
      <c r="G12" s="182"/>
      <c r="H12" s="182"/>
      <c r="I12" s="182"/>
      <c r="J12" s="182"/>
      <c r="K12" s="182"/>
      <c r="L12" s="182"/>
      <c r="M12" s="182"/>
      <c r="N12" s="182"/>
      <c r="O12" s="182"/>
    </row>
    <row r="13" spans="1:15" ht="19.95" customHeight="1">
      <c r="A13" s="333" t="s">
        <v>569</v>
      </c>
      <c r="B13" s="184">
        <f t="shared" si="0"/>
        <v>9</v>
      </c>
      <c r="C13" s="182" t="s">
        <v>13</v>
      </c>
      <c r="D13" s="182" t="s">
        <v>132</v>
      </c>
      <c r="E13" s="182" t="s">
        <v>345</v>
      </c>
      <c r="F13" s="182" t="s">
        <v>847</v>
      </c>
      <c r="G13" s="182"/>
      <c r="H13" s="182"/>
      <c r="I13" s="182"/>
      <c r="J13" s="182"/>
      <c r="K13" s="182"/>
      <c r="L13" s="182"/>
      <c r="M13" s="182"/>
      <c r="N13" s="182"/>
      <c r="O13" s="182"/>
    </row>
    <row r="14" spans="1:15" ht="19.95" customHeight="1">
      <c r="A14" s="333" t="s">
        <v>569</v>
      </c>
      <c r="B14" s="184">
        <f t="shared" si="0"/>
        <v>10</v>
      </c>
      <c r="C14" s="341" t="s">
        <v>117</v>
      </c>
      <c r="D14" s="350" t="s">
        <v>133</v>
      </c>
      <c r="E14" s="350" t="s">
        <v>800</v>
      </c>
      <c r="F14" s="359" t="s">
        <v>847</v>
      </c>
    </row>
    <row r="15" spans="1:15" ht="19.95" customHeight="1">
      <c r="A15" s="333" t="s">
        <v>854</v>
      </c>
      <c r="B15" s="184"/>
      <c r="C15" s="341"/>
    </row>
    <row r="16" spans="1:15" ht="19.95" customHeight="1">
      <c r="A16" s="333" t="s">
        <v>853</v>
      </c>
      <c r="B16" s="280"/>
      <c r="C16" s="280" t="s">
        <v>788</v>
      </c>
      <c r="D16" s="280"/>
      <c r="E16" s="336" t="str">
        <f>HYPERLINK("#'SW'!Q" &amp; H16,"Link")</f>
        <v>Link</v>
      </c>
      <c r="F16" s="280">
        <f>MATCH("SW002",SW!Q:Q,0)</f>
        <v>12</v>
      </c>
      <c r="G16" s="336"/>
      <c r="H16" s="340"/>
      <c r="I16" s="280"/>
      <c r="J16" s="280"/>
      <c r="K16" s="280"/>
      <c r="L16" s="282"/>
      <c r="M16" s="282"/>
      <c r="N16" s="282"/>
      <c r="O16" s="282"/>
    </row>
    <row r="17" spans="1:15" ht="19.95" customHeight="1">
      <c r="A17" s="333" t="s">
        <v>795</v>
      </c>
      <c r="C17" s="341" t="s">
        <v>774</v>
      </c>
      <c r="G17" s="342"/>
    </row>
    <row r="18" spans="1:15" ht="19.95" customHeight="1">
      <c r="A18" s="333" t="s">
        <v>569</v>
      </c>
      <c r="B18" s="11">
        <f>B17+1</f>
        <v>1</v>
      </c>
      <c r="C18" s="341" t="s">
        <v>793</v>
      </c>
      <c r="D18" s="195"/>
      <c r="E18" s="206"/>
      <c r="F18" s="206"/>
    </row>
    <row r="19" spans="1:15" ht="19.95" customHeight="1">
      <c r="A19" s="333" t="s">
        <v>569</v>
      </c>
      <c r="B19" s="11">
        <f>B18+1</f>
        <v>2</v>
      </c>
      <c r="C19" s="341" t="s">
        <v>794</v>
      </c>
      <c r="D19" s="195"/>
      <c r="E19" s="206"/>
      <c r="F19" s="206"/>
    </row>
    <row r="20" spans="1:15" ht="19.95" customHeight="1">
      <c r="A20" s="333" t="s">
        <v>569</v>
      </c>
      <c r="B20" s="11">
        <f>B19+1</f>
        <v>3</v>
      </c>
      <c r="C20" s="341" t="s">
        <v>791</v>
      </c>
      <c r="D20" s="195"/>
      <c r="E20" s="206"/>
      <c r="F20" s="206"/>
    </row>
    <row r="21" spans="1:15" ht="19.95" customHeight="1">
      <c r="A21" s="333" t="s">
        <v>569</v>
      </c>
      <c r="B21" s="11">
        <f>B20+1</f>
        <v>4</v>
      </c>
      <c r="C21" s="341" t="s">
        <v>790</v>
      </c>
      <c r="D21" s="341"/>
      <c r="E21" s="206"/>
      <c r="F21" s="206"/>
    </row>
    <row r="22" spans="1:15" ht="19.95" customHeight="1">
      <c r="A22" s="333" t="s">
        <v>569</v>
      </c>
      <c r="B22" s="11">
        <f>B21+1</f>
        <v>5</v>
      </c>
      <c r="C22" s="341" t="s">
        <v>791</v>
      </c>
      <c r="D22" s="341"/>
      <c r="E22" s="206"/>
      <c r="F22" s="206"/>
    </row>
    <row r="23" spans="1:15" ht="19.95" customHeight="1">
      <c r="A23" s="333" t="s">
        <v>569</v>
      </c>
      <c r="B23" s="11">
        <f t="shared" ref="B23:B33" si="1">B22+1</f>
        <v>6</v>
      </c>
      <c r="C23" s="341" t="s">
        <v>12</v>
      </c>
      <c r="D23" s="341"/>
      <c r="E23" s="206"/>
      <c r="F23" s="206"/>
    </row>
    <row r="24" spans="1:15" ht="19.95" customHeight="1">
      <c r="A24" s="333" t="s">
        <v>854</v>
      </c>
      <c r="C24" s="206"/>
      <c r="D24" s="206"/>
    </row>
    <row r="25" spans="1:15" ht="19.95" customHeight="1">
      <c r="A25" s="333" t="s">
        <v>853</v>
      </c>
      <c r="B25" s="280"/>
      <c r="C25" s="280" t="s">
        <v>784</v>
      </c>
      <c r="D25" s="280"/>
      <c r="E25" s="336" t="str">
        <f>HYPERLINK("#'SW'!Q" &amp; F25,"Link")</f>
        <v>Link</v>
      </c>
      <c r="F25" s="340">
        <f>MATCH("SW003",SW!Q:Q,0)</f>
        <v>13</v>
      </c>
      <c r="G25" s="280"/>
      <c r="H25" s="280"/>
      <c r="I25" s="280"/>
      <c r="J25" s="280"/>
      <c r="K25" s="280"/>
      <c r="L25" s="282"/>
      <c r="M25" s="282"/>
      <c r="N25" s="282"/>
      <c r="O25" s="282"/>
    </row>
    <row r="26" spans="1:15" ht="19.95" customHeight="1">
      <c r="A26" s="333" t="s">
        <v>795</v>
      </c>
      <c r="C26" s="343" t="s">
        <v>799</v>
      </c>
      <c r="D26" s="206"/>
    </row>
    <row r="27" spans="1:15">
      <c r="A27" s="333" t="s">
        <v>569</v>
      </c>
      <c r="B27" s="11">
        <f t="shared" si="1"/>
        <v>1</v>
      </c>
      <c r="C27" s="341" t="s">
        <v>793</v>
      </c>
      <c r="D27" s="206"/>
    </row>
    <row r="28" spans="1:15" ht="19.95" customHeight="1">
      <c r="A28" s="333" t="s">
        <v>569</v>
      </c>
      <c r="B28" s="11">
        <f t="shared" si="1"/>
        <v>2</v>
      </c>
      <c r="C28" s="341" t="s">
        <v>794</v>
      </c>
      <c r="D28" s="206"/>
    </row>
    <row r="29" spans="1:15" ht="19.95" customHeight="1">
      <c r="A29" s="333" t="s">
        <v>854</v>
      </c>
    </row>
    <row r="30" spans="1:15" ht="19.95" customHeight="1">
      <c r="A30" s="333" t="s">
        <v>853</v>
      </c>
      <c r="B30" s="280"/>
      <c r="C30" s="280" t="s">
        <v>785</v>
      </c>
      <c r="D30" s="280"/>
      <c r="E30" s="336" t="str">
        <f>HYPERLINK("#'SW'!Q" &amp; F30,"zurück")</f>
        <v>zurück</v>
      </c>
      <c r="F30" s="340">
        <f>MATCH("SW004",SW!Q:Q,0)</f>
        <v>14</v>
      </c>
      <c r="G30" s="280"/>
      <c r="H30" s="280"/>
      <c r="I30" s="280"/>
      <c r="J30" s="280"/>
      <c r="K30" s="280"/>
      <c r="L30" s="282"/>
      <c r="M30" s="282"/>
      <c r="N30" s="282"/>
      <c r="O30" s="282"/>
    </row>
    <row r="31" spans="1:15" ht="19.95" customHeight="1">
      <c r="A31" s="333" t="s">
        <v>795</v>
      </c>
      <c r="C31" s="341" t="s">
        <v>665</v>
      </c>
      <c r="D31" s="206"/>
      <c r="E31" s="206"/>
      <c r="F31" s="206"/>
    </row>
    <row r="32" spans="1:15" ht="19.95" customHeight="1">
      <c r="A32" s="333" t="s">
        <v>569</v>
      </c>
      <c r="B32" s="11">
        <f t="shared" si="1"/>
        <v>1</v>
      </c>
      <c r="C32" s="206"/>
      <c r="D32" s="206"/>
      <c r="E32" s="206"/>
      <c r="F32" s="206"/>
    </row>
    <row r="33" spans="1:15" ht="19.95" customHeight="1">
      <c r="A33" s="333" t="s">
        <v>569</v>
      </c>
      <c r="B33" s="11">
        <f t="shared" si="1"/>
        <v>2</v>
      </c>
      <c r="C33" s="206"/>
      <c r="D33" s="206"/>
      <c r="E33" s="206"/>
      <c r="F33" s="206"/>
    </row>
    <row r="34" spans="1:15" ht="19.95" customHeight="1">
      <c r="A34" s="333" t="s">
        <v>854</v>
      </c>
      <c r="C34" s="206"/>
      <c r="D34" s="206"/>
      <c r="F34" s="206"/>
    </row>
    <row r="35" spans="1:15" ht="19.95" customHeight="1">
      <c r="A35" s="333" t="s">
        <v>853</v>
      </c>
      <c r="B35" s="280"/>
      <c r="C35" s="280" t="s">
        <v>806</v>
      </c>
      <c r="D35" s="280"/>
      <c r="E35" s="336" t="str">
        <f>HYPERLINK("#'SW'!Q" &amp; F35,"zurück")</f>
        <v>zurück</v>
      </c>
      <c r="F35" s="340">
        <f>MATCH("SW005",SW!Q:Q,0)</f>
        <v>49</v>
      </c>
      <c r="G35" s="280"/>
      <c r="H35" s="280"/>
      <c r="I35" s="280"/>
      <c r="J35" s="280"/>
      <c r="K35" s="280"/>
      <c r="L35" s="282"/>
      <c r="M35" s="282"/>
      <c r="N35" s="282"/>
      <c r="O35" s="282"/>
    </row>
    <row r="36" spans="1:15" ht="19.95" customHeight="1">
      <c r="A36" s="333" t="s">
        <v>795</v>
      </c>
      <c r="C36" s="206" t="s">
        <v>807</v>
      </c>
      <c r="D36" s="206"/>
    </row>
    <row r="37" spans="1:15" ht="19.95" customHeight="1">
      <c r="A37" s="333" t="s">
        <v>569</v>
      </c>
      <c r="B37" s="11">
        <v>36</v>
      </c>
      <c r="C37" s="355" t="s">
        <v>809</v>
      </c>
      <c r="D37" s="206"/>
    </row>
    <row r="38" spans="1:15" ht="19.95" customHeight="1">
      <c r="A38" s="333" t="s">
        <v>569</v>
      </c>
      <c r="B38" s="11">
        <v>36</v>
      </c>
      <c r="C38" s="355" t="s">
        <v>810</v>
      </c>
      <c r="D38" s="206"/>
    </row>
    <row r="39" spans="1:15" ht="19.95" customHeight="1">
      <c r="A39" s="333" t="s">
        <v>569</v>
      </c>
      <c r="B39" s="11">
        <f t="shared" ref="B39:B50" si="2">B38+1</f>
        <v>37</v>
      </c>
      <c r="C39" s="355" t="s">
        <v>811</v>
      </c>
      <c r="D39" s="206"/>
    </row>
    <row r="40" spans="1:15" ht="19.95" customHeight="1">
      <c r="A40" s="333" t="s">
        <v>569</v>
      </c>
      <c r="B40" s="11">
        <f t="shared" si="2"/>
        <v>38</v>
      </c>
      <c r="C40" s="355" t="s">
        <v>812</v>
      </c>
      <c r="D40" s="206"/>
    </row>
    <row r="41" spans="1:15" ht="19.95" customHeight="1">
      <c r="A41" s="333" t="s">
        <v>569</v>
      </c>
      <c r="B41" s="11">
        <f t="shared" si="2"/>
        <v>39</v>
      </c>
      <c r="C41" s="355" t="s">
        <v>813</v>
      </c>
      <c r="D41" s="206"/>
    </row>
    <row r="42" spans="1:15" ht="19.95" customHeight="1">
      <c r="A42" s="333" t="s">
        <v>569</v>
      </c>
      <c r="B42" s="11">
        <f t="shared" si="2"/>
        <v>40</v>
      </c>
      <c r="C42" s="355" t="s">
        <v>790</v>
      </c>
      <c r="D42" s="206"/>
    </row>
    <row r="43" spans="1:15" ht="19.95" customHeight="1">
      <c r="A43" s="333" t="s">
        <v>569</v>
      </c>
      <c r="B43" s="11">
        <f t="shared" si="2"/>
        <v>41</v>
      </c>
      <c r="C43" s="355" t="s">
        <v>111</v>
      </c>
      <c r="D43" s="206"/>
    </row>
    <row r="44" spans="1:15" ht="19.95" customHeight="1">
      <c r="A44" s="333" t="s">
        <v>569</v>
      </c>
      <c r="B44" s="11">
        <f t="shared" si="2"/>
        <v>42</v>
      </c>
      <c r="C44" s="355" t="s">
        <v>814</v>
      </c>
      <c r="D44" s="206"/>
    </row>
    <row r="45" spans="1:15" ht="19.95" customHeight="1">
      <c r="A45" s="333" t="s">
        <v>569</v>
      </c>
      <c r="B45" s="11">
        <f t="shared" si="2"/>
        <v>43</v>
      </c>
      <c r="C45" s="355" t="s">
        <v>815</v>
      </c>
    </row>
    <row r="46" spans="1:15" ht="19.95" customHeight="1">
      <c r="A46" s="333" t="s">
        <v>569</v>
      </c>
      <c r="B46" s="11">
        <f t="shared" si="2"/>
        <v>44</v>
      </c>
      <c r="C46" s="355" t="s">
        <v>816</v>
      </c>
    </row>
    <row r="47" spans="1:15" ht="19.95" customHeight="1">
      <c r="A47" s="333" t="s">
        <v>569</v>
      </c>
      <c r="B47" s="11">
        <f t="shared" si="2"/>
        <v>45</v>
      </c>
      <c r="C47" s="355" t="s">
        <v>817</v>
      </c>
    </row>
    <row r="48" spans="1:15" ht="19.95" customHeight="1">
      <c r="A48" s="333" t="s">
        <v>569</v>
      </c>
      <c r="B48" s="11">
        <f t="shared" si="2"/>
        <v>46</v>
      </c>
      <c r="C48" s="355" t="s">
        <v>818</v>
      </c>
    </row>
    <row r="49" spans="1:15" ht="19.95" customHeight="1">
      <c r="A49" s="333" t="s">
        <v>569</v>
      </c>
      <c r="B49" s="11">
        <f t="shared" si="2"/>
        <v>47</v>
      </c>
      <c r="C49" s="355" t="s">
        <v>790</v>
      </c>
    </row>
    <row r="50" spans="1:15" ht="19.95" customHeight="1">
      <c r="A50" s="333" t="s">
        <v>569</v>
      </c>
      <c r="B50" s="11">
        <f t="shared" si="2"/>
        <v>48</v>
      </c>
      <c r="C50" s="355" t="s">
        <v>791</v>
      </c>
    </row>
    <row r="51" spans="1:15" ht="19.95" customHeight="1">
      <c r="A51" s="333" t="s">
        <v>854</v>
      </c>
    </row>
    <row r="52" spans="1:15" ht="19.95" customHeight="1">
      <c r="A52" s="333" t="s">
        <v>853</v>
      </c>
      <c r="B52" s="280"/>
      <c r="C52" s="280" t="s">
        <v>819</v>
      </c>
      <c r="D52" s="280"/>
      <c r="E52" s="336" t="str">
        <f>HYPERLINK("#'SW'!Q" &amp; F52,"zurück")</f>
        <v>zurück</v>
      </c>
      <c r="F52" s="340">
        <f>MATCH("SW006",SW!Q:Q,0)</f>
        <v>50</v>
      </c>
      <c r="G52" s="280"/>
      <c r="H52" s="280"/>
      <c r="I52" s="280"/>
      <c r="J52" s="280"/>
      <c r="K52" s="280"/>
      <c r="L52" s="282"/>
      <c r="M52" s="282"/>
      <c r="N52" s="282"/>
      <c r="O52" s="282"/>
    </row>
    <row r="53" spans="1:15" ht="19.95" customHeight="1">
      <c r="A53" s="333" t="s">
        <v>795</v>
      </c>
      <c r="C53" s="11" t="s">
        <v>820</v>
      </c>
    </row>
    <row r="54" spans="1:15" ht="19.95" customHeight="1">
      <c r="A54" s="333" t="s">
        <v>569</v>
      </c>
      <c r="B54" s="11">
        <v>23</v>
      </c>
      <c r="C54" s="355" t="s">
        <v>12</v>
      </c>
    </row>
    <row r="55" spans="1:15" ht="19.95" customHeight="1">
      <c r="A55" s="333" t="s">
        <v>569</v>
      </c>
      <c r="B55" s="11">
        <f t="shared" ref="B55:B63" si="3">B54+1</f>
        <v>24</v>
      </c>
      <c r="C55" s="355" t="s">
        <v>801</v>
      </c>
    </row>
    <row r="56" spans="1:15" ht="19.95" customHeight="1">
      <c r="A56" s="333" t="s">
        <v>569</v>
      </c>
      <c r="B56" s="11">
        <f t="shared" si="3"/>
        <v>25</v>
      </c>
      <c r="C56" s="355" t="s">
        <v>812</v>
      </c>
    </row>
    <row r="57" spans="1:15" ht="19.95" customHeight="1">
      <c r="A57" s="333" t="s">
        <v>569</v>
      </c>
      <c r="B57" s="11">
        <f t="shared" si="3"/>
        <v>26</v>
      </c>
      <c r="C57" s="355" t="s">
        <v>822</v>
      </c>
    </row>
    <row r="58" spans="1:15" ht="19.95" customHeight="1">
      <c r="A58" s="333" t="s">
        <v>569</v>
      </c>
      <c r="B58" s="11">
        <f t="shared" si="3"/>
        <v>27</v>
      </c>
      <c r="C58" s="355" t="s">
        <v>823</v>
      </c>
    </row>
    <row r="59" spans="1:15" ht="19.95" customHeight="1">
      <c r="A59" s="333" t="s">
        <v>569</v>
      </c>
      <c r="B59" s="11">
        <f t="shared" si="3"/>
        <v>28</v>
      </c>
      <c r="C59" s="355" t="s">
        <v>111</v>
      </c>
    </row>
    <row r="60" spans="1:15" ht="19.95" customHeight="1">
      <c r="A60" s="333" t="s">
        <v>569</v>
      </c>
      <c r="B60" s="11">
        <f t="shared" si="3"/>
        <v>29</v>
      </c>
      <c r="C60" s="355" t="s">
        <v>824</v>
      </c>
    </row>
    <row r="61" spans="1:15" ht="19.95" customHeight="1">
      <c r="A61" s="333" t="s">
        <v>569</v>
      </c>
      <c r="B61" s="11">
        <f t="shared" si="3"/>
        <v>30</v>
      </c>
      <c r="C61" s="355" t="s">
        <v>117</v>
      </c>
    </row>
    <row r="62" spans="1:15" ht="19.95" customHeight="1">
      <c r="A62" s="333" t="s">
        <v>569</v>
      </c>
      <c r="B62" s="11">
        <f t="shared" si="3"/>
        <v>31</v>
      </c>
      <c r="C62" s="355" t="s">
        <v>821</v>
      </c>
    </row>
    <row r="63" spans="1:15" ht="19.95" customHeight="1">
      <c r="A63" s="333" t="s">
        <v>569</v>
      </c>
      <c r="B63" s="11">
        <f t="shared" si="3"/>
        <v>32</v>
      </c>
      <c r="C63" s="355" t="s">
        <v>816</v>
      </c>
    </row>
    <row r="64" spans="1:15" ht="19.95" customHeight="1">
      <c r="A64" s="333" t="s">
        <v>569</v>
      </c>
      <c r="B64" s="11">
        <f>B63+1</f>
        <v>33</v>
      </c>
      <c r="C64" s="355" t="s">
        <v>818</v>
      </c>
      <c r="D64" s="189"/>
      <c r="F64" s="192"/>
      <c r="G64" s="193"/>
      <c r="H64" s="193"/>
      <c r="I64" s="194"/>
    </row>
    <row r="65" spans="1:15" ht="19.95" customHeight="1">
      <c r="A65" s="333" t="s">
        <v>569</v>
      </c>
      <c r="B65" s="11">
        <f>B64+1</f>
        <v>34</v>
      </c>
      <c r="C65" s="355" t="s">
        <v>790</v>
      </c>
      <c r="D65" s="189"/>
      <c r="F65" s="192"/>
      <c r="G65" s="193"/>
      <c r="H65" s="193"/>
      <c r="I65" s="194"/>
    </row>
    <row r="66" spans="1:15" ht="19.95" customHeight="1">
      <c r="A66" s="333" t="s">
        <v>569</v>
      </c>
      <c r="B66" s="11">
        <f>B65+1</f>
        <v>35</v>
      </c>
      <c r="C66" s="355" t="s">
        <v>791</v>
      </c>
      <c r="D66" s="189"/>
      <c r="F66" s="192"/>
      <c r="G66" s="193"/>
      <c r="H66" s="193"/>
      <c r="I66" s="194"/>
    </row>
    <row r="67" spans="1:15" ht="19.95" customHeight="1">
      <c r="A67" s="333" t="s">
        <v>854</v>
      </c>
      <c r="B67" s="189"/>
      <c r="C67" s="189"/>
      <c r="D67" s="189"/>
      <c r="F67" s="192"/>
      <c r="G67" s="193"/>
      <c r="H67" s="193"/>
      <c r="I67" s="194"/>
    </row>
    <row r="68" spans="1:15" ht="19.95" customHeight="1">
      <c r="A68" s="333" t="s">
        <v>853</v>
      </c>
      <c r="B68" s="280"/>
      <c r="C68" s="280" t="s">
        <v>826</v>
      </c>
      <c r="D68" s="280"/>
      <c r="E68" s="336" t="str">
        <f>HYPERLINK("#'SW'!Q" &amp; F68,"zurück")</f>
        <v>zurück</v>
      </c>
      <c r="F68" s="280">
        <f>MATCH("SW007",SW!Q:Q,0)</f>
        <v>51</v>
      </c>
      <c r="G68" s="280"/>
      <c r="H68" s="280"/>
      <c r="I68" s="280"/>
      <c r="J68" s="280"/>
      <c r="K68" s="280"/>
      <c r="L68" s="282"/>
      <c r="M68" s="282"/>
      <c r="N68" s="282"/>
      <c r="O68" s="282"/>
    </row>
    <row r="69" spans="1:15" ht="19.95" customHeight="1">
      <c r="A69" s="333" t="s">
        <v>795</v>
      </c>
      <c r="B69" s="189"/>
      <c r="C69" s="189" t="s">
        <v>825</v>
      </c>
      <c r="D69" s="189"/>
      <c r="E69" s="193"/>
      <c r="F69" s="193"/>
    </row>
    <row r="70" spans="1:15" ht="19.95" customHeight="1">
      <c r="A70" s="333" t="s">
        <v>569</v>
      </c>
      <c r="B70" s="189">
        <v>19</v>
      </c>
      <c r="C70" s="355" t="s">
        <v>816</v>
      </c>
      <c r="D70" s="189"/>
      <c r="E70" s="193"/>
      <c r="F70" s="193"/>
    </row>
    <row r="71" spans="1:15" ht="19.95" customHeight="1">
      <c r="A71" s="333" t="s">
        <v>569</v>
      </c>
      <c r="B71" s="11">
        <f>B70+1</f>
        <v>20</v>
      </c>
      <c r="C71" s="355" t="s">
        <v>818</v>
      </c>
    </row>
    <row r="72" spans="1:15" ht="19.95" customHeight="1">
      <c r="A72" s="333" t="s">
        <v>569</v>
      </c>
      <c r="B72" s="11">
        <f>B71+1</f>
        <v>21</v>
      </c>
      <c r="C72" s="355" t="s">
        <v>790</v>
      </c>
    </row>
    <row r="73" spans="1:15" ht="19.95" customHeight="1">
      <c r="A73" s="333" t="s">
        <v>569</v>
      </c>
      <c r="B73" s="11">
        <f>B72+1</f>
        <v>22</v>
      </c>
      <c r="C73" s="355" t="s">
        <v>791</v>
      </c>
    </row>
    <row r="74" spans="1:15" ht="19.95" customHeight="1">
      <c r="A74" s="333" t="s">
        <v>854</v>
      </c>
      <c r="B74" s="355"/>
    </row>
    <row r="75" spans="1:15" ht="19.95" customHeight="1">
      <c r="A75" s="333" t="s">
        <v>853</v>
      </c>
      <c r="B75" s="280"/>
      <c r="C75" s="280" t="s">
        <v>827</v>
      </c>
      <c r="D75" s="280"/>
      <c r="E75" s="336" t="str">
        <f>HYPERLINK("#'SW'!Q" &amp; F75,"zurück")</f>
        <v>zurück</v>
      </c>
      <c r="F75" s="280">
        <f>MATCH("SW008",SW!Q:Q,0)</f>
        <v>52</v>
      </c>
      <c r="G75" s="280"/>
      <c r="H75" s="280"/>
      <c r="I75" s="280"/>
      <c r="J75" s="280"/>
      <c r="K75" s="280"/>
      <c r="L75" s="282"/>
      <c r="M75" s="282"/>
      <c r="N75" s="282"/>
      <c r="O75" s="282"/>
    </row>
    <row r="76" spans="1:15" ht="19.95" customHeight="1">
      <c r="A76" s="333" t="s">
        <v>795</v>
      </c>
      <c r="C76" s="356" t="s">
        <v>828</v>
      </c>
    </row>
    <row r="77" spans="1:15" ht="19.95" customHeight="1">
      <c r="A77" s="333" t="s">
        <v>569</v>
      </c>
      <c r="B77" s="11">
        <v>9</v>
      </c>
      <c r="C77" s="356" t="s">
        <v>791</v>
      </c>
    </row>
    <row r="78" spans="1:15" ht="19.95" customHeight="1">
      <c r="A78" s="333" t="s">
        <v>569</v>
      </c>
      <c r="B78" s="11">
        <f>B77+1</f>
        <v>10</v>
      </c>
      <c r="C78" s="356" t="s">
        <v>12</v>
      </c>
    </row>
    <row r="79" spans="1:15" ht="19.95" customHeight="1">
      <c r="A79" s="333" t="s">
        <v>569</v>
      </c>
      <c r="B79" s="11">
        <f t="shared" ref="B79:B86" si="4">B78+1</f>
        <v>11</v>
      </c>
      <c r="C79" s="356" t="s">
        <v>801</v>
      </c>
    </row>
    <row r="80" spans="1:15" ht="19.95" customHeight="1">
      <c r="A80" s="333" t="s">
        <v>569</v>
      </c>
      <c r="B80" s="11">
        <f t="shared" si="4"/>
        <v>12</v>
      </c>
      <c r="C80" s="356" t="s">
        <v>829</v>
      </c>
    </row>
    <row r="81" spans="1:15" ht="19.95" customHeight="1">
      <c r="A81" s="333" t="s">
        <v>569</v>
      </c>
      <c r="B81" s="11">
        <f t="shared" si="4"/>
        <v>13</v>
      </c>
      <c r="C81" s="356" t="s">
        <v>830</v>
      </c>
    </row>
    <row r="82" spans="1:15" ht="19.95" customHeight="1">
      <c r="A82" s="333" t="s">
        <v>569</v>
      </c>
      <c r="B82" s="11">
        <f t="shared" si="4"/>
        <v>14</v>
      </c>
      <c r="C82" s="356" t="s">
        <v>13</v>
      </c>
    </row>
    <row r="83" spans="1:15" ht="19.95" customHeight="1">
      <c r="A83" s="333" t="s">
        <v>569</v>
      </c>
      <c r="B83" s="11">
        <f t="shared" si="4"/>
        <v>15</v>
      </c>
      <c r="C83" s="356" t="s">
        <v>117</v>
      </c>
    </row>
    <row r="84" spans="1:15" ht="19.95" customHeight="1">
      <c r="A84" s="333" t="s">
        <v>569</v>
      </c>
      <c r="B84" s="11">
        <f t="shared" si="4"/>
        <v>16</v>
      </c>
      <c r="C84" s="356" t="s">
        <v>821</v>
      </c>
    </row>
    <row r="85" spans="1:15" ht="19.95" customHeight="1">
      <c r="A85" s="333" t="s">
        <v>569</v>
      </c>
      <c r="B85" s="11">
        <f t="shared" si="4"/>
        <v>17</v>
      </c>
      <c r="C85" s="356" t="s">
        <v>831</v>
      </c>
    </row>
    <row r="86" spans="1:15" ht="19.95" customHeight="1">
      <c r="A86" s="333" t="s">
        <v>569</v>
      </c>
      <c r="B86" s="11">
        <f t="shared" si="4"/>
        <v>18</v>
      </c>
      <c r="C86" s="356" t="s">
        <v>791</v>
      </c>
    </row>
    <row r="87" spans="1:15" ht="19.95" customHeight="1">
      <c r="A87" s="333" t="s">
        <v>854</v>
      </c>
    </row>
    <row r="88" spans="1:15" ht="19.95" customHeight="1">
      <c r="A88" s="333" t="s">
        <v>853</v>
      </c>
      <c r="B88" s="280"/>
      <c r="C88" s="280" t="s">
        <v>832</v>
      </c>
      <c r="D88" s="280"/>
      <c r="E88" s="336" t="str">
        <f>HYPERLINK("#'SW'!Q" &amp; F88,"zurück")</f>
        <v>zurück</v>
      </c>
      <c r="F88" s="280">
        <f>MATCH("SW009",SW!Q:Q,0)</f>
        <v>53</v>
      </c>
      <c r="G88" s="280"/>
      <c r="H88" s="280"/>
      <c r="I88" s="280"/>
      <c r="J88" s="280"/>
      <c r="K88" s="280"/>
      <c r="L88" s="282"/>
      <c r="M88" s="282"/>
      <c r="N88" s="282"/>
      <c r="O88" s="282"/>
    </row>
    <row r="89" spans="1:15" ht="19.95" customHeight="1">
      <c r="A89" s="333" t="s">
        <v>795</v>
      </c>
      <c r="C89" s="11" t="s">
        <v>833</v>
      </c>
    </row>
    <row r="90" spans="1:15" ht="19.95" customHeight="1">
      <c r="A90" s="333" t="s">
        <v>569</v>
      </c>
      <c r="B90" s="356">
        <v>1</v>
      </c>
      <c r="C90" s="357" t="s">
        <v>834</v>
      </c>
    </row>
    <row r="91" spans="1:15" ht="19.95" customHeight="1">
      <c r="A91" s="333" t="s">
        <v>569</v>
      </c>
      <c r="B91" s="356">
        <f>B90+1</f>
        <v>2</v>
      </c>
      <c r="C91" s="357" t="s">
        <v>835</v>
      </c>
    </row>
    <row r="92" spans="1:15" ht="19.95" customHeight="1">
      <c r="A92" s="333" t="s">
        <v>569</v>
      </c>
      <c r="B92" s="356">
        <f t="shared" ref="B92:B97" si="5">B91+1</f>
        <v>3</v>
      </c>
      <c r="C92" s="357" t="s">
        <v>836</v>
      </c>
    </row>
    <row r="93" spans="1:15" ht="19.95" customHeight="1">
      <c r="A93" s="333" t="s">
        <v>569</v>
      </c>
      <c r="B93" s="356">
        <f t="shared" si="5"/>
        <v>4</v>
      </c>
      <c r="C93" s="357" t="s">
        <v>837</v>
      </c>
    </row>
    <row r="94" spans="1:15" ht="19.95" customHeight="1">
      <c r="A94" s="333" t="s">
        <v>569</v>
      </c>
      <c r="B94" s="356">
        <f t="shared" si="5"/>
        <v>5</v>
      </c>
      <c r="C94" s="357" t="s">
        <v>13</v>
      </c>
    </row>
    <row r="95" spans="1:15" ht="19.95" customHeight="1">
      <c r="A95" s="333" t="s">
        <v>569</v>
      </c>
      <c r="B95" s="356">
        <f t="shared" si="5"/>
        <v>6</v>
      </c>
      <c r="C95" s="357" t="s">
        <v>117</v>
      </c>
    </row>
    <row r="96" spans="1:15" ht="19.95" customHeight="1">
      <c r="A96" s="333" t="s">
        <v>569</v>
      </c>
      <c r="B96" s="356">
        <f t="shared" si="5"/>
        <v>7</v>
      </c>
      <c r="C96" s="357" t="s">
        <v>791</v>
      </c>
    </row>
    <row r="97" spans="1:3" ht="19.95" customHeight="1">
      <c r="A97" s="333" t="s">
        <v>569</v>
      </c>
      <c r="B97" s="356">
        <f t="shared" si="5"/>
        <v>8</v>
      </c>
      <c r="C97" s="357" t="s">
        <v>12</v>
      </c>
    </row>
    <row r="98" spans="1:3" ht="19.95" customHeight="1">
      <c r="A98" s="333" t="s">
        <v>854</v>
      </c>
      <c r="B98" s="356"/>
    </row>
    <row r="99" spans="1:3" ht="19.95" customHeight="1">
      <c r="A99" s="333" t="s">
        <v>102</v>
      </c>
      <c r="B99" s="356"/>
    </row>
    <row r="100" spans="1:3" ht="19.95" customHeight="1">
      <c r="A100" s="333"/>
      <c r="B100" s="356"/>
    </row>
    <row r="101" spans="1:3" ht="19.95" customHeight="1">
      <c r="A101" s="333"/>
    </row>
    <row r="102" spans="1:3" ht="19.95" customHeight="1">
      <c r="A102" s="333"/>
    </row>
    <row r="103" spans="1:3" ht="19.95" customHeight="1">
      <c r="A103" s="333"/>
    </row>
    <row r="104" spans="1:3" ht="19.95" customHeight="1">
      <c r="A104" s="333"/>
    </row>
    <row r="105" spans="1:3" ht="19.95" customHeight="1">
      <c r="A105" s="333"/>
    </row>
    <row r="106" spans="1:3" ht="19.95" customHeight="1">
      <c r="A106" s="333"/>
    </row>
    <row r="107" spans="1:3" ht="19.95" customHeight="1">
      <c r="A107" s="333"/>
    </row>
    <row r="108" spans="1:3" ht="19.95" customHeight="1">
      <c r="A108" s="333"/>
    </row>
    <row r="109" spans="1:3" ht="19.95" customHeight="1">
      <c r="A109" s="333"/>
    </row>
    <row r="110" spans="1:3" ht="19.95" customHeight="1">
      <c r="A110" s="333"/>
    </row>
    <row r="111" spans="1:3" ht="19.95" customHeight="1">
      <c r="A111" s="333"/>
    </row>
    <row r="112" spans="1:3" ht="19.95" customHeight="1">
      <c r="A112" s="333"/>
    </row>
    <row r="113" spans="1:1" ht="19.95" customHeight="1">
      <c r="A113" s="333"/>
    </row>
    <row r="114" spans="1:1" ht="19.95" customHeight="1">
      <c r="A114" s="333"/>
    </row>
    <row r="115" spans="1:1" ht="19.95" customHeight="1">
      <c r="A115" s="333"/>
    </row>
    <row r="116" spans="1:1" ht="19.95" customHeight="1">
      <c r="A116" s="333"/>
    </row>
    <row r="117" spans="1:1" ht="19.95" customHeight="1">
      <c r="A117" s="333"/>
    </row>
    <row r="118" spans="1:1" ht="19.95" customHeight="1">
      <c r="A118" s="333"/>
    </row>
    <row r="119" spans="1:1" ht="19.95" customHeight="1">
      <c r="A119" s="333"/>
    </row>
    <row r="120" spans="1:1" ht="19.95" customHeight="1">
      <c r="A120" s="333"/>
    </row>
    <row r="121" spans="1:1" ht="19.95" customHeight="1">
      <c r="A121" s="333"/>
    </row>
    <row r="122" spans="1:1" ht="19.95" customHeight="1">
      <c r="A122" s="333"/>
    </row>
    <row r="123" spans="1:1" ht="19.95" customHeight="1">
      <c r="A123" s="333"/>
    </row>
    <row r="124" spans="1:1" ht="19.95" customHeight="1">
      <c r="A124" s="333"/>
    </row>
    <row r="125" spans="1:1" ht="19.95" customHeight="1">
      <c r="A125" s="333"/>
    </row>
    <row r="126" spans="1:1" ht="19.95" customHeight="1">
      <c r="A126" s="333"/>
    </row>
    <row r="127" spans="1:1" ht="19.95" customHeight="1">
      <c r="A127" s="333"/>
    </row>
    <row r="128" spans="1:1" ht="19.95" customHeight="1">
      <c r="A128" s="333"/>
    </row>
    <row r="129" spans="1:1" ht="19.95" customHeight="1">
      <c r="A129" s="333"/>
    </row>
    <row r="130" spans="1:1" ht="19.95" customHeight="1">
      <c r="A130" s="333"/>
    </row>
    <row r="131" spans="1:1" ht="19.95" customHeight="1">
      <c r="A131" s="333"/>
    </row>
    <row r="132" spans="1:1" ht="19.95" customHeight="1">
      <c r="A132" s="333"/>
    </row>
    <row r="133" spans="1:1" ht="19.95" customHeight="1">
      <c r="A133" s="333"/>
    </row>
    <row r="134" spans="1:1" ht="19.95" customHeight="1">
      <c r="A134" s="333"/>
    </row>
    <row r="135" spans="1:1" ht="19.95" customHeight="1">
      <c r="A135" s="333"/>
    </row>
    <row r="136" spans="1:1" ht="19.95" customHeight="1">
      <c r="A136" s="333"/>
    </row>
    <row r="137" spans="1:1" ht="19.95" customHeight="1">
      <c r="A137" s="333"/>
    </row>
    <row r="138" spans="1:1" ht="19.95" customHeight="1">
      <c r="A138" s="333"/>
    </row>
    <row r="139" spans="1:1" ht="19.95" customHeight="1">
      <c r="A139" s="333"/>
    </row>
    <row r="140" spans="1:1" ht="19.95" customHeight="1">
      <c r="A140" s="333"/>
    </row>
    <row r="141" spans="1:1" ht="19.95" customHeight="1">
      <c r="A141" s="333"/>
    </row>
    <row r="142" spans="1:1" ht="19.95" customHeight="1">
      <c r="A142" s="333"/>
    </row>
    <row r="143" spans="1:1" ht="19.95" customHeight="1">
      <c r="A143" s="333"/>
    </row>
    <row r="144" spans="1:1" ht="19.95" customHeight="1">
      <c r="A144" s="333"/>
    </row>
    <row r="145" spans="1:1" ht="19.95" customHeight="1">
      <c r="A145" s="333"/>
    </row>
    <row r="146" spans="1:1" ht="19.95" customHeight="1">
      <c r="A146" s="333"/>
    </row>
    <row r="147" spans="1:1" ht="19.95" customHeight="1">
      <c r="A147" s="333"/>
    </row>
    <row r="148" spans="1:1" ht="19.95" customHeight="1">
      <c r="A148" s="333"/>
    </row>
    <row r="149" spans="1:1" ht="19.95" customHeight="1">
      <c r="A149" s="333"/>
    </row>
    <row r="150" spans="1:1" ht="19.95" customHeight="1">
      <c r="A150" s="333"/>
    </row>
    <row r="151" spans="1:1" ht="19.95" customHeight="1">
      <c r="A151" s="333"/>
    </row>
    <row r="152" spans="1:1" ht="19.95" customHeight="1">
      <c r="A152" s="333"/>
    </row>
    <row r="153" spans="1:1" ht="19.95" customHeight="1">
      <c r="A153" s="333"/>
    </row>
    <row r="154" spans="1:1" ht="19.95" customHeight="1">
      <c r="A154" s="333"/>
    </row>
    <row r="155" spans="1:1" ht="19.95" customHeight="1">
      <c r="A155" s="333"/>
    </row>
    <row r="156" spans="1:1" ht="19.95" customHeight="1">
      <c r="A156" s="333"/>
    </row>
    <row r="157" spans="1:1" ht="19.95" customHeight="1">
      <c r="A157" s="333"/>
    </row>
    <row r="158" spans="1:1" ht="19.95" customHeight="1">
      <c r="A158" s="333"/>
    </row>
    <row r="159" spans="1:1" ht="19.95" customHeight="1">
      <c r="A159" s="333"/>
    </row>
    <row r="160" spans="1:1" ht="19.95" customHeight="1">
      <c r="A160" s="333"/>
    </row>
    <row r="161" spans="1:1" ht="19.95" customHeight="1">
      <c r="A161" s="333"/>
    </row>
    <row r="162" spans="1:1" ht="19.95" customHeight="1">
      <c r="A162" s="333"/>
    </row>
    <row r="163" spans="1:1" ht="19.95" customHeight="1">
      <c r="A163" s="333"/>
    </row>
    <row r="164" spans="1:1" ht="19.95" customHeight="1">
      <c r="A164" s="333"/>
    </row>
    <row r="165" spans="1:1" ht="19.95" customHeight="1">
      <c r="A165" s="333"/>
    </row>
    <row r="166" spans="1:1" ht="19.95" customHeight="1">
      <c r="A166" s="333"/>
    </row>
    <row r="167" spans="1:1" ht="19.95" customHeight="1">
      <c r="A167" s="333"/>
    </row>
    <row r="168" spans="1:1" ht="19.95" customHeight="1">
      <c r="A168" s="333"/>
    </row>
    <row r="169" spans="1:1" ht="19.95" customHeight="1">
      <c r="A169" s="333"/>
    </row>
    <row r="170" spans="1:1" ht="19.95" customHeight="1">
      <c r="A170" s="333"/>
    </row>
    <row r="171" spans="1:1" ht="19.95" customHeight="1">
      <c r="A171" s="333"/>
    </row>
    <row r="172" spans="1:1" ht="19.95" customHeight="1">
      <c r="A172" s="333"/>
    </row>
    <row r="173" spans="1:1" ht="19.95" customHeight="1">
      <c r="A173" s="333"/>
    </row>
    <row r="174" spans="1:1" ht="19.95" customHeight="1">
      <c r="A174" s="333"/>
    </row>
    <row r="175" spans="1:1" ht="19.95" customHeight="1">
      <c r="A175" s="333"/>
    </row>
    <row r="176" spans="1:1" ht="19.95" customHeight="1">
      <c r="A176" s="333"/>
    </row>
    <row r="177" spans="1:1" ht="19.95" customHeight="1">
      <c r="A177" s="333"/>
    </row>
    <row r="178" spans="1:1" ht="19.95" customHeight="1">
      <c r="A178" s="333"/>
    </row>
    <row r="179" spans="1:1" ht="19.95" customHeight="1">
      <c r="A179" s="333"/>
    </row>
    <row r="180" spans="1:1" ht="19.95" customHeight="1">
      <c r="A180" s="333"/>
    </row>
    <row r="181" spans="1:1" ht="19.95" customHeight="1">
      <c r="A181" s="333"/>
    </row>
    <row r="182" spans="1:1" ht="19.95" customHeight="1">
      <c r="A182" s="333"/>
    </row>
    <row r="183" spans="1:1" ht="19.95" customHeight="1">
      <c r="A183" s="333"/>
    </row>
    <row r="184" spans="1:1" ht="19.95" customHeight="1">
      <c r="A184" s="333"/>
    </row>
    <row r="185" spans="1:1" ht="19.95" customHeight="1">
      <c r="A185" s="333"/>
    </row>
    <row r="186" spans="1:1" ht="19.95" customHeight="1">
      <c r="A186" s="333"/>
    </row>
    <row r="187" spans="1:1" ht="19.95" customHeight="1">
      <c r="A187" s="333"/>
    </row>
    <row r="188" spans="1:1" ht="19.95" customHeight="1">
      <c r="A188" s="333"/>
    </row>
    <row r="189" spans="1:1" ht="19.95" customHeight="1">
      <c r="A189" s="333"/>
    </row>
    <row r="190" spans="1:1" ht="19.95" customHeight="1">
      <c r="A190" s="333"/>
    </row>
    <row r="191" spans="1:1" ht="19.95" customHeight="1">
      <c r="A191" s="333"/>
    </row>
    <row r="192" spans="1:1" ht="19.95" customHeight="1">
      <c r="A192" s="333"/>
    </row>
    <row r="193" spans="1:1" ht="19.95" customHeight="1">
      <c r="A193" s="333"/>
    </row>
    <row r="194" spans="1:1" ht="19.95" customHeight="1">
      <c r="A194" s="333"/>
    </row>
    <row r="195" spans="1:1" ht="19.95" customHeight="1">
      <c r="A195" s="333"/>
    </row>
    <row r="196" spans="1:1" ht="19.95" customHeight="1">
      <c r="A196" s="333"/>
    </row>
    <row r="197" spans="1:1" ht="19.95" customHeight="1">
      <c r="A197" s="333"/>
    </row>
    <row r="198" spans="1:1" ht="19.95" customHeight="1">
      <c r="A198" s="333"/>
    </row>
    <row r="199" spans="1:1" ht="19.95" customHeight="1">
      <c r="A199" s="333"/>
    </row>
    <row r="200" spans="1:1" ht="19.95" customHeight="1">
      <c r="A200" s="333"/>
    </row>
    <row r="201" spans="1:1" ht="19.95" customHeight="1">
      <c r="A201" s="333"/>
    </row>
    <row r="202" spans="1:1" ht="19.95" customHeight="1">
      <c r="A202" s="333"/>
    </row>
    <row r="203" spans="1:1" ht="19.95" customHeight="1">
      <c r="A203" s="333"/>
    </row>
    <row r="204" spans="1:1" ht="19.95" customHeight="1">
      <c r="A204" s="333"/>
    </row>
    <row r="205" spans="1:1" ht="19.95" customHeight="1">
      <c r="A205" s="333"/>
    </row>
    <row r="206" spans="1:1" ht="19.95" customHeight="1">
      <c r="A206" s="333"/>
    </row>
    <row r="207" spans="1:1" ht="19.95" customHeight="1">
      <c r="A207" s="333"/>
    </row>
    <row r="208" spans="1:1" ht="19.95" customHeight="1">
      <c r="A208" s="333"/>
    </row>
    <row r="209" spans="1:1" ht="19.95" customHeight="1">
      <c r="A209" s="333"/>
    </row>
    <row r="210" spans="1:1" ht="19.95" customHeight="1">
      <c r="A210" s="333"/>
    </row>
    <row r="211" spans="1:1" ht="19.95" customHeight="1">
      <c r="A211" s="333"/>
    </row>
    <row r="212" spans="1:1" ht="19.95" customHeight="1">
      <c r="A212" s="333"/>
    </row>
    <row r="213" spans="1:1" ht="19.95" customHeight="1">
      <c r="A213" s="333"/>
    </row>
    <row r="214" spans="1:1" ht="19.95" customHeight="1">
      <c r="A214" s="333"/>
    </row>
    <row r="215" spans="1:1" ht="19.95" customHeight="1">
      <c r="A215" s="333"/>
    </row>
    <row r="216" spans="1:1" ht="19.95" customHeight="1">
      <c r="A216" s="333"/>
    </row>
    <row r="217" spans="1:1" ht="19.95" customHeight="1">
      <c r="A217" s="333"/>
    </row>
    <row r="218" spans="1:1" ht="19.95" customHeight="1">
      <c r="A218" s="333"/>
    </row>
    <row r="219" spans="1:1" ht="19.95" customHeight="1">
      <c r="A219" s="333"/>
    </row>
    <row r="220" spans="1:1" ht="19.95" customHeight="1">
      <c r="A220" s="333"/>
    </row>
    <row r="221" spans="1:1" ht="19.95" customHeight="1">
      <c r="A221" s="333"/>
    </row>
    <row r="222" spans="1:1" ht="19.95" customHeight="1">
      <c r="A222" s="333"/>
    </row>
    <row r="223" spans="1:1" ht="19.95" customHeight="1">
      <c r="A223" s="333"/>
    </row>
    <row r="224" spans="1:1" ht="19.95" customHeight="1">
      <c r="A224" s="333"/>
    </row>
    <row r="225" spans="1:1" ht="19.95" customHeight="1">
      <c r="A225" s="333"/>
    </row>
    <row r="226" spans="1:1" ht="19.95" customHeight="1">
      <c r="A226" s="333"/>
    </row>
    <row r="227" spans="1:1" ht="19.95" customHeight="1">
      <c r="A227" s="333"/>
    </row>
    <row r="228" spans="1:1" ht="19.95" customHeight="1">
      <c r="A228" s="333"/>
    </row>
    <row r="229" spans="1:1" ht="19.95" customHeight="1">
      <c r="A229" s="333"/>
    </row>
    <row r="230" spans="1:1" ht="19.95" customHeight="1">
      <c r="A230" s="333"/>
    </row>
    <row r="231" spans="1:1" ht="19.95" customHeight="1">
      <c r="A231" s="333"/>
    </row>
    <row r="232" spans="1:1" ht="19.95" customHeight="1">
      <c r="A232" s="333"/>
    </row>
    <row r="233" spans="1:1" ht="19.95" customHeight="1">
      <c r="A233" s="333"/>
    </row>
    <row r="234" spans="1:1" ht="19.95" customHeight="1">
      <c r="A234" s="333"/>
    </row>
    <row r="235" spans="1:1" ht="19.95" customHeight="1">
      <c r="A235" s="333"/>
    </row>
    <row r="236" spans="1:1" ht="19.95" customHeight="1">
      <c r="A236" s="333"/>
    </row>
    <row r="237" spans="1:1" ht="19.95" customHeight="1">
      <c r="A237" s="333"/>
    </row>
    <row r="238" spans="1:1" ht="19.95" customHeight="1">
      <c r="A238" s="333"/>
    </row>
    <row r="239" spans="1:1" ht="19.95" customHeight="1">
      <c r="A239" s="333"/>
    </row>
    <row r="240" spans="1:1" ht="19.95" customHeight="1">
      <c r="A240" s="333"/>
    </row>
    <row r="241" spans="1:1" ht="19.95" customHeight="1">
      <c r="A241" s="333"/>
    </row>
    <row r="242" spans="1:1" ht="19.95" customHeight="1">
      <c r="A242" s="333"/>
    </row>
    <row r="243" spans="1:1" ht="19.95" customHeight="1">
      <c r="A243" s="333"/>
    </row>
    <row r="244" spans="1:1" ht="19.95" customHeight="1">
      <c r="A244" s="333"/>
    </row>
    <row r="245" spans="1:1" ht="19.95" customHeight="1">
      <c r="A245" s="333"/>
    </row>
    <row r="246" spans="1:1" ht="19.95" customHeight="1">
      <c r="A246" s="333"/>
    </row>
    <row r="247" spans="1:1" ht="19.95" customHeight="1">
      <c r="A247" s="333"/>
    </row>
    <row r="248" spans="1:1" ht="19.95" customHeight="1">
      <c r="A248" s="333"/>
    </row>
    <row r="249" spans="1:1" ht="19.95" customHeight="1">
      <c r="A249" s="333"/>
    </row>
    <row r="250" spans="1:1" ht="19.95" customHeight="1">
      <c r="A250" s="333"/>
    </row>
    <row r="251" spans="1:1" ht="19.95" customHeight="1">
      <c r="A251" s="333"/>
    </row>
    <row r="252" spans="1:1" ht="19.95" customHeight="1">
      <c r="A252" s="333"/>
    </row>
    <row r="253" spans="1:1" ht="19.95" customHeight="1">
      <c r="A253" s="333"/>
    </row>
    <row r="254" spans="1:1" ht="19.95" customHeight="1">
      <c r="A254" s="333"/>
    </row>
    <row r="255" spans="1:1" ht="19.95" customHeight="1">
      <c r="A255" s="333"/>
    </row>
    <row r="256" spans="1:1" ht="19.95" customHeight="1">
      <c r="A256" s="333"/>
    </row>
    <row r="257" spans="1:1" ht="19.95" customHeight="1">
      <c r="A257" s="333"/>
    </row>
    <row r="258" spans="1:1" ht="19.95" customHeight="1">
      <c r="A258" s="333"/>
    </row>
    <row r="259" spans="1:1" ht="19.95" customHeight="1">
      <c r="A259" s="333"/>
    </row>
    <row r="260" spans="1:1" ht="19.95" customHeight="1">
      <c r="A260" s="333"/>
    </row>
    <row r="261" spans="1:1" ht="19.95" customHeight="1">
      <c r="A261" s="333"/>
    </row>
    <row r="262" spans="1:1" ht="19.95" customHeight="1">
      <c r="A262" s="333"/>
    </row>
    <row r="263" spans="1:1" ht="19.95" customHeight="1">
      <c r="A263" s="333"/>
    </row>
    <row r="264" spans="1:1" ht="19.95" customHeight="1">
      <c r="A264" s="333"/>
    </row>
    <row r="265" spans="1:1" ht="19.95" customHeight="1">
      <c r="A265" s="333"/>
    </row>
    <row r="266" spans="1:1" ht="19.95" customHeight="1">
      <c r="A266" s="333"/>
    </row>
    <row r="267" spans="1:1" ht="19.95" customHeight="1">
      <c r="A267" s="333"/>
    </row>
    <row r="268" spans="1:1" ht="19.95" customHeight="1">
      <c r="A268" s="333"/>
    </row>
    <row r="269" spans="1:1" ht="19.95" customHeight="1">
      <c r="A269" s="333"/>
    </row>
    <row r="270" spans="1:1" ht="19.95" customHeight="1">
      <c r="A270" s="333"/>
    </row>
    <row r="271" spans="1:1" ht="19.95" customHeight="1">
      <c r="A271" s="333"/>
    </row>
    <row r="272" spans="1:1" ht="19.95" customHeight="1">
      <c r="A272" s="333"/>
    </row>
    <row r="273" spans="1:1" ht="19.95" customHeight="1">
      <c r="A273" s="333"/>
    </row>
    <row r="274" spans="1:1" ht="19.95" customHeight="1">
      <c r="A274" s="333"/>
    </row>
    <row r="275" spans="1:1" ht="19.95" customHeight="1">
      <c r="A275" s="333"/>
    </row>
    <row r="276" spans="1:1" ht="19.95" customHeight="1">
      <c r="A276" s="333"/>
    </row>
    <row r="277" spans="1:1" ht="19.95" customHeight="1">
      <c r="A277" s="333"/>
    </row>
    <row r="278" spans="1:1" ht="19.95" customHeight="1">
      <c r="A278" s="333"/>
    </row>
    <row r="279" spans="1:1" ht="19.95" customHeight="1">
      <c r="A279" s="333"/>
    </row>
    <row r="280" spans="1:1" ht="19.95" customHeight="1">
      <c r="A280" s="333"/>
    </row>
    <row r="281" spans="1:1" ht="19.95" customHeight="1">
      <c r="A281" s="333"/>
    </row>
    <row r="282" spans="1:1" ht="19.95" customHeight="1">
      <c r="A282" s="333"/>
    </row>
    <row r="283" spans="1:1" ht="19.95" customHeight="1">
      <c r="A283" s="333"/>
    </row>
    <row r="284" spans="1:1" ht="19.95" customHeight="1">
      <c r="A284" s="333"/>
    </row>
    <row r="285" spans="1:1" ht="19.95" customHeight="1">
      <c r="A285" s="333"/>
    </row>
    <row r="286" spans="1:1" ht="19.95" customHeight="1">
      <c r="A286" s="333"/>
    </row>
    <row r="287" spans="1:1" ht="19.95" customHeight="1">
      <c r="A287" s="333"/>
    </row>
    <row r="288" spans="1:1" ht="19.95" customHeight="1">
      <c r="A288" s="333"/>
    </row>
    <row r="289" spans="1:1" ht="19.95" customHeight="1">
      <c r="A289" s="333"/>
    </row>
    <row r="290" spans="1:1" ht="19.95" customHeight="1">
      <c r="A290" s="333"/>
    </row>
    <row r="291" spans="1:1" ht="19.95" customHeight="1">
      <c r="A291" s="333"/>
    </row>
    <row r="292" spans="1:1" ht="19.95" customHeight="1">
      <c r="A292" s="333"/>
    </row>
    <row r="293" spans="1:1" ht="19.95" customHeight="1">
      <c r="A293" s="333"/>
    </row>
    <row r="294" spans="1:1" ht="19.95" customHeight="1">
      <c r="A294" s="333"/>
    </row>
    <row r="295" spans="1:1" ht="19.95" customHeight="1">
      <c r="A295" s="333"/>
    </row>
    <row r="296" spans="1:1" ht="19.95" customHeight="1">
      <c r="A296" s="333"/>
    </row>
    <row r="297" spans="1:1" ht="19.95" customHeight="1">
      <c r="A297" s="333"/>
    </row>
    <row r="298" spans="1:1" ht="19.95" customHeight="1">
      <c r="A298" s="333"/>
    </row>
    <row r="299" spans="1:1" ht="19.95" customHeight="1">
      <c r="A299" s="333"/>
    </row>
    <row r="300" spans="1:1" ht="19.95" customHeight="1">
      <c r="A300" s="333"/>
    </row>
    <row r="301" spans="1:1" ht="19.95" customHeight="1">
      <c r="A301" s="333"/>
    </row>
    <row r="302" spans="1:1" ht="19.95" customHeight="1">
      <c r="A302" s="333"/>
    </row>
    <row r="303" spans="1:1" ht="19.95" customHeight="1">
      <c r="A303" s="333"/>
    </row>
    <row r="304" spans="1:1" ht="19.95" customHeight="1">
      <c r="A304" s="333"/>
    </row>
    <row r="305" spans="1:1" ht="19.95" customHeight="1">
      <c r="A305" s="333"/>
    </row>
    <row r="306" spans="1:1" ht="19.95" customHeight="1">
      <c r="A306" s="333"/>
    </row>
    <row r="307" spans="1:1" ht="19.95" customHeight="1">
      <c r="A307" s="333"/>
    </row>
    <row r="308" spans="1:1" ht="19.95" customHeight="1">
      <c r="A308" s="333"/>
    </row>
    <row r="309" spans="1:1" ht="19.95" customHeight="1">
      <c r="A309" s="333"/>
    </row>
    <row r="310" spans="1:1" ht="19.95" customHeight="1"/>
    <row r="311" spans="1:1" ht="19.95" customHeight="1"/>
    <row r="312" spans="1:1" ht="19.95" customHeight="1"/>
    <row r="313" spans="1:1" ht="19.95" customHeight="1"/>
    <row r="314" spans="1:1" ht="19.95" customHeight="1"/>
    <row r="315" spans="1:1" ht="19.95" customHeight="1"/>
    <row r="316" spans="1:1" ht="19.95" customHeight="1"/>
    <row r="317" spans="1:1" ht="19.95" customHeight="1"/>
    <row r="318" spans="1:1" ht="19.95" customHeight="1"/>
    <row r="319" spans="1:1" ht="19.95" customHeight="1"/>
    <row r="320" spans="1:1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  <row r="442" ht="19.95" customHeight="1"/>
    <row r="443" ht="19.95" customHeight="1"/>
    <row r="444" ht="19.95" customHeight="1"/>
    <row r="445" ht="19.95" customHeight="1"/>
    <row r="446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367">
        <f>COUNTIF(D$4:Q$17,"X")</f>
        <v>35</v>
      </c>
      <c r="B1" s="363" t="s">
        <v>134</v>
      </c>
      <c r="C1" s="364"/>
      <c r="D1" s="74" t="s">
        <v>109</v>
      </c>
      <c r="E1" s="75" t="s">
        <v>110</v>
      </c>
      <c r="F1" s="75" t="s">
        <v>122</v>
      </c>
      <c r="G1" s="75" t="s">
        <v>123</v>
      </c>
      <c r="H1" s="75" t="s">
        <v>126</v>
      </c>
      <c r="I1" s="75" t="s">
        <v>126</v>
      </c>
      <c r="J1" s="75" t="s">
        <v>126</v>
      </c>
      <c r="K1" s="75" t="s">
        <v>126</v>
      </c>
      <c r="L1" s="75" t="s">
        <v>116</v>
      </c>
      <c r="M1" s="75" t="s">
        <v>116</v>
      </c>
      <c r="N1" s="75" t="s">
        <v>12</v>
      </c>
      <c r="O1" s="75" t="s">
        <v>12</v>
      </c>
      <c r="P1" s="75" t="s">
        <v>13</v>
      </c>
      <c r="Q1" s="75" t="s">
        <v>117</v>
      </c>
      <c r="R1" s="40" t="s">
        <v>117</v>
      </c>
      <c r="S1" s="40" t="s">
        <v>118</v>
      </c>
      <c r="T1" s="40" t="s">
        <v>118</v>
      </c>
      <c r="U1" s="40" t="s">
        <v>111</v>
      </c>
      <c r="V1" s="40" t="s">
        <v>44</v>
      </c>
      <c r="W1" s="40" t="s">
        <v>120</v>
      </c>
    </row>
    <row r="2" spans="1:25" s="38" customFormat="1" ht="22.95" customHeight="1">
      <c r="A2" s="368"/>
      <c r="B2" s="67"/>
      <c r="C2" s="66"/>
      <c r="D2" s="75" t="s">
        <v>119</v>
      </c>
      <c r="E2" s="75" t="s">
        <v>119</v>
      </c>
      <c r="F2" s="75" t="s">
        <v>119</v>
      </c>
      <c r="G2" s="75" t="s">
        <v>119</v>
      </c>
      <c r="H2" s="75" t="s">
        <v>125</v>
      </c>
      <c r="I2" s="75" t="s">
        <v>127</v>
      </c>
      <c r="J2" s="75" t="s">
        <v>128</v>
      </c>
      <c r="K2" s="75" t="s">
        <v>129</v>
      </c>
      <c r="L2" s="75" t="s">
        <v>112</v>
      </c>
      <c r="M2" s="75" t="s">
        <v>113</v>
      </c>
      <c r="N2" s="75" t="s">
        <v>112</v>
      </c>
      <c r="O2" s="75" t="s">
        <v>113</v>
      </c>
      <c r="P2" s="75" t="s">
        <v>131</v>
      </c>
      <c r="Q2" s="75" t="s">
        <v>114</v>
      </c>
      <c r="R2" s="38" t="s">
        <v>115</v>
      </c>
      <c r="S2" s="38" t="s">
        <v>112</v>
      </c>
      <c r="T2" s="38" t="s">
        <v>113</v>
      </c>
    </row>
    <row r="3" spans="1:25" s="38" customFormat="1" ht="22.95" customHeight="1">
      <c r="A3" s="365" t="s">
        <v>130</v>
      </c>
      <c r="B3" s="366"/>
      <c r="C3" s="68"/>
      <c r="D3" s="68" t="s">
        <v>132</v>
      </c>
      <c r="E3" s="69" t="s">
        <v>133</v>
      </c>
      <c r="F3" s="65" t="s">
        <v>133</v>
      </c>
      <c r="G3" s="69" t="s">
        <v>132</v>
      </c>
      <c r="H3" s="69" t="s">
        <v>132</v>
      </c>
      <c r="I3" s="69" t="s">
        <v>132</v>
      </c>
      <c r="J3" s="69" t="s">
        <v>133</v>
      </c>
      <c r="K3" s="65" t="s">
        <v>132</v>
      </c>
      <c r="L3" s="69" t="s">
        <v>133</v>
      </c>
      <c r="M3" s="69" t="s">
        <v>133</v>
      </c>
      <c r="N3" s="69" t="s">
        <v>133</v>
      </c>
      <c r="O3" s="69" t="s">
        <v>133</v>
      </c>
      <c r="P3" s="69" t="s">
        <v>133</v>
      </c>
      <c r="Q3" s="69" t="s">
        <v>133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133</v>
      </c>
      <c r="D4" s="46"/>
      <c r="E4" s="44"/>
      <c r="F4" s="56" t="s">
        <v>124</v>
      </c>
      <c r="G4" s="44"/>
      <c r="H4" s="44"/>
      <c r="I4" s="44"/>
      <c r="J4" s="62" t="s">
        <v>72</v>
      </c>
      <c r="K4" s="63" t="s">
        <v>124</v>
      </c>
      <c r="L4" s="44" t="s">
        <v>72</v>
      </c>
      <c r="M4" s="44" t="s">
        <v>72</v>
      </c>
      <c r="N4" s="59" t="s">
        <v>72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132</v>
      </c>
      <c r="D5" s="47" t="s">
        <v>72</v>
      </c>
      <c r="E5" s="43"/>
      <c r="F5" s="43"/>
      <c r="G5" s="43"/>
      <c r="H5" s="63" t="s">
        <v>124</v>
      </c>
      <c r="I5" s="64" t="s">
        <v>72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133</v>
      </c>
      <c r="D6" s="56" t="s">
        <v>124</v>
      </c>
      <c r="E6" s="43"/>
      <c r="F6" s="43"/>
      <c r="G6" s="43"/>
      <c r="H6" s="64" t="s">
        <v>72</v>
      </c>
      <c r="I6" s="63" t="s">
        <v>124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132</v>
      </c>
      <c r="D7" s="47"/>
      <c r="E7" s="43"/>
      <c r="F7" s="43" t="s">
        <v>72</v>
      </c>
      <c r="G7" s="43"/>
      <c r="H7" s="43"/>
      <c r="I7" s="43"/>
      <c r="J7" s="63" t="s">
        <v>124</v>
      </c>
      <c r="K7" s="64" t="s">
        <v>72</v>
      </c>
      <c r="L7" s="43"/>
      <c r="M7" s="43"/>
      <c r="N7" s="43" t="s">
        <v>72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133</v>
      </c>
      <c r="D8" s="47"/>
      <c r="E8" s="43" t="s">
        <v>72</v>
      </c>
      <c r="F8" s="56" t="s">
        <v>124</v>
      </c>
      <c r="G8" s="43"/>
      <c r="H8" s="43"/>
      <c r="I8" s="43"/>
      <c r="J8" s="60" t="s">
        <v>72</v>
      </c>
      <c r="K8" s="61" t="s">
        <v>124</v>
      </c>
      <c r="L8" s="43"/>
      <c r="M8" s="43"/>
      <c r="N8" s="56" t="s">
        <v>124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133</v>
      </c>
      <c r="D9" s="47"/>
      <c r="E9" s="56" t="s">
        <v>124</v>
      </c>
      <c r="F9" s="43" t="s">
        <v>72</v>
      </c>
      <c r="G9" s="58"/>
      <c r="H9" s="43"/>
      <c r="I9" s="43"/>
      <c r="J9" s="61" t="s">
        <v>124</v>
      </c>
      <c r="K9" s="60" t="s">
        <v>72</v>
      </c>
      <c r="L9" s="43"/>
      <c r="M9" s="43"/>
      <c r="N9" s="43" t="s">
        <v>72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132</v>
      </c>
      <c r="D10" s="56" t="s">
        <v>124</v>
      </c>
      <c r="E10" s="43"/>
      <c r="F10" s="43"/>
      <c r="G10" s="43" t="s">
        <v>72</v>
      </c>
      <c r="H10" s="60" t="s">
        <v>72</v>
      </c>
      <c r="I10" s="60" t="s">
        <v>72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132</v>
      </c>
      <c r="D11" s="47" t="s">
        <v>72</v>
      </c>
      <c r="E11" s="43"/>
      <c r="F11" s="43"/>
      <c r="G11" s="58" t="s">
        <v>124</v>
      </c>
      <c r="H11" s="60" t="s">
        <v>72</v>
      </c>
      <c r="I11" s="60" t="s">
        <v>72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132</v>
      </c>
      <c r="D12" s="47" t="s">
        <v>72</v>
      </c>
      <c r="E12" s="43"/>
      <c r="F12" s="43"/>
      <c r="G12" s="43"/>
      <c r="H12" s="43"/>
      <c r="I12" s="43"/>
      <c r="J12" s="43"/>
      <c r="K12" s="43" t="s">
        <v>72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132</v>
      </c>
      <c r="D13" s="47" t="s">
        <v>72</v>
      </c>
      <c r="E13" s="43"/>
      <c r="F13" s="43"/>
      <c r="G13" s="43"/>
      <c r="H13" s="43"/>
      <c r="I13" s="43"/>
      <c r="J13" s="43"/>
      <c r="K13" s="43" t="s">
        <v>72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132</v>
      </c>
      <c r="D14" s="47" t="s">
        <v>72</v>
      </c>
      <c r="E14" s="43"/>
      <c r="F14" s="43"/>
      <c r="G14" s="43"/>
      <c r="H14" s="43"/>
      <c r="I14" s="43" t="s">
        <v>72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132</v>
      </c>
      <c r="D15" s="47" t="s">
        <v>72</v>
      </c>
      <c r="E15" s="43"/>
      <c r="F15" s="43"/>
      <c r="G15" s="43"/>
      <c r="H15" s="43"/>
      <c r="I15" s="43" t="s">
        <v>72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132</v>
      </c>
      <c r="D16" s="47"/>
      <c r="E16" s="43"/>
      <c r="F16" s="43"/>
      <c r="G16" s="43" t="s">
        <v>72</v>
      </c>
      <c r="H16" s="43" t="s">
        <v>72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133</v>
      </c>
      <c r="D17" s="47"/>
      <c r="E17" s="43"/>
      <c r="F17" s="43" t="s">
        <v>72</v>
      </c>
      <c r="G17" s="43"/>
      <c r="H17" s="43"/>
      <c r="I17" s="43"/>
      <c r="J17" s="43"/>
      <c r="K17" s="43"/>
      <c r="L17" s="43"/>
      <c r="M17" s="43" t="s">
        <v>72</v>
      </c>
      <c r="N17" s="43"/>
      <c r="O17" s="43" t="s">
        <v>72</v>
      </c>
      <c r="P17" s="43" t="s">
        <v>72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72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72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72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72</v>
      </c>
      <c r="N22" s="41"/>
      <c r="O22" s="41" t="s">
        <v>72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72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124</v>
      </c>
      <c r="B27" s="53" t="s">
        <v>121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369" t="s">
        <v>60</v>
      </c>
      <c r="C1" s="369"/>
    </row>
    <row r="2" spans="1:4" ht="45" customHeight="1">
      <c r="A2" s="3" t="s">
        <v>67</v>
      </c>
      <c r="B2" s="369" t="s">
        <v>61</v>
      </c>
      <c r="C2" s="369"/>
      <c r="D2" s="3" t="s">
        <v>65</v>
      </c>
    </row>
    <row r="3" spans="1:4" ht="30" customHeight="1">
      <c r="A3" s="3" t="s">
        <v>62</v>
      </c>
      <c r="D3" s="3" t="s">
        <v>63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57</v>
      </c>
      <c r="D8" s="3" t="s">
        <v>59</v>
      </c>
    </row>
    <row r="9" spans="1:4" ht="30" customHeight="1">
      <c r="A9" s="3" t="s">
        <v>58</v>
      </c>
      <c r="D9" s="3" t="s">
        <v>51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66</v>
      </c>
      <c r="D14" s="3" t="s">
        <v>52</v>
      </c>
    </row>
    <row r="15" spans="1:4" ht="30" customHeight="1">
      <c r="A15" s="3" t="s">
        <v>56</v>
      </c>
      <c r="B15" s="369" t="s">
        <v>54</v>
      </c>
      <c r="C15" s="369"/>
      <c r="D15" s="3" t="s">
        <v>53</v>
      </c>
    </row>
    <row r="16" spans="1:4" ht="30" customHeight="1">
      <c r="B16" s="369" t="s">
        <v>55</v>
      </c>
      <c r="C16" s="369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L9" sqref="L9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229" t="s">
        <v>706</v>
      </c>
      <c r="M1" s="229" t="s">
        <v>71</v>
      </c>
      <c r="N1" s="229" t="s">
        <v>14</v>
      </c>
      <c r="O1" s="229" t="s">
        <v>97</v>
      </c>
      <c r="S1" s="16"/>
    </row>
    <row r="2" spans="1:19" s="11" customFormat="1" ht="25.2" customHeight="1">
      <c r="A2" s="255" t="s">
        <v>99</v>
      </c>
      <c r="B2" s="370" t="s">
        <v>719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S2" s="16"/>
    </row>
    <row r="3" spans="1:19" s="11" customFormat="1" ht="25.2" customHeight="1">
      <c r="A3" s="232" t="s">
        <v>667</v>
      </c>
      <c r="B3" s="238" t="s">
        <v>119</v>
      </c>
      <c r="C3" s="235" t="s">
        <v>72</v>
      </c>
      <c r="D3" s="235" t="s">
        <v>72</v>
      </c>
      <c r="E3" s="238" t="s">
        <v>119</v>
      </c>
      <c r="F3" s="238" t="s">
        <v>119</v>
      </c>
      <c r="G3" s="238" t="s">
        <v>119</v>
      </c>
      <c r="H3" s="238" t="s">
        <v>119</v>
      </c>
      <c r="I3" s="238" t="s">
        <v>119</v>
      </c>
      <c r="J3" s="238" t="s">
        <v>119</v>
      </c>
      <c r="K3" s="238" t="s">
        <v>119</v>
      </c>
      <c r="L3" s="237" t="s">
        <v>666</v>
      </c>
      <c r="M3" s="235"/>
      <c r="N3" s="242"/>
      <c r="O3" s="242"/>
      <c r="P3" s="158"/>
      <c r="S3" s="16"/>
    </row>
    <row r="4" spans="1:19" s="11" customFormat="1" ht="25.2" customHeight="1">
      <c r="A4" s="232" t="s">
        <v>667</v>
      </c>
      <c r="B4" s="238" t="s">
        <v>72</v>
      </c>
      <c r="C4" s="238" t="s">
        <v>72</v>
      </c>
      <c r="D4" s="238" t="s">
        <v>72</v>
      </c>
      <c r="E4" s="238" t="s">
        <v>72</v>
      </c>
      <c r="F4" s="238" t="s">
        <v>72</v>
      </c>
      <c r="G4" s="238" t="s">
        <v>72</v>
      </c>
      <c r="H4" s="238" t="s">
        <v>72</v>
      </c>
      <c r="I4" s="238" t="s">
        <v>72</v>
      </c>
      <c r="J4" s="238" t="s">
        <v>72</v>
      </c>
      <c r="K4" s="238" t="s">
        <v>72</v>
      </c>
      <c r="L4" s="236" t="s">
        <v>668</v>
      </c>
      <c r="M4" s="235"/>
      <c r="N4" s="242"/>
      <c r="O4" s="242"/>
      <c r="P4" s="158"/>
      <c r="S4" s="16"/>
    </row>
    <row r="5" spans="1:19" s="11" customFormat="1" ht="25.2" customHeight="1">
      <c r="A5" s="255" t="s">
        <v>99</v>
      </c>
      <c r="B5" s="370" t="s">
        <v>720</v>
      </c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S5" s="16"/>
    </row>
    <row r="6" spans="1:19" ht="25.2" customHeight="1">
      <c r="A6" s="255" t="s">
        <v>721</v>
      </c>
      <c r="B6" s="238" t="s">
        <v>119</v>
      </c>
      <c r="C6" s="235" t="s">
        <v>72</v>
      </c>
      <c r="D6" s="235" t="s">
        <v>72</v>
      </c>
      <c r="E6" s="238" t="s">
        <v>119</v>
      </c>
      <c r="F6" s="238" t="s">
        <v>119</v>
      </c>
      <c r="G6" s="238" t="s">
        <v>119</v>
      </c>
      <c r="H6" s="238" t="s">
        <v>119</v>
      </c>
      <c r="I6" s="238" t="s">
        <v>119</v>
      </c>
      <c r="J6" s="238" t="s">
        <v>119</v>
      </c>
      <c r="K6" s="238" t="s">
        <v>119</v>
      </c>
      <c r="L6" s="237" t="s">
        <v>666</v>
      </c>
      <c r="M6" s="235"/>
      <c r="N6" s="242"/>
      <c r="O6" s="242"/>
    </row>
    <row r="7" spans="1:19" ht="25.2" customHeight="1">
      <c r="A7" s="255" t="s">
        <v>722</v>
      </c>
      <c r="B7" s="238" t="s">
        <v>72</v>
      </c>
      <c r="C7" s="235" t="s">
        <v>72</v>
      </c>
      <c r="D7" s="235" t="s">
        <v>72</v>
      </c>
      <c r="E7" s="238" t="s">
        <v>72</v>
      </c>
      <c r="F7" s="238" t="s">
        <v>72</v>
      </c>
      <c r="G7" s="238" t="s">
        <v>72</v>
      </c>
      <c r="H7" s="238" t="s">
        <v>72</v>
      </c>
      <c r="I7" s="238" t="s">
        <v>72</v>
      </c>
      <c r="J7" s="238" t="s">
        <v>72</v>
      </c>
      <c r="K7" s="238" t="s">
        <v>72</v>
      </c>
      <c r="L7" s="236" t="s">
        <v>668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pdf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AS</vt:lpstr>
      <vt:lpstr>TG</vt:lpstr>
      <vt:lpstr>VW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2026-06-02T04:28:12Z</cp:lastPrinted>
  <dcterms:created xsi:type="dcterms:W3CDTF">2015-06-05T18:19:34Z</dcterms:created>
  <dcterms:modified xsi:type="dcterms:W3CDTF">2026-06-11T06:55:33Z</dcterms:modified>
</cp:coreProperties>
</file>